
<file path=[Content_Types].xml><?xml version="1.0" encoding="utf-8"?>
<Types xmlns="http://schemas.openxmlformats.org/package/2006/content-types">
  <Override PartName="/xl/pivotTables/pivotTable5.xml" ContentType="application/vnd.openxmlformats-officedocument.spreadsheetml.pivotTable+xml"/>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PivotChartFilter="1" defaultThemeVersion="124226"/>
  <bookViews>
    <workbookView xWindow="120" yWindow="615" windowWidth="8295" windowHeight="11700" activeTab="7"/>
  </bookViews>
  <sheets>
    <sheet name="Read Me" sheetId="7" r:id="rId1"/>
    <sheet name="Employee_Raw" sheetId="1" r:id="rId2"/>
    <sheet name="Working Copy &amp; Validation Check" sheetId="3" r:id="rId3"/>
    <sheet name="Clean Data" sheetId="6" r:id="rId4"/>
    <sheet name="Data Validation Summary" sheetId="2" r:id="rId5"/>
    <sheet name="Data Cleaning Guide" sheetId="8" r:id="rId6"/>
    <sheet name="Data Dictionary" sheetId="9" r:id="rId7"/>
    <sheet name="Dashboard" sheetId="10" r:id="rId8"/>
  </sheets>
  <definedNames>
    <definedName name="_xlnm._FilterDatabase" localSheetId="3" hidden="1">'Clean Data'!$A$2:$K$1002</definedName>
    <definedName name="_xlnm._FilterDatabase" localSheetId="4" hidden="1">'Data Validation Summary'!$A$16:$C$26</definedName>
    <definedName name="_xlnm._FilterDatabase" localSheetId="1" hidden="1">Employee_Raw!$A$2:$K$1002</definedName>
    <definedName name="_xlnm._FilterDatabase" localSheetId="2" hidden="1">'Working Copy &amp; Validation Check'!$A$2:$V$1002</definedName>
  </definedNames>
  <calcPr calcId="124519"/>
  <pivotCaches>
    <pivotCache cacheId="2" r:id="rId9"/>
    <pivotCache cacheId="3" r:id="rId10"/>
  </pivotCaches>
</workbook>
</file>

<file path=xl/calcChain.xml><?xml version="1.0" encoding="utf-8"?>
<calcChain xmlns="http://schemas.openxmlformats.org/spreadsheetml/2006/main">
  <c r="D5" i="10"/>
  <c r="F5"/>
  <c r="P3" i="3" l="1"/>
  <c r="O3"/>
  <c r="M6"/>
  <c r="N3"/>
  <c r="M3"/>
  <c r="O4"/>
  <c r="O5"/>
  <c r="O6"/>
  <c r="O7"/>
  <c r="O8"/>
  <c r="O9"/>
  <c r="O10"/>
  <c r="O11"/>
  <c r="O12"/>
  <c r="O13"/>
  <c r="O14"/>
  <c r="O15"/>
  <c r="O16"/>
  <c r="O17"/>
  <c r="O18"/>
  <c r="O19"/>
  <c r="O20"/>
  <c r="O21"/>
  <c r="O22"/>
  <c r="O23"/>
  <c r="O24"/>
  <c r="O25"/>
  <c r="O26"/>
  <c r="O27"/>
  <c r="O28"/>
  <c r="O29"/>
  <c r="O30"/>
  <c r="O31"/>
  <c r="O32"/>
  <c r="O33"/>
  <c r="O34"/>
  <c r="O35"/>
  <c r="O36"/>
  <c r="O37"/>
  <c r="O38"/>
  <c r="O39"/>
  <c r="O40"/>
  <c r="O41"/>
  <c r="O42"/>
  <c r="O43"/>
  <c r="O44"/>
  <c r="O45"/>
  <c r="O46"/>
  <c r="O47"/>
  <c r="O48"/>
  <c r="O49"/>
  <c r="O50"/>
  <c r="O51"/>
  <c r="O52"/>
  <c r="O53"/>
  <c r="O54"/>
  <c r="O55"/>
  <c r="O56"/>
  <c r="O57"/>
  <c r="O58"/>
  <c r="O59"/>
  <c r="O60"/>
  <c r="O61"/>
  <c r="O62"/>
  <c r="O63"/>
  <c r="O64"/>
  <c r="O65"/>
  <c r="O66"/>
  <c r="O67"/>
  <c r="O68"/>
  <c r="O69"/>
  <c r="O70"/>
  <c r="O71"/>
  <c r="O72"/>
  <c r="O73"/>
  <c r="O74"/>
  <c r="O75"/>
  <c r="O76"/>
  <c r="O77"/>
  <c r="O78"/>
  <c r="O79"/>
  <c r="O80"/>
  <c r="O81"/>
  <c r="O82"/>
  <c r="O83"/>
  <c r="O84"/>
  <c r="O85"/>
  <c r="O86"/>
  <c r="O87"/>
  <c r="O88"/>
  <c r="O89"/>
  <c r="O90"/>
  <c r="O91"/>
  <c r="O92"/>
  <c r="O93"/>
  <c r="O94"/>
  <c r="O95"/>
  <c r="O96"/>
  <c r="O97"/>
  <c r="O98"/>
  <c r="O99"/>
  <c r="O100"/>
  <c r="O101"/>
  <c r="O102"/>
  <c r="O103"/>
  <c r="O104"/>
  <c r="O105"/>
  <c r="O106"/>
  <c r="O107"/>
  <c r="O108"/>
  <c r="O109"/>
  <c r="O110"/>
  <c r="O111"/>
  <c r="O112"/>
  <c r="O113"/>
  <c r="O114"/>
  <c r="O115"/>
  <c r="O116"/>
  <c r="O117"/>
  <c r="O118"/>
  <c r="O119"/>
  <c r="O120"/>
  <c r="O121"/>
  <c r="O122"/>
  <c r="O123"/>
  <c r="O124"/>
  <c r="O125"/>
  <c r="O126"/>
  <c r="O127"/>
  <c r="O128"/>
  <c r="O129"/>
  <c r="O130"/>
  <c r="O131"/>
  <c r="O132"/>
  <c r="O133"/>
  <c r="O134"/>
  <c r="O135"/>
  <c r="O136"/>
  <c r="O137"/>
  <c r="O138"/>
  <c r="O139"/>
  <c r="O140"/>
  <c r="O141"/>
  <c r="O142"/>
  <c r="O143"/>
  <c r="O144"/>
  <c r="O145"/>
  <c r="O146"/>
  <c r="O147"/>
  <c r="O148"/>
  <c r="O149"/>
  <c r="O150"/>
  <c r="O151"/>
  <c r="O152"/>
  <c r="O153"/>
  <c r="O154"/>
  <c r="O155"/>
  <c r="O156"/>
  <c r="O157"/>
  <c r="O158"/>
  <c r="O159"/>
  <c r="O160"/>
  <c r="O161"/>
  <c r="O162"/>
  <c r="O163"/>
  <c r="O164"/>
  <c r="O165"/>
  <c r="O166"/>
  <c r="O167"/>
  <c r="O168"/>
  <c r="O169"/>
  <c r="O170"/>
  <c r="O171"/>
  <c r="O172"/>
  <c r="O173"/>
  <c r="O174"/>
  <c r="O175"/>
  <c r="O176"/>
  <c r="O177"/>
  <c r="O178"/>
  <c r="O179"/>
  <c r="O180"/>
  <c r="O181"/>
  <c r="O182"/>
  <c r="O183"/>
  <c r="O184"/>
  <c r="O185"/>
  <c r="O186"/>
  <c r="O187"/>
  <c r="O188"/>
  <c r="O189"/>
  <c r="O190"/>
  <c r="O191"/>
  <c r="O192"/>
  <c r="O193"/>
  <c r="O194"/>
  <c r="O195"/>
  <c r="O196"/>
  <c r="O197"/>
  <c r="O198"/>
  <c r="O199"/>
  <c r="O200"/>
  <c r="O201"/>
  <c r="O202"/>
  <c r="O203"/>
  <c r="O204"/>
  <c r="O205"/>
  <c r="O206"/>
  <c r="O207"/>
  <c r="O208"/>
  <c r="O209"/>
  <c r="O210"/>
  <c r="O211"/>
  <c r="O212"/>
  <c r="O213"/>
  <c r="O214"/>
  <c r="O215"/>
  <c r="O216"/>
  <c r="O217"/>
  <c r="O218"/>
  <c r="O219"/>
  <c r="O220"/>
  <c r="O221"/>
  <c r="O222"/>
  <c r="O223"/>
  <c r="O224"/>
  <c r="O225"/>
  <c r="O226"/>
  <c r="O227"/>
  <c r="O228"/>
  <c r="O229"/>
  <c r="O230"/>
  <c r="O231"/>
  <c r="O232"/>
  <c r="O233"/>
  <c r="O234"/>
  <c r="O235"/>
  <c r="O236"/>
  <c r="O237"/>
  <c r="O238"/>
  <c r="O239"/>
  <c r="O240"/>
  <c r="O241"/>
  <c r="O242"/>
  <c r="O243"/>
  <c r="O244"/>
  <c r="O245"/>
  <c r="O246"/>
  <c r="O247"/>
  <c r="O248"/>
  <c r="O249"/>
  <c r="O250"/>
  <c r="O251"/>
  <c r="O252"/>
  <c r="O253"/>
  <c r="O254"/>
  <c r="O255"/>
  <c r="O256"/>
  <c r="O257"/>
  <c r="O258"/>
  <c r="O259"/>
  <c r="O260"/>
  <c r="O261"/>
  <c r="O262"/>
  <c r="O263"/>
  <c r="O264"/>
  <c r="O265"/>
  <c r="O266"/>
  <c r="O267"/>
  <c r="O268"/>
  <c r="O269"/>
  <c r="O270"/>
  <c r="O271"/>
  <c r="O272"/>
  <c r="O273"/>
  <c r="O274"/>
  <c r="O275"/>
  <c r="O276"/>
  <c r="O277"/>
  <c r="O278"/>
  <c r="O279"/>
  <c r="O280"/>
  <c r="O281"/>
  <c r="O282"/>
  <c r="O283"/>
  <c r="O284"/>
  <c r="O285"/>
  <c r="O286"/>
  <c r="O287"/>
  <c r="O288"/>
  <c r="O289"/>
  <c r="O290"/>
  <c r="O291"/>
  <c r="O292"/>
  <c r="O293"/>
  <c r="O294"/>
  <c r="O295"/>
  <c r="O296"/>
  <c r="O297"/>
  <c r="O298"/>
  <c r="O299"/>
  <c r="O300"/>
  <c r="O301"/>
  <c r="O302"/>
  <c r="O303"/>
  <c r="O304"/>
  <c r="O305"/>
  <c r="O306"/>
  <c r="O307"/>
  <c r="O308"/>
  <c r="O309"/>
  <c r="O310"/>
  <c r="O311"/>
  <c r="O312"/>
  <c r="O313"/>
  <c r="O314"/>
  <c r="O315"/>
  <c r="O316"/>
  <c r="O317"/>
  <c r="O318"/>
  <c r="O319"/>
  <c r="O320"/>
  <c r="O321"/>
  <c r="O322"/>
  <c r="O323"/>
  <c r="O324"/>
  <c r="O325"/>
  <c r="O326"/>
  <c r="O327"/>
  <c r="O328"/>
  <c r="O329"/>
  <c r="O330"/>
  <c r="O331"/>
  <c r="O332"/>
  <c r="O333"/>
  <c r="O334"/>
  <c r="O335"/>
  <c r="O336"/>
  <c r="O337"/>
  <c r="O338"/>
  <c r="O339"/>
  <c r="O340"/>
  <c r="O341"/>
  <c r="O342"/>
  <c r="O343"/>
  <c r="O344"/>
  <c r="O345"/>
  <c r="O346"/>
  <c r="O347"/>
  <c r="O348"/>
  <c r="O349"/>
  <c r="O350"/>
  <c r="O351"/>
  <c r="O352"/>
  <c r="O353"/>
  <c r="O354"/>
  <c r="O355"/>
  <c r="O356"/>
  <c r="O357"/>
  <c r="O358"/>
  <c r="O359"/>
  <c r="O360"/>
  <c r="O361"/>
  <c r="O362"/>
  <c r="O363"/>
  <c r="O364"/>
  <c r="O365"/>
  <c r="O366"/>
  <c r="O367"/>
  <c r="O368"/>
  <c r="O369"/>
  <c r="O370"/>
  <c r="O371"/>
  <c r="O372"/>
  <c r="O373"/>
  <c r="O374"/>
  <c r="O375"/>
  <c r="O376"/>
  <c r="O377"/>
  <c r="O378"/>
  <c r="O379"/>
  <c r="O380"/>
  <c r="O381"/>
  <c r="O382"/>
  <c r="O383"/>
  <c r="O384"/>
  <c r="O385"/>
  <c r="O386"/>
  <c r="O387"/>
  <c r="O388"/>
  <c r="O389"/>
  <c r="O390"/>
  <c r="O391"/>
  <c r="O392"/>
  <c r="O393"/>
  <c r="O394"/>
  <c r="O395"/>
  <c r="O396"/>
  <c r="O397"/>
  <c r="O398"/>
  <c r="O399"/>
  <c r="O400"/>
  <c r="O401"/>
  <c r="O402"/>
  <c r="O403"/>
  <c r="O404"/>
  <c r="O405"/>
  <c r="O406"/>
  <c r="O407"/>
  <c r="O408"/>
  <c r="O409"/>
  <c r="O410"/>
  <c r="O411"/>
  <c r="O412"/>
  <c r="O413"/>
  <c r="O414"/>
  <c r="O415"/>
  <c r="O416"/>
  <c r="O417"/>
  <c r="O418"/>
  <c r="O419"/>
  <c r="O420"/>
  <c r="O421"/>
  <c r="O422"/>
  <c r="O423"/>
  <c r="O424"/>
  <c r="O425"/>
  <c r="O426"/>
  <c r="O427"/>
  <c r="O428"/>
  <c r="O429"/>
  <c r="O430"/>
  <c r="O431"/>
  <c r="O432"/>
  <c r="O433"/>
  <c r="O434"/>
  <c r="O435"/>
  <c r="O436"/>
  <c r="O437"/>
  <c r="O438"/>
  <c r="O439"/>
  <c r="O440"/>
  <c r="O441"/>
  <c r="O442"/>
  <c r="O443"/>
  <c r="O444"/>
  <c r="O445"/>
  <c r="O446"/>
  <c r="O447"/>
  <c r="O448"/>
  <c r="O449"/>
  <c r="O450"/>
  <c r="O451"/>
  <c r="O452"/>
  <c r="O453"/>
  <c r="O454"/>
  <c r="O455"/>
  <c r="O456"/>
  <c r="O457"/>
  <c r="O458"/>
  <c r="O459"/>
  <c r="O460"/>
  <c r="O461"/>
  <c r="O462"/>
  <c r="O463"/>
  <c r="O464"/>
  <c r="O465"/>
  <c r="O466"/>
  <c r="O467"/>
  <c r="O468"/>
  <c r="O469"/>
  <c r="O470"/>
  <c r="O471"/>
  <c r="O472"/>
  <c r="O473"/>
  <c r="O474"/>
  <c r="O475"/>
  <c r="O476"/>
  <c r="O477"/>
  <c r="O478"/>
  <c r="O479"/>
  <c r="O480"/>
  <c r="O481"/>
  <c r="O482"/>
  <c r="O483"/>
  <c r="O484"/>
  <c r="O485"/>
  <c r="O486"/>
  <c r="O487"/>
  <c r="O488"/>
  <c r="O489"/>
  <c r="O490"/>
  <c r="O491"/>
  <c r="O492"/>
  <c r="O493"/>
  <c r="O494"/>
  <c r="O495"/>
  <c r="O496"/>
  <c r="O497"/>
  <c r="O498"/>
  <c r="O499"/>
  <c r="O500"/>
  <c r="O501"/>
  <c r="O502"/>
  <c r="O503"/>
  <c r="O504"/>
  <c r="O505"/>
  <c r="O506"/>
  <c r="O507"/>
  <c r="O508"/>
  <c r="O509"/>
  <c r="O510"/>
  <c r="O511"/>
  <c r="O512"/>
  <c r="O513"/>
  <c r="O514"/>
  <c r="O515"/>
  <c r="O516"/>
  <c r="O517"/>
  <c r="O518"/>
  <c r="O519"/>
  <c r="O520"/>
  <c r="O521"/>
  <c r="O522"/>
  <c r="O523"/>
  <c r="O524"/>
  <c r="O525"/>
  <c r="O526"/>
  <c r="O527"/>
  <c r="O528"/>
  <c r="O529"/>
  <c r="O530"/>
  <c r="O531"/>
  <c r="O532"/>
  <c r="O533"/>
  <c r="O534"/>
  <c r="O535"/>
  <c r="O536"/>
  <c r="O537"/>
  <c r="O538"/>
  <c r="O539"/>
  <c r="O540"/>
  <c r="O541"/>
  <c r="O542"/>
  <c r="O543"/>
  <c r="O544"/>
  <c r="O545"/>
  <c r="O546"/>
  <c r="O547"/>
  <c r="O548"/>
  <c r="O549"/>
  <c r="O550"/>
  <c r="O551"/>
  <c r="O552"/>
  <c r="O553"/>
  <c r="O554"/>
  <c r="O555"/>
  <c r="O556"/>
  <c r="O557"/>
  <c r="O558"/>
  <c r="O559"/>
  <c r="O560"/>
  <c r="O561"/>
  <c r="O562"/>
  <c r="O563"/>
  <c r="O564"/>
  <c r="O565"/>
  <c r="O566"/>
  <c r="O567"/>
  <c r="O568"/>
  <c r="O569"/>
  <c r="O570"/>
  <c r="O571"/>
  <c r="O572"/>
  <c r="O573"/>
  <c r="O574"/>
  <c r="O575"/>
  <c r="O576"/>
  <c r="O577"/>
  <c r="O578"/>
  <c r="O579"/>
  <c r="O580"/>
  <c r="O581"/>
  <c r="O582"/>
  <c r="O583"/>
  <c r="O584"/>
  <c r="O585"/>
  <c r="O586"/>
  <c r="O587"/>
  <c r="O588"/>
  <c r="O589"/>
  <c r="O590"/>
  <c r="O591"/>
  <c r="O592"/>
  <c r="O593"/>
  <c r="O594"/>
  <c r="O595"/>
  <c r="O596"/>
  <c r="O597"/>
  <c r="O598"/>
  <c r="O599"/>
  <c r="O600"/>
  <c r="O601"/>
  <c r="O602"/>
  <c r="O603"/>
  <c r="O604"/>
  <c r="O605"/>
  <c r="O606"/>
  <c r="O607"/>
  <c r="O608"/>
  <c r="O609"/>
  <c r="O610"/>
  <c r="O611"/>
  <c r="O612"/>
  <c r="O613"/>
  <c r="O614"/>
  <c r="O615"/>
  <c r="O616"/>
  <c r="O617"/>
  <c r="O618"/>
  <c r="O619"/>
  <c r="O620"/>
  <c r="O621"/>
  <c r="O622"/>
  <c r="O623"/>
  <c r="O624"/>
  <c r="O625"/>
  <c r="O626"/>
  <c r="O627"/>
  <c r="O628"/>
  <c r="O629"/>
  <c r="O630"/>
  <c r="O631"/>
  <c r="O632"/>
  <c r="O633"/>
  <c r="O634"/>
  <c r="O635"/>
  <c r="O636"/>
  <c r="O637"/>
  <c r="O638"/>
  <c r="O639"/>
  <c r="O640"/>
  <c r="O641"/>
  <c r="O642"/>
  <c r="O643"/>
  <c r="O644"/>
  <c r="O645"/>
  <c r="O646"/>
  <c r="O647"/>
  <c r="O648"/>
  <c r="O649"/>
  <c r="O650"/>
  <c r="O651"/>
  <c r="O652"/>
  <c r="O653"/>
  <c r="O654"/>
  <c r="O655"/>
  <c r="O656"/>
  <c r="O657"/>
  <c r="O658"/>
  <c r="O659"/>
  <c r="O660"/>
  <c r="O661"/>
  <c r="O662"/>
  <c r="O663"/>
  <c r="O664"/>
  <c r="O665"/>
  <c r="O666"/>
  <c r="O667"/>
  <c r="O668"/>
  <c r="O669"/>
  <c r="O670"/>
  <c r="O671"/>
  <c r="O672"/>
  <c r="O673"/>
  <c r="O674"/>
  <c r="O675"/>
  <c r="O676"/>
  <c r="O677"/>
  <c r="O678"/>
  <c r="O679"/>
  <c r="O680"/>
  <c r="O681"/>
  <c r="O682"/>
  <c r="O683"/>
  <c r="O684"/>
  <c r="O685"/>
  <c r="O686"/>
  <c r="O687"/>
  <c r="O688"/>
  <c r="O689"/>
  <c r="O690"/>
  <c r="O691"/>
  <c r="O692"/>
  <c r="O693"/>
  <c r="O694"/>
  <c r="O695"/>
  <c r="O696"/>
  <c r="O697"/>
  <c r="O698"/>
  <c r="O699"/>
  <c r="O700"/>
  <c r="O701"/>
  <c r="O702"/>
  <c r="O703"/>
  <c r="O704"/>
  <c r="O705"/>
  <c r="O706"/>
  <c r="O707"/>
  <c r="O708"/>
  <c r="O709"/>
  <c r="O710"/>
  <c r="O711"/>
  <c r="O712"/>
  <c r="O713"/>
  <c r="O714"/>
  <c r="O715"/>
  <c r="O716"/>
  <c r="O717"/>
  <c r="O718"/>
  <c r="O719"/>
  <c r="O720"/>
  <c r="O721"/>
  <c r="O722"/>
  <c r="O723"/>
  <c r="O724"/>
  <c r="O725"/>
  <c r="O726"/>
  <c r="O727"/>
  <c r="O728"/>
  <c r="O729"/>
  <c r="O730"/>
  <c r="O731"/>
  <c r="O732"/>
  <c r="O733"/>
  <c r="O734"/>
  <c r="O735"/>
  <c r="O736"/>
  <c r="O737"/>
  <c r="O738"/>
  <c r="O739"/>
  <c r="O740"/>
  <c r="O741"/>
  <c r="O742"/>
  <c r="O743"/>
  <c r="O744"/>
  <c r="O745"/>
  <c r="O746"/>
  <c r="O747"/>
  <c r="O748"/>
  <c r="O749"/>
  <c r="O750"/>
  <c r="O751"/>
  <c r="O752"/>
  <c r="O753"/>
  <c r="O754"/>
  <c r="O755"/>
  <c r="O756"/>
  <c r="O757"/>
  <c r="O758"/>
  <c r="O759"/>
  <c r="O760"/>
  <c r="O761"/>
  <c r="O762"/>
  <c r="O763"/>
  <c r="O764"/>
  <c r="O765"/>
  <c r="O766"/>
  <c r="O767"/>
  <c r="O768"/>
  <c r="O769"/>
  <c r="O770"/>
  <c r="O771"/>
  <c r="O772"/>
  <c r="O773"/>
  <c r="O774"/>
  <c r="O775"/>
  <c r="O776"/>
  <c r="O777"/>
  <c r="O778"/>
  <c r="O779"/>
  <c r="O780"/>
  <c r="O781"/>
  <c r="O782"/>
  <c r="O783"/>
  <c r="O784"/>
  <c r="O785"/>
  <c r="O786"/>
  <c r="O787"/>
  <c r="O788"/>
  <c r="O789"/>
  <c r="O790"/>
  <c r="O791"/>
  <c r="O792"/>
  <c r="O793"/>
  <c r="O794"/>
  <c r="O795"/>
  <c r="O796"/>
  <c r="O797"/>
  <c r="O798"/>
  <c r="O799"/>
  <c r="O800"/>
  <c r="O801"/>
  <c r="O802"/>
  <c r="O803"/>
  <c r="O804"/>
  <c r="O805"/>
  <c r="O806"/>
  <c r="O807"/>
  <c r="O808"/>
  <c r="O809"/>
  <c r="O810"/>
  <c r="O811"/>
  <c r="O812"/>
  <c r="O813"/>
  <c r="O814"/>
  <c r="O815"/>
  <c r="O816"/>
  <c r="O817"/>
  <c r="O818"/>
  <c r="O819"/>
  <c r="O820"/>
  <c r="O821"/>
  <c r="O822"/>
  <c r="O823"/>
  <c r="O824"/>
  <c r="O825"/>
  <c r="O826"/>
  <c r="O827"/>
  <c r="O828"/>
  <c r="O829"/>
  <c r="O830"/>
  <c r="O831"/>
  <c r="O832"/>
  <c r="O833"/>
  <c r="O834"/>
  <c r="O835"/>
  <c r="O836"/>
  <c r="O837"/>
  <c r="O838"/>
  <c r="O839"/>
  <c r="O840"/>
  <c r="O841"/>
  <c r="O842"/>
  <c r="O843"/>
  <c r="O844"/>
  <c r="O845"/>
  <c r="O846"/>
  <c r="O847"/>
  <c r="O848"/>
  <c r="O849"/>
  <c r="O850"/>
  <c r="O851"/>
  <c r="O852"/>
  <c r="O853"/>
  <c r="O854"/>
  <c r="O855"/>
  <c r="O856"/>
  <c r="O857"/>
  <c r="O858"/>
  <c r="O859"/>
  <c r="O860"/>
  <c r="O861"/>
  <c r="O862"/>
  <c r="O863"/>
  <c r="O864"/>
  <c r="O865"/>
  <c r="O866"/>
  <c r="O867"/>
  <c r="O868"/>
  <c r="O869"/>
  <c r="O870"/>
  <c r="O871"/>
  <c r="O872"/>
  <c r="O873"/>
  <c r="O874"/>
  <c r="O875"/>
  <c r="O876"/>
  <c r="O877"/>
  <c r="O878"/>
  <c r="O879"/>
  <c r="O880"/>
  <c r="O881"/>
  <c r="O882"/>
  <c r="O883"/>
  <c r="O884"/>
  <c r="O885"/>
  <c r="O886"/>
  <c r="O887"/>
  <c r="O888"/>
  <c r="O889"/>
  <c r="O890"/>
  <c r="O891"/>
  <c r="O892"/>
  <c r="O893"/>
  <c r="O894"/>
  <c r="O895"/>
  <c r="O896"/>
  <c r="O897"/>
  <c r="O898"/>
  <c r="O899"/>
  <c r="O900"/>
  <c r="O901"/>
  <c r="O902"/>
  <c r="O903"/>
  <c r="O904"/>
  <c r="O905"/>
  <c r="O906"/>
  <c r="O907"/>
  <c r="O908"/>
  <c r="O909"/>
  <c r="O910"/>
  <c r="O911"/>
  <c r="O912"/>
  <c r="O913"/>
  <c r="O914"/>
  <c r="O915"/>
  <c r="O916"/>
  <c r="O917"/>
  <c r="O918"/>
  <c r="O919"/>
  <c r="O920"/>
  <c r="O921"/>
  <c r="O922"/>
  <c r="O923"/>
  <c r="O924"/>
  <c r="O925"/>
  <c r="O926"/>
  <c r="O927"/>
  <c r="O928"/>
  <c r="O929"/>
  <c r="O930"/>
  <c r="O931"/>
  <c r="O932"/>
  <c r="O933"/>
  <c r="O934"/>
  <c r="O935"/>
  <c r="O936"/>
  <c r="O937"/>
  <c r="O938"/>
  <c r="O939"/>
  <c r="O940"/>
  <c r="O941"/>
  <c r="O942"/>
  <c r="O943"/>
  <c r="O944"/>
  <c r="O945"/>
  <c r="O946"/>
  <c r="O947"/>
  <c r="O948"/>
  <c r="O949"/>
  <c r="O950"/>
  <c r="O951"/>
  <c r="O952"/>
  <c r="O953"/>
  <c r="O954"/>
  <c r="O955"/>
  <c r="O956"/>
  <c r="O957"/>
  <c r="O958"/>
  <c r="O959"/>
  <c r="O960"/>
  <c r="O961"/>
  <c r="O962"/>
  <c r="O963"/>
  <c r="O964"/>
  <c r="O965"/>
  <c r="O966"/>
  <c r="O967"/>
  <c r="O968"/>
  <c r="O969"/>
  <c r="O970"/>
  <c r="O971"/>
  <c r="O972"/>
  <c r="O973"/>
  <c r="O974"/>
  <c r="O975"/>
  <c r="O976"/>
  <c r="O977"/>
  <c r="O978"/>
  <c r="O979"/>
  <c r="O980"/>
  <c r="O981"/>
  <c r="O982"/>
  <c r="O983"/>
  <c r="O984"/>
  <c r="O985"/>
  <c r="O986"/>
  <c r="O987"/>
  <c r="O988"/>
  <c r="O989"/>
  <c r="O990"/>
  <c r="O991"/>
  <c r="O992"/>
  <c r="O993"/>
  <c r="O994"/>
  <c r="O995"/>
  <c r="O996"/>
  <c r="O997"/>
  <c r="O998"/>
  <c r="O999"/>
  <c r="O1000"/>
  <c r="O1001"/>
  <c r="O1002"/>
  <c r="E5" i="2" l="1"/>
  <c r="D5"/>
  <c r="Q1002" i="3"/>
  <c r="Q1001"/>
  <c r="Q1000"/>
  <c r="Q999"/>
  <c r="Q998"/>
  <c r="Q997"/>
  <c r="Q996"/>
  <c r="Q995"/>
  <c r="Q994"/>
  <c r="Q993"/>
  <c r="Q992"/>
  <c r="Q991"/>
  <c r="Q990"/>
  <c r="Q989"/>
  <c r="Q988"/>
  <c r="Q987"/>
  <c r="Q986"/>
  <c r="Q985"/>
  <c r="Q984"/>
  <c r="Q983"/>
  <c r="Q982"/>
  <c r="Q981"/>
  <c r="Q980"/>
  <c r="Q979"/>
  <c r="Q978"/>
  <c r="Q977"/>
  <c r="Q976"/>
  <c r="Q975"/>
  <c r="Q974"/>
  <c r="Q973"/>
  <c r="Q972"/>
  <c r="Q971"/>
  <c r="Q970"/>
  <c r="Q969"/>
  <c r="Q968"/>
  <c r="Q967"/>
  <c r="Q966"/>
  <c r="Q965"/>
  <c r="Q964"/>
  <c r="Q963"/>
  <c r="Q962"/>
  <c r="Q961"/>
  <c r="Q960"/>
  <c r="Q959"/>
  <c r="Q958"/>
  <c r="Q957"/>
  <c r="Q956"/>
  <c r="Q955"/>
  <c r="Q954"/>
  <c r="Q953"/>
  <c r="Q952"/>
  <c r="Q951"/>
  <c r="Q950"/>
  <c r="Q949"/>
  <c r="Q948"/>
  <c r="Q947"/>
  <c r="Q946"/>
  <c r="Q945"/>
  <c r="Q944"/>
  <c r="Q943"/>
  <c r="Q942"/>
  <c r="Q941"/>
  <c r="Q940"/>
  <c r="Q939"/>
  <c r="Q938"/>
  <c r="Q937"/>
  <c r="Q936"/>
  <c r="Q935"/>
  <c r="Q934"/>
  <c r="Q933"/>
  <c r="Q932"/>
  <c r="Q931"/>
  <c r="Q930"/>
  <c r="Q929"/>
  <c r="Q928"/>
  <c r="Q927"/>
  <c r="Q926"/>
  <c r="Q925"/>
  <c r="Q924"/>
  <c r="Q923"/>
  <c r="Q922"/>
  <c r="Q921"/>
  <c r="Q920"/>
  <c r="Q919"/>
  <c r="Q918"/>
  <c r="Q917"/>
  <c r="Q916"/>
  <c r="Q915"/>
  <c r="Q914"/>
  <c r="Q913"/>
  <c r="Q912"/>
  <c r="Q911"/>
  <c r="Q910"/>
  <c r="Q909"/>
  <c r="Q908"/>
  <c r="Q907"/>
  <c r="Q906"/>
  <c r="Q905"/>
  <c r="Q904"/>
  <c r="Q903"/>
  <c r="Q902"/>
  <c r="Q901"/>
  <c r="Q900"/>
  <c r="Q899"/>
  <c r="Q898"/>
  <c r="Q897"/>
  <c r="Q896"/>
  <c r="Q895"/>
  <c r="Q894"/>
  <c r="Q893"/>
  <c r="Q892"/>
  <c r="Q891"/>
  <c r="Q890"/>
  <c r="Q889"/>
  <c r="Q888"/>
  <c r="Q887"/>
  <c r="Q886"/>
  <c r="Q885"/>
  <c r="Q884"/>
  <c r="Q883"/>
  <c r="Q882"/>
  <c r="Q881"/>
  <c r="Q880"/>
  <c r="Q879"/>
  <c r="Q878"/>
  <c r="Q877"/>
  <c r="Q876"/>
  <c r="Q875"/>
  <c r="Q874"/>
  <c r="Q873"/>
  <c r="Q872"/>
  <c r="Q871"/>
  <c r="Q870"/>
  <c r="Q869"/>
  <c r="Q868"/>
  <c r="Q867"/>
  <c r="Q866"/>
  <c r="Q865"/>
  <c r="Q864"/>
  <c r="Q863"/>
  <c r="Q862"/>
  <c r="Q861"/>
  <c r="Q860"/>
  <c r="Q859"/>
  <c r="Q858"/>
  <c r="Q857"/>
  <c r="Q856"/>
  <c r="Q855"/>
  <c r="Q854"/>
  <c r="Q853"/>
  <c r="Q852"/>
  <c r="Q851"/>
  <c r="Q850"/>
  <c r="Q849"/>
  <c r="Q848"/>
  <c r="Q847"/>
  <c r="Q846"/>
  <c r="Q845"/>
  <c r="Q844"/>
  <c r="Q843"/>
  <c r="Q842"/>
  <c r="Q841"/>
  <c r="Q840"/>
  <c r="Q839"/>
  <c r="Q838"/>
  <c r="Q837"/>
  <c r="Q836"/>
  <c r="Q835"/>
  <c r="Q834"/>
  <c r="Q833"/>
  <c r="Q832"/>
  <c r="Q831"/>
  <c r="Q830"/>
  <c r="Q829"/>
  <c r="Q828"/>
  <c r="Q827"/>
  <c r="Q826"/>
  <c r="Q825"/>
  <c r="Q824"/>
  <c r="Q823"/>
  <c r="Q822"/>
  <c r="Q821"/>
  <c r="Q820"/>
  <c r="Q819"/>
  <c r="Q818"/>
  <c r="Q817"/>
  <c r="Q816"/>
  <c r="Q815"/>
  <c r="Q814"/>
  <c r="Q813"/>
  <c r="Q812"/>
  <c r="Q811"/>
  <c r="Q810"/>
  <c r="Q809"/>
  <c r="Q808"/>
  <c r="Q807"/>
  <c r="Q806"/>
  <c r="Q805"/>
  <c r="Q804"/>
  <c r="Q803"/>
  <c r="Q802"/>
  <c r="Q801"/>
  <c r="Q800"/>
  <c r="Q799"/>
  <c r="Q798"/>
  <c r="Q797"/>
  <c r="Q796"/>
  <c r="Q795"/>
  <c r="Q794"/>
  <c r="Q793"/>
  <c r="Q792"/>
  <c r="Q791"/>
  <c r="Q790"/>
  <c r="Q789"/>
  <c r="Q788"/>
  <c r="Q787"/>
  <c r="Q786"/>
  <c r="Q785"/>
  <c r="Q784"/>
  <c r="Q783"/>
  <c r="Q782"/>
  <c r="Q781"/>
  <c r="Q780"/>
  <c r="Q779"/>
  <c r="Q778"/>
  <c r="Q777"/>
  <c r="Q776"/>
  <c r="Q775"/>
  <c r="Q774"/>
  <c r="Q773"/>
  <c r="Q772"/>
  <c r="Q771"/>
  <c r="Q770"/>
  <c r="Q769"/>
  <c r="Q768"/>
  <c r="Q767"/>
  <c r="Q766"/>
  <c r="Q765"/>
  <c r="Q764"/>
  <c r="Q763"/>
  <c r="Q762"/>
  <c r="Q761"/>
  <c r="Q760"/>
  <c r="Q759"/>
  <c r="Q758"/>
  <c r="Q757"/>
  <c r="Q756"/>
  <c r="Q755"/>
  <c r="Q754"/>
  <c r="Q753"/>
  <c r="Q752"/>
  <c r="Q751"/>
  <c r="Q750"/>
  <c r="Q749"/>
  <c r="Q748"/>
  <c r="Q747"/>
  <c r="Q746"/>
  <c r="Q745"/>
  <c r="Q744"/>
  <c r="Q743"/>
  <c r="Q742"/>
  <c r="Q741"/>
  <c r="Q740"/>
  <c r="Q739"/>
  <c r="Q738"/>
  <c r="Q737"/>
  <c r="Q736"/>
  <c r="Q735"/>
  <c r="Q734"/>
  <c r="Q733"/>
  <c r="Q732"/>
  <c r="Q731"/>
  <c r="Q730"/>
  <c r="Q729"/>
  <c r="Q728"/>
  <c r="Q727"/>
  <c r="Q726"/>
  <c r="Q725"/>
  <c r="Q724"/>
  <c r="Q723"/>
  <c r="Q722"/>
  <c r="Q721"/>
  <c r="Q720"/>
  <c r="Q719"/>
  <c r="Q718"/>
  <c r="Q717"/>
  <c r="Q716"/>
  <c r="Q715"/>
  <c r="Q714"/>
  <c r="Q713"/>
  <c r="Q712"/>
  <c r="Q711"/>
  <c r="Q710"/>
  <c r="Q709"/>
  <c r="Q708"/>
  <c r="Q707"/>
  <c r="Q706"/>
  <c r="Q705"/>
  <c r="Q704"/>
  <c r="Q703"/>
  <c r="Q702"/>
  <c r="Q701"/>
  <c r="Q700"/>
  <c r="Q699"/>
  <c r="Q698"/>
  <c r="Q697"/>
  <c r="Q696"/>
  <c r="Q695"/>
  <c r="Q694"/>
  <c r="Q693"/>
  <c r="Q692"/>
  <c r="Q691"/>
  <c r="Q690"/>
  <c r="Q689"/>
  <c r="Q688"/>
  <c r="Q687"/>
  <c r="Q686"/>
  <c r="Q685"/>
  <c r="Q684"/>
  <c r="Q683"/>
  <c r="Q682"/>
  <c r="Q681"/>
  <c r="Q680"/>
  <c r="Q679"/>
  <c r="Q678"/>
  <c r="Q677"/>
  <c r="Q676"/>
  <c r="Q675"/>
  <c r="Q674"/>
  <c r="Q673"/>
  <c r="Q672"/>
  <c r="Q671"/>
  <c r="Q670"/>
  <c r="Q669"/>
  <c r="Q668"/>
  <c r="Q667"/>
  <c r="Q666"/>
  <c r="Q665"/>
  <c r="Q664"/>
  <c r="Q663"/>
  <c r="Q662"/>
  <c r="Q661"/>
  <c r="Q660"/>
  <c r="Q659"/>
  <c r="Q658"/>
  <c r="Q657"/>
  <c r="Q656"/>
  <c r="Q655"/>
  <c r="Q654"/>
  <c r="Q653"/>
  <c r="Q652"/>
  <c r="Q651"/>
  <c r="Q650"/>
  <c r="Q649"/>
  <c r="Q648"/>
  <c r="Q647"/>
  <c r="Q646"/>
  <c r="Q645"/>
  <c r="Q644"/>
  <c r="Q643"/>
  <c r="Q642"/>
  <c r="Q641"/>
  <c r="Q640"/>
  <c r="Q639"/>
  <c r="Q638"/>
  <c r="Q637"/>
  <c r="Q636"/>
  <c r="Q635"/>
  <c r="Q634"/>
  <c r="Q633"/>
  <c r="Q632"/>
  <c r="Q631"/>
  <c r="Q630"/>
  <c r="Q629"/>
  <c r="Q628"/>
  <c r="Q627"/>
  <c r="Q626"/>
  <c r="Q625"/>
  <c r="Q624"/>
  <c r="Q623"/>
  <c r="Q622"/>
  <c r="Q621"/>
  <c r="Q620"/>
  <c r="Q619"/>
  <c r="Q618"/>
  <c r="Q617"/>
  <c r="Q616"/>
  <c r="Q615"/>
  <c r="Q614"/>
  <c r="Q613"/>
  <c r="Q612"/>
  <c r="Q611"/>
  <c r="Q610"/>
  <c r="Q609"/>
  <c r="Q608"/>
  <c r="Q607"/>
  <c r="Q606"/>
  <c r="Q605"/>
  <c r="Q604"/>
  <c r="Q603"/>
  <c r="Q602"/>
  <c r="Q601"/>
  <c r="Q600"/>
  <c r="Q599"/>
  <c r="Q598"/>
  <c r="Q597"/>
  <c r="Q596"/>
  <c r="Q595"/>
  <c r="Q594"/>
  <c r="Q593"/>
  <c r="Q592"/>
  <c r="Q591"/>
  <c r="Q590"/>
  <c r="Q589"/>
  <c r="Q588"/>
  <c r="Q587"/>
  <c r="Q586"/>
  <c r="Q585"/>
  <c r="Q584"/>
  <c r="Q583"/>
  <c r="Q582"/>
  <c r="Q581"/>
  <c r="Q580"/>
  <c r="Q579"/>
  <c r="Q578"/>
  <c r="Q577"/>
  <c r="Q576"/>
  <c r="Q575"/>
  <c r="Q574"/>
  <c r="Q573"/>
  <c r="Q572"/>
  <c r="Q571"/>
  <c r="Q570"/>
  <c r="Q569"/>
  <c r="Q568"/>
  <c r="Q567"/>
  <c r="Q566"/>
  <c r="Q565"/>
  <c r="Q564"/>
  <c r="Q563"/>
  <c r="Q562"/>
  <c r="Q561"/>
  <c r="Q560"/>
  <c r="Q559"/>
  <c r="Q558"/>
  <c r="Q557"/>
  <c r="Q556"/>
  <c r="Q555"/>
  <c r="Q554"/>
  <c r="Q553"/>
  <c r="Q552"/>
  <c r="Q551"/>
  <c r="Q550"/>
  <c r="Q549"/>
  <c r="Q548"/>
  <c r="Q547"/>
  <c r="Q546"/>
  <c r="Q545"/>
  <c r="Q544"/>
  <c r="Q543"/>
  <c r="Q542"/>
  <c r="Q541"/>
  <c r="Q540"/>
  <c r="Q539"/>
  <c r="Q538"/>
  <c r="Q537"/>
  <c r="Q536"/>
  <c r="Q535"/>
  <c r="Q534"/>
  <c r="Q533"/>
  <c r="Q532"/>
  <c r="Q531"/>
  <c r="Q530"/>
  <c r="Q529"/>
  <c r="Q528"/>
  <c r="Q527"/>
  <c r="Q526"/>
  <c r="Q525"/>
  <c r="Q524"/>
  <c r="Q523"/>
  <c r="Q522"/>
  <c r="Q521"/>
  <c r="Q520"/>
  <c r="Q519"/>
  <c r="Q518"/>
  <c r="Q517"/>
  <c r="Q516"/>
  <c r="Q515"/>
  <c r="Q514"/>
  <c r="Q513"/>
  <c r="Q512"/>
  <c r="Q511"/>
  <c r="Q510"/>
  <c r="Q509"/>
  <c r="Q508"/>
  <c r="Q507"/>
  <c r="Q506"/>
  <c r="Q505"/>
  <c r="Q504"/>
  <c r="Q503"/>
  <c r="Q502"/>
  <c r="Q501"/>
  <c r="Q500"/>
  <c r="Q499"/>
  <c r="Q498"/>
  <c r="Q497"/>
  <c r="Q496"/>
  <c r="Q495"/>
  <c r="Q494"/>
  <c r="Q493"/>
  <c r="Q492"/>
  <c r="Q491"/>
  <c r="Q490"/>
  <c r="Q489"/>
  <c r="Q488"/>
  <c r="Q487"/>
  <c r="Q486"/>
  <c r="Q485"/>
  <c r="Q484"/>
  <c r="Q483"/>
  <c r="Q482"/>
  <c r="Q481"/>
  <c r="Q480"/>
  <c r="Q479"/>
  <c r="Q478"/>
  <c r="Q477"/>
  <c r="Q476"/>
  <c r="Q475"/>
  <c r="Q474"/>
  <c r="Q473"/>
  <c r="Q472"/>
  <c r="Q471"/>
  <c r="Q470"/>
  <c r="Q469"/>
  <c r="Q468"/>
  <c r="Q467"/>
  <c r="Q466"/>
  <c r="Q465"/>
  <c r="Q464"/>
  <c r="Q463"/>
  <c r="Q462"/>
  <c r="Q461"/>
  <c r="Q460"/>
  <c r="Q459"/>
  <c r="Q458"/>
  <c r="Q457"/>
  <c r="Q456"/>
  <c r="Q455"/>
  <c r="Q454"/>
  <c r="Q453"/>
  <c r="Q452"/>
  <c r="Q451"/>
  <c r="Q450"/>
  <c r="Q449"/>
  <c r="Q448"/>
  <c r="Q447"/>
  <c r="Q446"/>
  <c r="Q445"/>
  <c r="Q444"/>
  <c r="Q443"/>
  <c r="Q442"/>
  <c r="Q441"/>
  <c r="Q440"/>
  <c r="Q439"/>
  <c r="Q438"/>
  <c r="Q437"/>
  <c r="Q436"/>
  <c r="Q435"/>
  <c r="Q434"/>
  <c r="Q433"/>
  <c r="Q432"/>
  <c r="Q431"/>
  <c r="Q430"/>
  <c r="Q429"/>
  <c r="Q428"/>
  <c r="Q427"/>
  <c r="Q426"/>
  <c r="Q425"/>
  <c r="Q424"/>
  <c r="Q423"/>
  <c r="Q422"/>
  <c r="Q421"/>
  <c r="Q420"/>
  <c r="Q419"/>
  <c r="Q418"/>
  <c r="Q417"/>
  <c r="Q416"/>
  <c r="Q415"/>
  <c r="Q414"/>
  <c r="Q413"/>
  <c r="Q412"/>
  <c r="Q411"/>
  <c r="Q410"/>
  <c r="Q409"/>
  <c r="Q408"/>
  <c r="Q407"/>
  <c r="Q406"/>
  <c r="Q405"/>
  <c r="Q404"/>
  <c r="Q403"/>
  <c r="Q402"/>
  <c r="Q401"/>
  <c r="Q400"/>
  <c r="Q399"/>
  <c r="Q398"/>
  <c r="Q397"/>
  <c r="Q396"/>
  <c r="Q395"/>
  <c r="Q394"/>
  <c r="Q393"/>
  <c r="Q392"/>
  <c r="Q391"/>
  <c r="Q390"/>
  <c r="Q389"/>
  <c r="Q388"/>
  <c r="Q387"/>
  <c r="Q386"/>
  <c r="Q385"/>
  <c r="Q384"/>
  <c r="Q383"/>
  <c r="Q382"/>
  <c r="Q381"/>
  <c r="Q380"/>
  <c r="Q379"/>
  <c r="Q378"/>
  <c r="Q377"/>
  <c r="Q376"/>
  <c r="Q375"/>
  <c r="Q374"/>
  <c r="Q373"/>
  <c r="Q372"/>
  <c r="Q371"/>
  <c r="Q370"/>
  <c r="Q369"/>
  <c r="Q368"/>
  <c r="Q367"/>
  <c r="Q366"/>
  <c r="Q365"/>
  <c r="Q364"/>
  <c r="Q363"/>
  <c r="Q362"/>
  <c r="Q361"/>
  <c r="Q360"/>
  <c r="Q359"/>
  <c r="Q358"/>
  <c r="Q357"/>
  <c r="Q356"/>
  <c r="Q355"/>
  <c r="Q354"/>
  <c r="Q353"/>
  <c r="Q352"/>
  <c r="Q351"/>
  <c r="Q350"/>
  <c r="Q349"/>
  <c r="Q348"/>
  <c r="Q347"/>
  <c r="Q346"/>
  <c r="Q345"/>
  <c r="Q344"/>
  <c r="Q343"/>
  <c r="Q342"/>
  <c r="Q341"/>
  <c r="Q340"/>
  <c r="Q339"/>
  <c r="Q338"/>
  <c r="Q337"/>
  <c r="Q336"/>
  <c r="Q335"/>
  <c r="Q334"/>
  <c r="Q333"/>
  <c r="Q332"/>
  <c r="Q331"/>
  <c r="Q330"/>
  <c r="Q329"/>
  <c r="Q328"/>
  <c r="Q327"/>
  <c r="Q326"/>
  <c r="Q325"/>
  <c r="Q324"/>
  <c r="Q323"/>
  <c r="Q322"/>
  <c r="Q321"/>
  <c r="Q320"/>
  <c r="Q319"/>
  <c r="Q318"/>
  <c r="Q317"/>
  <c r="Q316"/>
  <c r="Q315"/>
  <c r="Q314"/>
  <c r="Q313"/>
  <c r="Q312"/>
  <c r="Q311"/>
  <c r="Q310"/>
  <c r="Q309"/>
  <c r="Q308"/>
  <c r="Q307"/>
  <c r="Q306"/>
  <c r="Q305"/>
  <c r="Q304"/>
  <c r="Q303"/>
  <c r="Q302"/>
  <c r="Q301"/>
  <c r="Q300"/>
  <c r="Q299"/>
  <c r="Q298"/>
  <c r="Q297"/>
  <c r="Q296"/>
  <c r="Q295"/>
  <c r="Q294"/>
  <c r="Q293"/>
  <c r="Q292"/>
  <c r="Q291"/>
  <c r="Q290"/>
  <c r="Q289"/>
  <c r="Q288"/>
  <c r="Q287"/>
  <c r="Q286"/>
  <c r="Q285"/>
  <c r="Q284"/>
  <c r="Q283"/>
  <c r="Q282"/>
  <c r="Q281"/>
  <c r="Q280"/>
  <c r="Q279"/>
  <c r="Q278"/>
  <c r="Q277"/>
  <c r="Q276"/>
  <c r="Q275"/>
  <c r="Q274"/>
  <c r="Q273"/>
  <c r="Q272"/>
  <c r="Q271"/>
  <c r="Q270"/>
  <c r="Q269"/>
  <c r="Q268"/>
  <c r="Q267"/>
  <c r="Q266"/>
  <c r="Q265"/>
  <c r="Q264"/>
  <c r="Q263"/>
  <c r="Q262"/>
  <c r="Q261"/>
  <c r="Q260"/>
  <c r="Q259"/>
  <c r="Q258"/>
  <c r="Q257"/>
  <c r="Q256"/>
  <c r="Q255"/>
  <c r="Q254"/>
  <c r="Q253"/>
  <c r="Q252"/>
  <c r="Q251"/>
  <c r="Q250"/>
  <c r="Q249"/>
  <c r="Q248"/>
  <c r="Q247"/>
  <c r="Q246"/>
  <c r="Q245"/>
  <c r="Q244"/>
  <c r="Q243"/>
  <c r="Q242"/>
  <c r="Q241"/>
  <c r="Q240"/>
  <c r="Q239"/>
  <c r="Q238"/>
  <c r="Q237"/>
  <c r="Q236"/>
  <c r="Q235"/>
  <c r="Q234"/>
  <c r="Q233"/>
  <c r="Q232"/>
  <c r="Q231"/>
  <c r="Q230"/>
  <c r="Q229"/>
  <c r="Q228"/>
  <c r="Q227"/>
  <c r="Q226"/>
  <c r="Q225"/>
  <c r="Q224"/>
  <c r="Q223"/>
  <c r="Q222"/>
  <c r="Q221"/>
  <c r="Q220"/>
  <c r="Q219"/>
  <c r="Q218"/>
  <c r="Q217"/>
  <c r="Q216"/>
  <c r="Q215"/>
  <c r="Q214"/>
  <c r="Q213"/>
  <c r="Q212"/>
  <c r="Q211"/>
  <c r="Q210"/>
  <c r="Q209"/>
  <c r="Q208"/>
  <c r="Q207"/>
  <c r="Q206"/>
  <c r="Q205"/>
  <c r="Q204"/>
  <c r="Q203"/>
  <c r="Q202"/>
  <c r="Q201"/>
  <c r="Q200"/>
  <c r="Q199"/>
  <c r="Q198"/>
  <c r="Q197"/>
  <c r="Q196"/>
  <c r="Q195"/>
  <c r="Q194"/>
  <c r="Q193"/>
  <c r="Q192"/>
  <c r="Q191"/>
  <c r="Q190"/>
  <c r="Q189"/>
  <c r="Q188"/>
  <c r="Q187"/>
  <c r="Q186"/>
  <c r="Q185"/>
  <c r="Q184"/>
  <c r="Q183"/>
  <c r="Q182"/>
  <c r="Q181"/>
  <c r="Q180"/>
  <c r="Q179"/>
  <c r="Q178"/>
  <c r="Q177"/>
  <c r="Q176"/>
  <c r="Q175"/>
  <c r="Q174"/>
  <c r="Q173"/>
  <c r="Q172"/>
  <c r="Q171"/>
  <c r="Q170"/>
  <c r="Q169"/>
  <c r="Q168"/>
  <c r="Q167"/>
  <c r="Q166"/>
  <c r="Q165"/>
  <c r="Q164"/>
  <c r="Q163"/>
  <c r="Q162"/>
  <c r="Q161"/>
  <c r="Q160"/>
  <c r="Q159"/>
  <c r="Q158"/>
  <c r="Q157"/>
  <c r="Q156"/>
  <c r="Q155"/>
  <c r="Q154"/>
  <c r="Q153"/>
  <c r="Q152"/>
  <c r="Q151"/>
  <c r="Q150"/>
  <c r="Q149"/>
  <c r="Q148"/>
  <c r="Q147"/>
  <c r="Q146"/>
  <c r="Q145"/>
  <c r="Q144"/>
  <c r="Q143"/>
  <c r="Q142"/>
  <c r="Q141"/>
  <c r="Q140"/>
  <c r="Q139"/>
  <c r="Q138"/>
  <c r="Q137"/>
  <c r="Q136"/>
  <c r="Q135"/>
  <c r="Q134"/>
  <c r="Q133"/>
  <c r="Q132"/>
  <c r="Q131"/>
  <c r="Q130"/>
  <c r="Q129"/>
  <c r="Q128"/>
  <c r="Q127"/>
  <c r="Q126"/>
  <c r="Q125"/>
  <c r="Q124"/>
  <c r="Q123"/>
  <c r="Q122"/>
  <c r="Q121"/>
  <c r="Q120"/>
  <c r="Q119"/>
  <c r="Q118"/>
  <c r="Q117"/>
  <c r="Q116"/>
  <c r="Q115"/>
  <c r="Q114"/>
  <c r="Q113"/>
  <c r="Q112"/>
  <c r="Q111"/>
  <c r="Q110"/>
  <c r="Q109"/>
  <c r="Q108"/>
  <c r="Q107"/>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Q44"/>
  <c r="Q43"/>
  <c r="Q42"/>
  <c r="Q41"/>
  <c r="Q40"/>
  <c r="Q39"/>
  <c r="Q38"/>
  <c r="Q37"/>
  <c r="Q36"/>
  <c r="Q35"/>
  <c r="Q34"/>
  <c r="Q33"/>
  <c r="Q32"/>
  <c r="Q31"/>
  <c r="Q30"/>
  <c r="Q29"/>
  <c r="Q28"/>
  <c r="Q27"/>
  <c r="Q26"/>
  <c r="Q25"/>
  <c r="Q24"/>
  <c r="Q23"/>
  <c r="Q22"/>
  <c r="Q21"/>
  <c r="Q20"/>
  <c r="Q19"/>
  <c r="Q18"/>
  <c r="Q17"/>
  <c r="Q16"/>
  <c r="Q15"/>
  <c r="Q14"/>
  <c r="Q13"/>
  <c r="Q12"/>
  <c r="Q11"/>
  <c r="Q10"/>
  <c r="Q9"/>
  <c r="Q8"/>
  <c r="Q7"/>
  <c r="Q6"/>
  <c r="Q5"/>
  <c r="Q4"/>
  <c r="Q3"/>
  <c r="P1002"/>
  <c r="P1001"/>
  <c r="P1000"/>
  <c r="P999"/>
  <c r="P998"/>
  <c r="P997"/>
  <c r="P996"/>
  <c r="P995"/>
  <c r="P994"/>
  <c r="P993"/>
  <c r="P992"/>
  <c r="P991"/>
  <c r="P990"/>
  <c r="P989"/>
  <c r="P988"/>
  <c r="P987"/>
  <c r="P986"/>
  <c r="P985"/>
  <c r="P984"/>
  <c r="P983"/>
  <c r="P982"/>
  <c r="P981"/>
  <c r="P980"/>
  <c r="P979"/>
  <c r="P978"/>
  <c r="P977"/>
  <c r="P976"/>
  <c r="P975"/>
  <c r="P974"/>
  <c r="P973"/>
  <c r="P972"/>
  <c r="P971"/>
  <c r="P970"/>
  <c r="P969"/>
  <c r="P968"/>
  <c r="P967"/>
  <c r="P966"/>
  <c r="P965"/>
  <c r="P964"/>
  <c r="P963"/>
  <c r="P962"/>
  <c r="P961"/>
  <c r="P960"/>
  <c r="P959"/>
  <c r="P958"/>
  <c r="P957"/>
  <c r="P956"/>
  <c r="P955"/>
  <c r="P954"/>
  <c r="P953"/>
  <c r="P952"/>
  <c r="P951"/>
  <c r="P950"/>
  <c r="P949"/>
  <c r="P948"/>
  <c r="P947"/>
  <c r="P946"/>
  <c r="P945"/>
  <c r="P944"/>
  <c r="P943"/>
  <c r="P942"/>
  <c r="P941"/>
  <c r="P940"/>
  <c r="P939"/>
  <c r="P938"/>
  <c r="P937"/>
  <c r="P936"/>
  <c r="P935"/>
  <c r="P934"/>
  <c r="P933"/>
  <c r="P932"/>
  <c r="P931"/>
  <c r="P930"/>
  <c r="P929"/>
  <c r="P928"/>
  <c r="P927"/>
  <c r="P926"/>
  <c r="P925"/>
  <c r="P924"/>
  <c r="P923"/>
  <c r="P922"/>
  <c r="P921"/>
  <c r="P920"/>
  <c r="P919"/>
  <c r="P918"/>
  <c r="P917"/>
  <c r="P916"/>
  <c r="P915"/>
  <c r="P914"/>
  <c r="P913"/>
  <c r="P912"/>
  <c r="P911"/>
  <c r="P910"/>
  <c r="P909"/>
  <c r="P908"/>
  <c r="P907"/>
  <c r="P906"/>
  <c r="P905"/>
  <c r="P904"/>
  <c r="P903"/>
  <c r="P902"/>
  <c r="P901"/>
  <c r="P900"/>
  <c r="P899"/>
  <c r="P898"/>
  <c r="P897"/>
  <c r="P896"/>
  <c r="P895"/>
  <c r="P894"/>
  <c r="P893"/>
  <c r="P892"/>
  <c r="P891"/>
  <c r="P890"/>
  <c r="P889"/>
  <c r="P888"/>
  <c r="P887"/>
  <c r="P886"/>
  <c r="P885"/>
  <c r="P884"/>
  <c r="P883"/>
  <c r="P882"/>
  <c r="P881"/>
  <c r="P880"/>
  <c r="P879"/>
  <c r="P878"/>
  <c r="P877"/>
  <c r="P876"/>
  <c r="P875"/>
  <c r="P874"/>
  <c r="P873"/>
  <c r="P872"/>
  <c r="P871"/>
  <c r="P870"/>
  <c r="P869"/>
  <c r="P868"/>
  <c r="P867"/>
  <c r="P866"/>
  <c r="P865"/>
  <c r="P864"/>
  <c r="P863"/>
  <c r="P862"/>
  <c r="P861"/>
  <c r="P860"/>
  <c r="P859"/>
  <c r="P858"/>
  <c r="P857"/>
  <c r="P856"/>
  <c r="P855"/>
  <c r="P854"/>
  <c r="P853"/>
  <c r="P852"/>
  <c r="P851"/>
  <c r="P850"/>
  <c r="P849"/>
  <c r="P848"/>
  <c r="P847"/>
  <c r="P846"/>
  <c r="P845"/>
  <c r="P844"/>
  <c r="P843"/>
  <c r="P842"/>
  <c r="P841"/>
  <c r="P840"/>
  <c r="P839"/>
  <c r="P838"/>
  <c r="P837"/>
  <c r="P836"/>
  <c r="P835"/>
  <c r="P834"/>
  <c r="P833"/>
  <c r="P832"/>
  <c r="P831"/>
  <c r="P830"/>
  <c r="P829"/>
  <c r="P828"/>
  <c r="P827"/>
  <c r="P826"/>
  <c r="P825"/>
  <c r="P824"/>
  <c r="P823"/>
  <c r="P822"/>
  <c r="P821"/>
  <c r="P820"/>
  <c r="P819"/>
  <c r="P818"/>
  <c r="P817"/>
  <c r="P816"/>
  <c r="P815"/>
  <c r="P814"/>
  <c r="P813"/>
  <c r="P812"/>
  <c r="P811"/>
  <c r="P810"/>
  <c r="P809"/>
  <c r="P808"/>
  <c r="P807"/>
  <c r="P806"/>
  <c r="P805"/>
  <c r="P804"/>
  <c r="P803"/>
  <c r="P802"/>
  <c r="P801"/>
  <c r="P800"/>
  <c r="P799"/>
  <c r="P798"/>
  <c r="P797"/>
  <c r="P796"/>
  <c r="P795"/>
  <c r="P794"/>
  <c r="P793"/>
  <c r="P792"/>
  <c r="P791"/>
  <c r="P790"/>
  <c r="P789"/>
  <c r="P788"/>
  <c r="P787"/>
  <c r="P786"/>
  <c r="P785"/>
  <c r="P784"/>
  <c r="P783"/>
  <c r="P782"/>
  <c r="P781"/>
  <c r="P780"/>
  <c r="P779"/>
  <c r="P778"/>
  <c r="P777"/>
  <c r="P776"/>
  <c r="P775"/>
  <c r="P774"/>
  <c r="P773"/>
  <c r="P772"/>
  <c r="P771"/>
  <c r="P770"/>
  <c r="P769"/>
  <c r="P768"/>
  <c r="P767"/>
  <c r="P766"/>
  <c r="P765"/>
  <c r="P764"/>
  <c r="P763"/>
  <c r="P762"/>
  <c r="P761"/>
  <c r="P760"/>
  <c r="P759"/>
  <c r="P758"/>
  <c r="P757"/>
  <c r="P756"/>
  <c r="P755"/>
  <c r="P754"/>
  <c r="P753"/>
  <c r="P752"/>
  <c r="P751"/>
  <c r="P750"/>
  <c r="P749"/>
  <c r="P748"/>
  <c r="P747"/>
  <c r="P746"/>
  <c r="P745"/>
  <c r="P744"/>
  <c r="P743"/>
  <c r="P742"/>
  <c r="P741"/>
  <c r="P740"/>
  <c r="P739"/>
  <c r="P738"/>
  <c r="P737"/>
  <c r="P736"/>
  <c r="P735"/>
  <c r="P734"/>
  <c r="P733"/>
  <c r="P732"/>
  <c r="P731"/>
  <c r="P730"/>
  <c r="P729"/>
  <c r="P728"/>
  <c r="P727"/>
  <c r="P726"/>
  <c r="P725"/>
  <c r="P724"/>
  <c r="P723"/>
  <c r="P722"/>
  <c r="P721"/>
  <c r="P720"/>
  <c r="P719"/>
  <c r="P718"/>
  <c r="P717"/>
  <c r="P716"/>
  <c r="P715"/>
  <c r="P714"/>
  <c r="P713"/>
  <c r="P712"/>
  <c r="P711"/>
  <c r="P710"/>
  <c r="P709"/>
  <c r="P708"/>
  <c r="P707"/>
  <c r="P706"/>
  <c r="P705"/>
  <c r="P704"/>
  <c r="P703"/>
  <c r="P702"/>
  <c r="P701"/>
  <c r="P700"/>
  <c r="P699"/>
  <c r="P698"/>
  <c r="P697"/>
  <c r="P696"/>
  <c r="P695"/>
  <c r="P694"/>
  <c r="P693"/>
  <c r="P692"/>
  <c r="P691"/>
  <c r="P690"/>
  <c r="P689"/>
  <c r="P688"/>
  <c r="P687"/>
  <c r="P686"/>
  <c r="P685"/>
  <c r="P684"/>
  <c r="P683"/>
  <c r="P682"/>
  <c r="P681"/>
  <c r="P680"/>
  <c r="P679"/>
  <c r="P678"/>
  <c r="P677"/>
  <c r="P676"/>
  <c r="P675"/>
  <c r="P674"/>
  <c r="P673"/>
  <c r="P672"/>
  <c r="P671"/>
  <c r="P670"/>
  <c r="P669"/>
  <c r="P668"/>
  <c r="P667"/>
  <c r="P666"/>
  <c r="P665"/>
  <c r="P664"/>
  <c r="P663"/>
  <c r="P662"/>
  <c r="P661"/>
  <c r="P660"/>
  <c r="P659"/>
  <c r="P658"/>
  <c r="P657"/>
  <c r="P656"/>
  <c r="P655"/>
  <c r="P654"/>
  <c r="P653"/>
  <c r="P652"/>
  <c r="P651"/>
  <c r="P650"/>
  <c r="P649"/>
  <c r="P648"/>
  <c r="P647"/>
  <c r="P646"/>
  <c r="P645"/>
  <c r="P644"/>
  <c r="P643"/>
  <c r="P642"/>
  <c r="P641"/>
  <c r="P640"/>
  <c r="P639"/>
  <c r="P638"/>
  <c r="P637"/>
  <c r="P636"/>
  <c r="P635"/>
  <c r="P634"/>
  <c r="P633"/>
  <c r="P632"/>
  <c r="P631"/>
  <c r="P630"/>
  <c r="P629"/>
  <c r="P628"/>
  <c r="P627"/>
  <c r="P626"/>
  <c r="P625"/>
  <c r="P624"/>
  <c r="P623"/>
  <c r="P622"/>
  <c r="P621"/>
  <c r="P620"/>
  <c r="P619"/>
  <c r="P618"/>
  <c r="P617"/>
  <c r="P616"/>
  <c r="P615"/>
  <c r="P614"/>
  <c r="P613"/>
  <c r="P612"/>
  <c r="P611"/>
  <c r="P610"/>
  <c r="P609"/>
  <c r="P608"/>
  <c r="P607"/>
  <c r="P606"/>
  <c r="P605"/>
  <c r="P604"/>
  <c r="P603"/>
  <c r="P602"/>
  <c r="P601"/>
  <c r="P600"/>
  <c r="P599"/>
  <c r="P598"/>
  <c r="P597"/>
  <c r="P596"/>
  <c r="P595"/>
  <c r="P594"/>
  <c r="P593"/>
  <c r="P592"/>
  <c r="P591"/>
  <c r="P590"/>
  <c r="P589"/>
  <c r="P588"/>
  <c r="P587"/>
  <c r="P586"/>
  <c r="P585"/>
  <c r="P584"/>
  <c r="P583"/>
  <c r="P582"/>
  <c r="P581"/>
  <c r="P580"/>
  <c r="P579"/>
  <c r="P578"/>
  <c r="P577"/>
  <c r="P576"/>
  <c r="P575"/>
  <c r="P574"/>
  <c r="P573"/>
  <c r="P572"/>
  <c r="P571"/>
  <c r="P570"/>
  <c r="P569"/>
  <c r="P568"/>
  <c r="P567"/>
  <c r="P566"/>
  <c r="P565"/>
  <c r="P564"/>
  <c r="P563"/>
  <c r="P562"/>
  <c r="P561"/>
  <c r="P560"/>
  <c r="P559"/>
  <c r="P558"/>
  <c r="P557"/>
  <c r="P556"/>
  <c r="P555"/>
  <c r="P554"/>
  <c r="P553"/>
  <c r="P552"/>
  <c r="P551"/>
  <c r="P550"/>
  <c r="P549"/>
  <c r="P548"/>
  <c r="P547"/>
  <c r="P546"/>
  <c r="P545"/>
  <c r="P544"/>
  <c r="P543"/>
  <c r="P542"/>
  <c r="P541"/>
  <c r="P540"/>
  <c r="P539"/>
  <c r="P538"/>
  <c r="P537"/>
  <c r="P536"/>
  <c r="P535"/>
  <c r="P534"/>
  <c r="P533"/>
  <c r="P532"/>
  <c r="P531"/>
  <c r="P530"/>
  <c r="P529"/>
  <c r="P528"/>
  <c r="P527"/>
  <c r="P526"/>
  <c r="P525"/>
  <c r="P524"/>
  <c r="P523"/>
  <c r="P522"/>
  <c r="P521"/>
  <c r="P520"/>
  <c r="P519"/>
  <c r="P518"/>
  <c r="P517"/>
  <c r="P516"/>
  <c r="P515"/>
  <c r="P514"/>
  <c r="P513"/>
  <c r="P512"/>
  <c r="P511"/>
  <c r="P510"/>
  <c r="P509"/>
  <c r="P508"/>
  <c r="P507"/>
  <c r="P506"/>
  <c r="P505"/>
  <c r="P504"/>
  <c r="P503"/>
  <c r="P502"/>
  <c r="P501"/>
  <c r="P500"/>
  <c r="P499"/>
  <c r="P498"/>
  <c r="P497"/>
  <c r="P496"/>
  <c r="P495"/>
  <c r="P494"/>
  <c r="P493"/>
  <c r="P492"/>
  <c r="P491"/>
  <c r="P490"/>
  <c r="P489"/>
  <c r="P488"/>
  <c r="P487"/>
  <c r="P486"/>
  <c r="P485"/>
  <c r="P484"/>
  <c r="P483"/>
  <c r="P482"/>
  <c r="P481"/>
  <c r="P480"/>
  <c r="P479"/>
  <c r="P478"/>
  <c r="P477"/>
  <c r="P476"/>
  <c r="P475"/>
  <c r="P474"/>
  <c r="P473"/>
  <c r="P472"/>
  <c r="P471"/>
  <c r="P470"/>
  <c r="P469"/>
  <c r="P468"/>
  <c r="P467"/>
  <c r="P466"/>
  <c r="P465"/>
  <c r="P464"/>
  <c r="P463"/>
  <c r="P462"/>
  <c r="P461"/>
  <c r="P460"/>
  <c r="P459"/>
  <c r="P458"/>
  <c r="P457"/>
  <c r="P456"/>
  <c r="P455"/>
  <c r="P454"/>
  <c r="P453"/>
  <c r="P452"/>
  <c r="P451"/>
  <c r="P450"/>
  <c r="P449"/>
  <c r="P448"/>
  <c r="P447"/>
  <c r="P446"/>
  <c r="P445"/>
  <c r="P444"/>
  <c r="P443"/>
  <c r="P442"/>
  <c r="P441"/>
  <c r="P440"/>
  <c r="P439"/>
  <c r="P438"/>
  <c r="P437"/>
  <c r="P436"/>
  <c r="P435"/>
  <c r="P434"/>
  <c r="P433"/>
  <c r="P432"/>
  <c r="P431"/>
  <c r="P430"/>
  <c r="P429"/>
  <c r="P428"/>
  <c r="P427"/>
  <c r="P426"/>
  <c r="P425"/>
  <c r="P424"/>
  <c r="P423"/>
  <c r="P422"/>
  <c r="P421"/>
  <c r="P420"/>
  <c r="P419"/>
  <c r="P418"/>
  <c r="P417"/>
  <c r="P416"/>
  <c r="P415"/>
  <c r="P414"/>
  <c r="P413"/>
  <c r="P412"/>
  <c r="P411"/>
  <c r="P410"/>
  <c r="P409"/>
  <c r="P408"/>
  <c r="P407"/>
  <c r="P406"/>
  <c r="P405"/>
  <c r="P404"/>
  <c r="P403"/>
  <c r="P402"/>
  <c r="P401"/>
  <c r="P400"/>
  <c r="P399"/>
  <c r="P398"/>
  <c r="P397"/>
  <c r="P396"/>
  <c r="P395"/>
  <c r="P394"/>
  <c r="P393"/>
  <c r="P392"/>
  <c r="P391"/>
  <c r="P390"/>
  <c r="P389"/>
  <c r="P388"/>
  <c r="P387"/>
  <c r="P386"/>
  <c r="P385"/>
  <c r="P384"/>
  <c r="P383"/>
  <c r="P382"/>
  <c r="P381"/>
  <c r="P380"/>
  <c r="P379"/>
  <c r="P378"/>
  <c r="P377"/>
  <c r="P376"/>
  <c r="P375"/>
  <c r="P374"/>
  <c r="P373"/>
  <c r="P372"/>
  <c r="P371"/>
  <c r="P370"/>
  <c r="P369"/>
  <c r="P368"/>
  <c r="P367"/>
  <c r="P366"/>
  <c r="P365"/>
  <c r="P364"/>
  <c r="P363"/>
  <c r="P362"/>
  <c r="P361"/>
  <c r="P360"/>
  <c r="P359"/>
  <c r="P358"/>
  <c r="P357"/>
  <c r="P356"/>
  <c r="P355"/>
  <c r="P354"/>
  <c r="P353"/>
  <c r="P352"/>
  <c r="P351"/>
  <c r="P350"/>
  <c r="P349"/>
  <c r="P348"/>
  <c r="P347"/>
  <c r="P346"/>
  <c r="P345"/>
  <c r="P344"/>
  <c r="P343"/>
  <c r="P342"/>
  <c r="P341"/>
  <c r="P340"/>
  <c r="P339"/>
  <c r="P338"/>
  <c r="P337"/>
  <c r="P336"/>
  <c r="P335"/>
  <c r="P334"/>
  <c r="P333"/>
  <c r="P332"/>
  <c r="P331"/>
  <c r="P330"/>
  <c r="P329"/>
  <c r="P328"/>
  <c r="P327"/>
  <c r="P326"/>
  <c r="P325"/>
  <c r="P324"/>
  <c r="P323"/>
  <c r="P322"/>
  <c r="P321"/>
  <c r="P320"/>
  <c r="P319"/>
  <c r="P318"/>
  <c r="P317"/>
  <c r="P316"/>
  <c r="P315"/>
  <c r="P314"/>
  <c r="P313"/>
  <c r="P312"/>
  <c r="P311"/>
  <c r="P310"/>
  <c r="P309"/>
  <c r="P308"/>
  <c r="P307"/>
  <c r="P306"/>
  <c r="P305"/>
  <c r="P304"/>
  <c r="P303"/>
  <c r="P302"/>
  <c r="P301"/>
  <c r="P300"/>
  <c r="P299"/>
  <c r="P298"/>
  <c r="P297"/>
  <c r="P296"/>
  <c r="P295"/>
  <c r="P294"/>
  <c r="P293"/>
  <c r="P292"/>
  <c r="P291"/>
  <c r="P290"/>
  <c r="P289"/>
  <c r="P288"/>
  <c r="P287"/>
  <c r="P286"/>
  <c r="P285"/>
  <c r="P284"/>
  <c r="P283"/>
  <c r="P282"/>
  <c r="P281"/>
  <c r="P280"/>
  <c r="P279"/>
  <c r="P278"/>
  <c r="P277"/>
  <c r="P276"/>
  <c r="P275"/>
  <c r="P274"/>
  <c r="P273"/>
  <c r="P272"/>
  <c r="P271"/>
  <c r="P270"/>
  <c r="P269"/>
  <c r="P268"/>
  <c r="P267"/>
  <c r="P266"/>
  <c r="P265"/>
  <c r="P264"/>
  <c r="P263"/>
  <c r="P262"/>
  <c r="P261"/>
  <c r="P260"/>
  <c r="P259"/>
  <c r="P258"/>
  <c r="P257"/>
  <c r="P256"/>
  <c r="P255"/>
  <c r="P254"/>
  <c r="P253"/>
  <c r="P252"/>
  <c r="P251"/>
  <c r="P250"/>
  <c r="P249"/>
  <c r="P248"/>
  <c r="P247"/>
  <c r="P246"/>
  <c r="P245"/>
  <c r="P244"/>
  <c r="P243"/>
  <c r="P242"/>
  <c r="P241"/>
  <c r="P240"/>
  <c r="P239"/>
  <c r="P238"/>
  <c r="P237"/>
  <c r="P236"/>
  <c r="P235"/>
  <c r="P234"/>
  <c r="P233"/>
  <c r="P232"/>
  <c r="P231"/>
  <c r="P230"/>
  <c r="P229"/>
  <c r="P228"/>
  <c r="P227"/>
  <c r="P226"/>
  <c r="P225"/>
  <c r="P224"/>
  <c r="P223"/>
  <c r="P222"/>
  <c r="P221"/>
  <c r="P220"/>
  <c r="P219"/>
  <c r="P218"/>
  <c r="P217"/>
  <c r="P216"/>
  <c r="P215"/>
  <c r="P214"/>
  <c r="P213"/>
  <c r="P212"/>
  <c r="P211"/>
  <c r="P210"/>
  <c r="P209"/>
  <c r="P208"/>
  <c r="P207"/>
  <c r="P206"/>
  <c r="P205"/>
  <c r="P204"/>
  <c r="P203"/>
  <c r="P202"/>
  <c r="P201"/>
  <c r="P200"/>
  <c r="P199"/>
  <c r="P198"/>
  <c r="P197"/>
  <c r="P196"/>
  <c r="P195"/>
  <c r="P194"/>
  <c r="P193"/>
  <c r="P192"/>
  <c r="P191"/>
  <c r="P190"/>
  <c r="P189"/>
  <c r="P188"/>
  <c r="P187"/>
  <c r="P186"/>
  <c r="P185"/>
  <c r="P184"/>
  <c r="P183"/>
  <c r="P182"/>
  <c r="P181"/>
  <c r="P180"/>
  <c r="P179"/>
  <c r="P178"/>
  <c r="P177"/>
  <c r="P176"/>
  <c r="P175"/>
  <c r="P174"/>
  <c r="P173"/>
  <c r="P172"/>
  <c r="P171"/>
  <c r="P170"/>
  <c r="P169"/>
  <c r="P168"/>
  <c r="P167"/>
  <c r="P166"/>
  <c r="P165"/>
  <c r="P164"/>
  <c r="P163"/>
  <c r="P162"/>
  <c r="P161"/>
  <c r="P160"/>
  <c r="P159"/>
  <c r="P158"/>
  <c r="P157"/>
  <c r="P156"/>
  <c r="P155"/>
  <c r="P154"/>
  <c r="P153"/>
  <c r="P152"/>
  <c r="P151"/>
  <c r="P150"/>
  <c r="P149"/>
  <c r="P148"/>
  <c r="P147"/>
  <c r="P146"/>
  <c r="P145"/>
  <c r="P144"/>
  <c r="P143"/>
  <c r="P142"/>
  <c r="P141"/>
  <c r="P140"/>
  <c r="P139"/>
  <c r="P138"/>
  <c r="P137"/>
  <c r="P136"/>
  <c r="P135"/>
  <c r="P134"/>
  <c r="P133"/>
  <c r="P132"/>
  <c r="P131"/>
  <c r="P130"/>
  <c r="P129"/>
  <c r="P128"/>
  <c r="P127"/>
  <c r="P126"/>
  <c r="P125"/>
  <c r="P124"/>
  <c r="P123"/>
  <c r="P122"/>
  <c r="P121"/>
  <c r="P120"/>
  <c r="P119"/>
  <c r="P118"/>
  <c r="P117"/>
  <c r="P116"/>
  <c r="P115"/>
  <c r="P114"/>
  <c r="P113"/>
  <c r="P112"/>
  <c r="P111"/>
  <c r="P110"/>
  <c r="P109"/>
  <c r="P108"/>
  <c r="P107"/>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P44"/>
  <c r="P43"/>
  <c r="P42"/>
  <c r="P41"/>
  <c r="P40"/>
  <c r="P39"/>
  <c r="P38"/>
  <c r="P37"/>
  <c r="P36"/>
  <c r="P35"/>
  <c r="P34"/>
  <c r="P33"/>
  <c r="P32"/>
  <c r="P31"/>
  <c r="P30"/>
  <c r="P29"/>
  <c r="P28"/>
  <c r="P27"/>
  <c r="P26"/>
  <c r="P25"/>
  <c r="P24"/>
  <c r="P23"/>
  <c r="P22"/>
  <c r="P21"/>
  <c r="P20"/>
  <c r="P19"/>
  <c r="P18"/>
  <c r="P17"/>
  <c r="P16"/>
  <c r="P15"/>
  <c r="P14"/>
  <c r="P13"/>
  <c r="P12"/>
  <c r="P11"/>
  <c r="P10"/>
  <c r="P9"/>
  <c r="P8"/>
  <c r="P7"/>
  <c r="P6"/>
  <c r="P5"/>
  <c r="P4"/>
  <c r="F12" i="2"/>
  <c r="F11"/>
  <c r="R3" i="3"/>
  <c r="U4"/>
  <c r="U5"/>
  <c r="U6"/>
  <c r="U7"/>
  <c r="U8"/>
  <c r="U9"/>
  <c r="U10"/>
  <c r="U11"/>
  <c r="U12"/>
  <c r="U13"/>
  <c r="U14"/>
  <c r="U15"/>
  <c r="U16"/>
  <c r="U17"/>
  <c r="U18"/>
  <c r="U19"/>
  <c r="U20"/>
  <c r="U21"/>
  <c r="U22"/>
  <c r="U23"/>
  <c r="U24"/>
  <c r="U25"/>
  <c r="U26"/>
  <c r="U27"/>
  <c r="U28"/>
  <c r="U29"/>
  <c r="U30"/>
  <c r="U31"/>
  <c r="U32"/>
  <c r="U33"/>
  <c r="U34"/>
  <c r="U35"/>
  <c r="U36"/>
  <c r="U37"/>
  <c r="U38"/>
  <c r="U39"/>
  <c r="U40"/>
  <c r="U41"/>
  <c r="U42"/>
  <c r="U43"/>
  <c r="U44"/>
  <c r="U45"/>
  <c r="U46"/>
  <c r="U47"/>
  <c r="U48"/>
  <c r="U49"/>
  <c r="U50"/>
  <c r="U51"/>
  <c r="U52"/>
  <c r="U53"/>
  <c r="U54"/>
  <c r="U55"/>
  <c r="U56"/>
  <c r="U57"/>
  <c r="U58"/>
  <c r="U59"/>
  <c r="U60"/>
  <c r="U61"/>
  <c r="U62"/>
  <c r="U63"/>
  <c r="U64"/>
  <c r="U65"/>
  <c r="U66"/>
  <c r="U67"/>
  <c r="U68"/>
  <c r="U69"/>
  <c r="U70"/>
  <c r="U71"/>
  <c r="U72"/>
  <c r="U73"/>
  <c r="U74"/>
  <c r="U75"/>
  <c r="U76"/>
  <c r="U77"/>
  <c r="U78"/>
  <c r="U79"/>
  <c r="U80"/>
  <c r="U81"/>
  <c r="U82"/>
  <c r="U83"/>
  <c r="U84"/>
  <c r="U85"/>
  <c r="U86"/>
  <c r="U87"/>
  <c r="U88"/>
  <c r="U89"/>
  <c r="U90"/>
  <c r="U91"/>
  <c r="U92"/>
  <c r="U93"/>
  <c r="U94"/>
  <c r="U95"/>
  <c r="U96"/>
  <c r="U97"/>
  <c r="U98"/>
  <c r="U99"/>
  <c r="U100"/>
  <c r="U101"/>
  <c r="U102"/>
  <c r="U103"/>
  <c r="U104"/>
  <c r="U105"/>
  <c r="U106"/>
  <c r="U107"/>
  <c r="U108"/>
  <c r="U109"/>
  <c r="U110"/>
  <c r="U111"/>
  <c r="U112"/>
  <c r="U113"/>
  <c r="U114"/>
  <c r="U115"/>
  <c r="U116"/>
  <c r="U117"/>
  <c r="U118"/>
  <c r="U119"/>
  <c r="U120"/>
  <c r="U121"/>
  <c r="U122"/>
  <c r="U123"/>
  <c r="U124"/>
  <c r="U125"/>
  <c r="U126"/>
  <c r="U127"/>
  <c r="U128"/>
  <c r="U129"/>
  <c r="U130"/>
  <c r="U131"/>
  <c r="U132"/>
  <c r="U133"/>
  <c r="U134"/>
  <c r="U135"/>
  <c r="U136"/>
  <c r="U137"/>
  <c r="U138"/>
  <c r="U139"/>
  <c r="U140"/>
  <c r="U141"/>
  <c r="U142"/>
  <c r="U143"/>
  <c r="U144"/>
  <c r="U145"/>
  <c r="U146"/>
  <c r="U147"/>
  <c r="U148"/>
  <c r="U149"/>
  <c r="U150"/>
  <c r="U151"/>
  <c r="U152"/>
  <c r="U153"/>
  <c r="U154"/>
  <c r="U155"/>
  <c r="U156"/>
  <c r="U157"/>
  <c r="U158"/>
  <c r="U159"/>
  <c r="U160"/>
  <c r="U161"/>
  <c r="U162"/>
  <c r="U163"/>
  <c r="U164"/>
  <c r="U165"/>
  <c r="U166"/>
  <c r="U167"/>
  <c r="U168"/>
  <c r="U169"/>
  <c r="U170"/>
  <c r="U171"/>
  <c r="U172"/>
  <c r="U173"/>
  <c r="U174"/>
  <c r="U175"/>
  <c r="U176"/>
  <c r="U177"/>
  <c r="U178"/>
  <c r="U179"/>
  <c r="U180"/>
  <c r="U181"/>
  <c r="U182"/>
  <c r="U183"/>
  <c r="U184"/>
  <c r="U185"/>
  <c r="U186"/>
  <c r="U187"/>
  <c r="U188"/>
  <c r="U189"/>
  <c r="U190"/>
  <c r="U191"/>
  <c r="U192"/>
  <c r="U193"/>
  <c r="U194"/>
  <c r="U195"/>
  <c r="U196"/>
  <c r="U197"/>
  <c r="U198"/>
  <c r="U199"/>
  <c r="U200"/>
  <c r="U201"/>
  <c r="U202"/>
  <c r="U203"/>
  <c r="U204"/>
  <c r="U205"/>
  <c r="U206"/>
  <c r="U207"/>
  <c r="U208"/>
  <c r="U209"/>
  <c r="U210"/>
  <c r="U211"/>
  <c r="U212"/>
  <c r="U213"/>
  <c r="U214"/>
  <c r="U215"/>
  <c r="U216"/>
  <c r="U217"/>
  <c r="U218"/>
  <c r="U219"/>
  <c r="U220"/>
  <c r="U221"/>
  <c r="U222"/>
  <c r="U223"/>
  <c r="U224"/>
  <c r="U225"/>
  <c r="U226"/>
  <c r="U227"/>
  <c r="U228"/>
  <c r="U229"/>
  <c r="U230"/>
  <c r="U231"/>
  <c r="U232"/>
  <c r="U233"/>
  <c r="U234"/>
  <c r="U235"/>
  <c r="U236"/>
  <c r="U237"/>
  <c r="U238"/>
  <c r="U239"/>
  <c r="U240"/>
  <c r="U241"/>
  <c r="U242"/>
  <c r="U243"/>
  <c r="U244"/>
  <c r="U245"/>
  <c r="U246"/>
  <c r="U247"/>
  <c r="U248"/>
  <c r="U249"/>
  <c r="U250"/>
  <c r="U251"/>
  <c r="U252"/>
  <c r="U253"/>
  <c r="U254"/>
  <c r="U255"/>
  <c r="U256"/>
  <c r="U257"/>
  <c r="U258"/>
  <c r="U259"/>
  <c r="U260"/>
  <c r="U261"/>
  <c r="U262"/>
  <c r="U263"/>
  <c r="U264"/>
  <c r="U265"/>
  <c r="U266"/>
  <c r="U267"/>
  <c r="U268"/>
  <c r="U269"/>
  <c r="U270"/>
  <c r="U271"/>
  <c r="U272"/>
  <c r="U273"/>
  <c r="U274"/>
  <c r="U275"/>
  <c r="U276"/>
  <c r="U277"/>
  <c r="U278"/>
  <c r="U279"/>
  <c r="U280"/>
  <c r="U281"/>
  <c r="U282"/>
  <c r="U283"/>
  <c r="U284"/>
  <c r="U285"/>
  <c r="U286"/>
  <c r="U287"/>
  <c r="U288"/>
  <c r="U289"/>
  <c r="U290"/>
  <c r="U291"/>
  <c r="U292"/>
  <c r="U293"/>
  <c r="U294"/>
  <c r="U295"/>
  <c r="U296"/>
  <c r="U297"/>
  <c r="U298"/>
  <c r="U299"/>
  <c r="U300"/>
  <c r="U301"/>
  <c r="U302"/>
  <c r="U303"/>
  <c r="U304"/>
  <c r="U305"/>
  <c r="U306"/>
  <c r="U307"/>
  <c r="U308"/>
  <c r="U309"/>
  <c r="U310"/>
  <c r="U311"/>
  <c r="U312"/>
  <c r="U313"/>
  <c r="U314"/>
  <c r="U315"/>
  <c r="U316"/>
  <c r="U317"/>
  <c r="U318"/>
  <c r="U319"/>
  <c r="U320"/>
  <c r="U321"/>
  <c r="U322"/>
  <c r="U323"/>
  <c r="U324"/>
  <c r="U325"/>
  <c r="U326"/>
  <c r="U327"/>
  <c r="U328"/>
  <c r="U329"/>
  <c r="U330"/>
  <c r="U331"/>
  <c r="U332"/>
  <c r="U333"/>
  <c r="U334"/>
  <c r="U335"/>
  <c r="U336"/>
  <c r="U337"/>
  <c r="U338"/>
  <c r="U339"/>
  <c r="U340"/>
  <c r="U341"/>
  <c r="U342"/>
  <c r="U343"/>
  <c r="U344"/>
  <c r="U345"/>
  <c r="U346"/>
  <c r="U347"/>
  <c r="U348"/>
  <c r="U349"/>
  <c r="U350"/>
  <c r="U351"/>
  <c r="U352"/>
  <c r="U353"/>
  <c r="U354"/>
  <c r="U355"/>
  <c r="U356"/>
  <c r="U357"/>
  <c r="U358"/>
  <c r="U359"/>
  <c r="U360"/>
  <c r="U361"/>
  <c r="U362"/>
  <c r="U363"/>
  <c r="U364"/>
  <c r="U365"/>
  <c r="U366"/>
  <c r="U367"/>
  <c r="U368"/>
  <c r="U369"/>
  <c r="U370"/>
  <c r="U371"/>
  <c r="U372"/>
  <c r="U373"/>
  <c r="U374"/>
  <c r="U375"/>
  <c r="U376"/>
  <c r="U377"/>
  <c r="U378"/>
  <c r="U379"/>
  <c r="U380"/>
  <c r="U381"/>
  <c r="U382"/>
  <c r="U383"/>
  <c r="U384"/>
  <c r="U385"/>
  <c r="U386"/>
  <c r="U387"/>
  <c r="U388"/>
  <c r="U389"/>
  <c r="U390"/>
  <c r="U391"/>
  <c r="U392"/>
  <c r="U393"/>
  <c r="U394"/>
  <c r="U395"/>
  <c r="U396"/>
  <c r="U397"/>
  <c r="U398"/>
  <c r="U399"/>
  <c r="U400"/>
  <c r="U401"/>
  <c r="U402"/>
  <c r="U403"/>
  <c r="U404"/>
  <c r="U405"/>
  <c r="U406"/>
  <c r="U407"/>
  <c r="U408"/>
  <c r="U409"/>
  <c r="U410"/>
  <c r="U411"/>
  <c r="U412"/>
  <c r="U413"/>
  <c r="U414"/>
  <c r="U415"/>
  <c r="U416"/>
  <c r="U417"/>
  <c r="U418"/>
  <c r="U419"/>
  <c r="U420"/>
  <c r="U421"/>
  <c r="U422"/>
  <c r="U423"/>
  <c r="U424"/>
  <c r="U425"/>
  <c r="U426"/>
  <c r="U427"/>
  <c r="U428"/>
  <c r="U429"/>
  <c r="U430"/>
  <c r="U431"/>
  <c r="U432"/>
  <c r="U433"/>
  <c r="U434"/>
  <c r="U435"/>
  <c r="U436"/>
  <c r="U437"/>
  <c r="U438"/>
  <c r="U439"/>
  <c r="U440"/>
  <c r="U441"/>
  <c r="U442"/>
  <c r="U443"/>
  <c r="U444"/>
  <c r="U445"/>
  <c r="U446"/>
  <c r="U447"/>
  <c r="U448"/>
  <c r="U449"/>
  <c r="U450"/>
  <c r="U451"/>
  <c r="U452"/>
  <c r="U453"/>
  <c r="U454"/>
  <c r="U455"/>
  <c r="U456"/>
  <c r="U457"/>
  <c r="U458"/>
  <c r="U459"/>
  <c r="U460"/>
  <c r="U461"/>
  <c r="U462"/>
  <c r="U463"/>
  <c r="U464"/>
  <c r="U465"/>
  <c r="U466"/>
  <c r="U467"/>
  <c r="U468"/>
  <c r="U469"/>
  <c r="U470"/>
  <c r="U471"/>
  <c r="U472"/>
  <c r="U473"/>
  <c r="U474"/>
  <c r="U475"/>
  <c r="U476"/>
  <c r="U477"/>
  <c r="U478"/>
  <c r="U479"/>
  <c r="U480"/>
  <c r="U481"/>
  <c r="U482"/>
  <c r="U483"/>
  <c r="U484"/>
  <c r="U485"/>
  <c r="U486"/>
  <c r="U487"/>
  <c r="U488"/>
  <c r="U489"/>
  <c r="U490"/>
  <c r="U491"/>
  <c r="U492"/>
  <c r="U493"/>
  <c r="U494"/>
  <c r="U495"/>
  <c r="U496"/>
  <c r="U497"/>
  <c r="U498"/>
  <c r="U499"/>
  <c r="U500"/>
  <c r="U501"/>
  <c r="U502"/>
  <c r="U503"/>
  <c r="U504"/>
  <c r="U505"/>
  <c r="U506"/>
  <c r="U507"/>
  <c r="U508"/>
  <c r="U509"/>
  <c r="U510"/>
  <c r="U511"/>
  <c r="U512"/>
  <c r="U513"/>
  <c r="U514"/>
  <c r="U515"/>
  <c r="U516"/>
  <c r="U517"/>
  <c r="U518"/>
  <c r="U519"/>
  <c r="U520"/>
  <c r="U521"/>
  <c r="U522"/>
  <c r="U523"/>
  <c r="U524"/>
  <c r="U525"/>
  <c r="U526"/>
  <c r="U527"/>
  <c r="U528"/>
  <c r="U529"/>
  <c r="U530"/>
  <c r="U531"/>
  <c r="U532"/>
  <c r="U533"/>
  <c r="U534"/>
  <c r="U535"/>
  <c r="U536"/>
  <c r="U537"/>
  <c r="U538"/>
  <c r="U539"/>
  <c r="U540"/>
  <c r="U541"/>
  <c r="U542"/>
  <c r="U543"/>
  <c r="U544"/>
  <c r="U545"/>
  <c r="U546"/>
  <c r="U547"/>
  <c r="U548"/>
  <c r="U549"/>
  <c r="U550"/>
  <c r="U551"/>
  <c r="U552"/>
  <c r="U553"/>
  <c r="U554"/>
  <c r="U555"/>
  <c r="U556"/>
  <c r="U557"/>
  <c r="U558"/>
  <c r="U559"/>
  <c r="U560"/>
  <c r="U561"/>
  <c r="U562"/>
  <c r="U563"/>
  <c r="U564"/>
  <c r="U565"/>
  <c r="U566"/>
  <c r="U567"/>
  <c r="U568"/>
  <c r="U569"/>
  <c r="U570"/>
  <c r="U571"/>
  <c r="U572"/>
  <c r="U573"/>
  <c r="U574"/>
  <c r="U575"/>
  <c r="U576"/>
  <c r="U577"/>
  <c r="U578"/>
  <c r="U579"/>
  <c r="U580"/>
  <c r="U581"/>
  <c r="U582"/>
  <c r="U583"/>
  <c r="U584"/>
  <c r="U585"/>
  <c r="U586"/>
  <c r="U587"/>
  <c r="U588"/>
  <c r="U589"/>
  <c r="U590"/>
  <c r="U591"/>
  <c r="U592"/>
  <c r="U593"/>
  <c r="U594"/>
  <c r="U595"/>
  <c r="U596"/>
  <c r="U597"/>
  <c r="U598"/>
  <c r="U599"/>
  <c r="U600"/>
  <c r="U601"/>
  <c r="U602"/>
  <c r="U603"/>
  <c r="U604"/>
  <c r="U605"/>
  <c r="U606"/>
  <c r="U607"/>
  <c r="U608"/>
  <c r="U609"/>
  <c r="U610"/>
  <c r="U611"/>
  <c r="U612"/>
  <c r="U613"/>
  <c r="U614"/>
  <c r="U615"/>
  <c r="U616"/>
  <c r="U617"/>
  <c r="U618"/>
  <c r="U619"/>
  <c r="U620"/>
  <c r="U621"/>
  <c r="U622"/>
  <c r="U623"/>
  <c r="U624"/>
  <c r="U625"/>
  <c r="U626"/>
  <c r="U627"/>
  <c r="U628"/>
  <c r="U629"/>
  <c r="U630"/>
  <c r="U631"/>
  <c r="U632"/>
  <c r="U633"/>
  <c r="U634"/>
  <c r="U635"/>
  <c r="U636"/>
  <c r="U637"/>
  <c r="U638"/>
  <c r="U639"/>
  <c r="U640"/>
  <c r="U641"/>
  <c r="U642"/>
  <c r="U643"/>
  <c r="U644"/>
  <c r="U645"/>
  <c r="U646"/>
  <c r="U647"/>
  <c r="U648"/>
  <c r="U649"/>
  <c r="U650"/>
  <c r="U651"/>
  <c r="U652"/>
  <c r="U653"/>
  <c r="U654"/>
  <c r="U655"/>
  <c r="U656"/>
  <c r="U657"/>
  <c r="U658"/>
  <c r="U659"/>
  <c r="U660"/>
  <c r="U661"/>
  <c r="U662"/>
  <c r="U663"/>
  <c r="U664"/>
  <c r="U665"/>
  <c r="U666"/>
  <c r="U667"/>
  <c r="U668"/>
  <c r="U669"/>
  <c r="U670"/>
  <c r="U671"/>
  <c r="U672"/>
  <c r="U673"/>
  <c r="U674"/>
  <c r="U675"/>
  <c r="U676"/>
  <c r="U677"/>
  <c r="U678"/>
  <c r="U679"/>
  <c r="U680"/>
  <c r="U681"/>
  <c r="U682"/>
  <c r="U683"/>
  <c r="U684"/>
  <c r="U685"/>
  <c r="U686"/>
  <c r="U687"/>
  <c r="U688"/>
  <c r="U689"/>
  <c r="U690"/>
  <c r="U691"/>
  <c r="U692"/>
  <c r="U693"/>
  <c r="U694"/>
  <c r="U695"/>
  <c r="U696"/>
  <c r="U697"/>
  <c r="U698"/>
  <c r="U699"/>
  <c r="U700"/>
  <c r="U701"/>
  <c r="U702"/>
  <c r="U703"/>
  <c r="U704"/>
  <c r="U705"/>
  <c r="U706"/>
  <c r="U707"/>
  <c r="U708"/>
  <c r="U709"/>
  <c r="U710"/>
  <c r="U711"/>
  <c r="U712"/>
  <c r="U713"/>
  <c r="U714"/>
  <c r="U715"/>
  <c r="U716"/>
  <c r="U717"/>
  <c r="U718"/>
  <c r="U719"/>
  <c r="U720"/>
  <c r="U721"/>
  <c r="U722"/>
  <c r="U723"/>
  <c r="U724"/>
  <c r="U725"/>
  <c r="U726"/>
  <c r="U727"/>
  <c r="U728"/>
  <c r="U729"/>
  <c r="U730"/>
  <c r="U731"/>
  <c r="U732"/>
  <c r="U733"/>
  <c r="U734"/>
  <c r="U735"/>
  <c r="U736"/>
  <c r="U737"/>
  <c r="U738"/>
  <c r="U739"/>
  <c r="U740"/>
  <c r="U741"/>
  <c r="U742"/>
  <c r="U743"/>
  <c r="U744"/>
  <c r="U745"/>
  <c r="U746"/>
  <c r="U747"/>
  <c r="U748"/>
  <c r="U749"/>
  <c r="U750"/>
  <c r="U751"/>
  <c r="U752"/>
  <c r="U753"/>
  <c r="U754"/>
  <c r="U755"/>
  <c r="U756"/>
  <c r="U757"/>
  <c r="U758"/>
  <c r="U759"/>
  <c r="U760"/>
  <c r="U761"/>
  <c r="U762"/>
  <c r="U763"/>
  <c r="U764"/>
  <c r="U765"/>
  <c r="U766"/>
  <c r="U767"/>
  <c r="U768"/>
  <c r="U769"/>
  <c r="U770"/>
  <c r="U771"/>
  <c r="U772"/>
  <c r="U773"/>
  <c r="U774"/>
  <c r="U775"/>
  <c r="U776"/>
  <c r="U777"/>
  <c r="U778"/>
  <c r="U779"/>
  <c r="U780"/>
  <c r="U781"/>
  <c r="U782"/>
  <c r="U783"/>
  <c r="U784"/>
  <c r="U785"/>
  <c r="U786"/>
  <c r="U787"/>
  <c r="U788"/>
  <c r="U789"/>
  <c r="U790"/>
  <c r="U791"/>
  <c r="U792"/>
  <c r="U793"/>
  <c r="U794"/>
  <c r="U795"/>
  <c r="U796"/>
  <c r="U797"/>
  <c r="U798"/>
  <c r="U799"/>
  <c r="U800"/>
  <c r="U801"/>
  <c r="U802"/>
  <c r="U803"/>
  <c r="U804"/>
  <c r="U805"/>
  <c r="U806"/>
  <c r="U807"/>
  <c r="U808"/>
  <c r="U809"/>
  <c r="U810"/>
  <c r="U811"/>
  <c r="U812"/>
  <c r="U813"/>
  <c r="U814"/>
  <c r="U815"/>
  <c r="U816"/>
  <c r="U817"/>
  <c r="U818"/>
  <c r="U819"/>
  <c r="U820"/>
  <c r="U821"/>
  <c r="U822"/>
  <c r="U823"/>
  <c r="U824"/>
  <c r="U825"/>
  <c r="U826"/>
  <c r="U827"/>
  <c r="U828"/>
  <c r="U829"/>
  <c r="U830"/>
  <c r="U831"/>
  <c r="U832"/>
  <c r="U833"/>
  <c r="U834"/>
  <c r="U835"/>
  <c r="U836"/>
  <c r="U837"/>
  <c r="U838"/>
  <c r="U839"/>
  <c r="U840"/>
  <c r="U841"/>
  <c r="U842"/>
  <c r="U843"/>
  <c r="U844"/>
  <c r="U845"/>
  <c r="U846"/>
  <c r="U847"/>
  <c r="U848"/>
  <c r="U849"/>
  <c r="U850"/>
  <c r="U851"/>
  <c r="U852"/>
  <c r="U853"/>
  <c r="U854"/>
  <c r="U855"/>
  <c r="U856"/>
  <c r="U857"/>
  <c r="U858"/>
  <c r="U859"/>
  <c r="U860"/>
  <c r="U861"/>
  <c r="U862"/>
  <c r="U863"/>
  <c r="U864"/>
  <c r="U865"/>
  <c r="U866"/>
  <c r="U867"/>
  <c r="U868"/>
  <c r="U869"/>
  <c r="U870"/>
  <c r="U871"/>
  <c r="U872"/>
  <c r="U873"/>
  <c r="U874"/>
  <c r="U875"/>
  <c r="U876"/>
  <c r="U877"/>
  <c r="U878"/>
  <c r="U879"/>
  <c r="U880"/>
  <c r="U881"/>
  <c r="U882"/>
  <c r="U883"/>
  <c r="U884"/>
  <c r="U885"/>
  <c r="U886"/>
  <c r="U887"/>
  <c r="U888"/>
  <c r="U889"/>
  <c r="U890"/>
  <c r="U891"/>
  <c r="U892"/>
  <c r="U893"/>
  <c r="U894"/>
  <c r="U895"/>
  <c r="U896"/>
  <c r="U897"/>
  <c r="U898"/>
  <c r="U899"/>
  <c r="U900"/>
  <c r="U901"/>
  <c r="U902"/>
  <c r="U903"/>
  <c r="U904"/>
  <c r="U905"/>
  <c r="U906"/>
  <c r="U907"/>
  <c r="U908"/>
  <c r="U909"/>
  <c r="U910"/>
  <c r="U911"/>
  <c r="U912"/>
  <c r="U913"/>
  <c r="U914"/>
  <c r="U915"/>
  <c r="U916"/>
  <c r="U917"/>
  <c r="U918"/>
  <c r="U919"/>
  <c r="U920"/>
  <c r="U921"/>
  <c r="U922"/>
  <c r="U923"/>
  <c r="U924"/>
  <c r="U925"/>
  <c r="U926"/>
  <c r="U927"/>
  <c r="U928"/>
  <c r="U929"/>
  <c r="U930"/>
  <c r="U931"/>
  <c r="U932"/>
  <c r="U933"/>
  <c r="U934"/>
  <c r="U935"/>
  <c r="U936"/>
  <c r="U937"/>
  <c r="U938"/>
  <c r="U939"/>
  <c r="U940"/>
  <c r="U941"/>
  <c r="U942"/>
  <c r="U943"/>
  <c r="U944"/>
  <c r="U945"/>
  <c r="U946"/>
  <c r="U947"/>
  <c r="U948"/>
  <c r="U949"/>
  <c r="U950"/>
  <c r="U951"/>
  <c r="U952"/>
  <c r="U953"/>
  <c r="U954"/>
  <c r="U955"/>
  <c r="U956"/>
  <c r="U957"/>
  <c r="U958"/>
  <c r="U959"/>
  <c r="U960"/>
  <c r="U961"/>
  <c r="U962"/>
  <c r="U963"/>
  <c r="U964"/>
  <c r="U965"/>
  <c r="U966"/>
  <c r="U967"/>
  <c r="U968"/>
  <c r="U969"/>
  <c r="U970"/>
  <c r="U971"/>
  <c r="U972"/>
  <c r="U973"/>
  <c r="U974"/>
  <c r="U975"/>
  <c r="U976"/>
  <c r="U977"/>
  <c r="U978"/>
  <c r="U979"/>
  <c r="U980"/>
  <c r="U981"/>
  <c r="U982"/>
  <c r="U983"/>
  <c r="U984"/>
  <c r="U985"/>
  <c r="U986"/>
  <c r="U987"/>
  <c r="U988"/>
  <c r="U989"/>
  <c r="U990"/>
  <c r="U991"/>
  <c r="U992"/>
  <c r="U993"/>
  <c r="U994"/>
  <c r="U995"/>
  <c r="U996"/>
  <c r="U997"/>
  <c r="U998"/>
  <c r="U999"/>
  <c r="U1000"/>
  <c r="U1001"/>
  <c r="U1002"/>
  <c r="U3"/>
  <c r="V4"/>
  <c r="V5"/>
  <c r="V6"/>
  <c r="V7"/>
  <c r="V8"/>
  <c r="V9"/>
  <c r="V10"/>
  <c r="V11"/>
  <c r="V12"/>
  <c r="V13"/>
  <c r="V14"/>
  <c r="V15"/>
  <c r="V16"/>
  <c r="V17"/>
  <c r="V18"/>
  <c r="V19"/>
  <c r="V20"/>
  <c r="V21"/>
  <c r="V22"/>
  <c r="V23"/>
  <c r="V24"/>
  <c r="V25"/>
  <c r="V26"/>
  <c r="V27"/>
  <c r="V28"/>
  <c r="V29"/>
  <c r="V30"/>
  <c r="V31"/>
  <c r="V32"/>
  <c r="V33"/>
  <c r="V34"/>
  <c r="V35"/>
  <c r="V36"/>
  <c r="V37"/>
  <c r="V38"/>
  <c r="V39"/>
  <c r="V40"/>
  <c r="V41"/>
  <c r="V42"/>
  <c r="V43"/>
  <c r="V44"/>
  <c r="V45"/>
  <c r="V46"/>
  <c r="V47"/>
  <c r="V48"/>
  <c r="V49"/>
  <c r="V50"/>
  <c r="V51"/>
  <c r="V52"/>
  <c r="V53"/>
  <c r="V54"/>
  <c r="V55"/>
  <c r="V56"/>
  <c r="V57"/>
  <c r="V58"/>
  <c r="V59"/>
  <c r="V60"/>
  <c r="V61"/>
  <c r="V62"/>
  <c r="V63"/>
  <c r="V64"/>
  <c r="V65"/>
  <c r="V66"/>
  <c r="V67"/>
  <c r="V68"/>
  <c r="V69"/>
  <c r="V70"/>
  <c r="V71"/>
  <c r="V72"/>
  <c r="V73"/>
  <c r="V74"/>
  <c r="V75"/>
  <c r="V76"/>
  <c r="V77"/>
  <c r="V78"/>
  <c r="V79"/>
  <c r="V80"/>
  <c r="V81"/>
  <c r="V82"/>
  <c r="V83"/>
  <c r="V84"/>
  <c r="V85"/>
  <c r="V86"/>
  <c r="V87"/>
  <c r="V88"/>
  <c r="V89"/>
  <c r="V90"/>
  <c r="V91"/>
  <c r="V92"/>
  <c r="V93"/>
  <c r="V94"/>
  <c r="V95"/>
  <c r="V96"/>
  <c r="V97"/>
  <c r="V98"/>
  <c r="V99"/>
  <c r="V100"/>
  <c r="V101"/>
  <c r="V102"/>
  <c r="V103"/>
  <c r="V104"/>
  <c r="V105"/>
  <c r="V106"/>
  <c r="V107"/>
  <c r="V108"/>
  <c r="V109"/>
  <c r="V110"/>
  <c r="V111"/>
  <c r="V112"/>
  <c r="V113"/>
  <c r="V114"/>
  <c r="V115"/>
  <c r="V116"/>
  <c r="V117"/>
  <c r="V118"/>
  <c r="V119"/>
  <c r="V120"/>
  <c r="V121"/>
  <c r="V122"/>
  <c r="V123"/>
  <c r="V124"/>
  <c r="V125"/>
  <c r="V126"/>
  <c r="V127"/>
  <c r="V128"/>
  <c r="V129"/>
  <c r="V130"/>
  <c r="V131"/>
  <c r="V132"/>
  <c r="V133"/>
  <c r="V134"/>
  <c r="V135"/>
  <c r="V136"/>
  <c r="V137"/>
  <c r="V138"/>
  <c r="V139"/>
  <c r="V140"/>
  <c r="V141"/>
  <c r="V142"/>
  <c r="V143"/>
  <c r="V144"/>
  <c r="V145"/>
  <c r="V146"/>
  <c r="V147"/>
  <c r="V148"/>
  <c r="V149"/>
  <c r="V150"/>
  <c r="V151"/>
  <c r="V152"/>
  <c r="V153"/>
  <c r="V154"/>
  <c r="V155"/>
  <c r="V156"/>
  <c r="V157"/>
  <c r="V158"/>
  <c r="V159"/>
  <c r="V160"/>
  <c r="V161"/>
  <c r="V162"/>
  <c r="V163"/>
  <c r="V164"/>
  <c r="V165"/>
  <c r="V166"/>
  <c r="V167"/>
  <c r="V168"/>
  <c r="V169"/>
  <c r="V170"/>
  <c r="V171"/>
  <c r="V172"/>
  <c r="V173"/>
  <c r="V174"/>
  <c r="V175"/>
  <c r="V176"/>
  <c r="V177"/>
  <c r="V178"/>
  <c r="V179"/>
  <c r="V180"/>
  <c r="V181"/>
  <c r="V182"/>
  <c r="V183"/>
  <c r="V184"/>
  <c r="V185"/>
  <c r="V186"/>
  <c r="V187"/>
  <c r="V188"/>
  <c r="V189"/>
  <c r="V190"/>
  <c r="V191"/>
  <c r="V192"/>
  <c r="V193"/>
  <c r="V194"/>
  <c r="V195"/>
  <c r="V196"/>
  <c r="V197"/>
  <c r="V198"/>
  <c r="V199"/>
  <c r="V200"/>
  <c r="V201"/>
  <c r="V202"/>
  <c r="V203"/>
  <c r="V204"/>
  <c r="V205"/>
  <c r="V206"/>
  <c r="V207"/>
  <c r="V208"/>
  <c r="V209"/>
  <c r="V210"/>
  <c r="V211"/>
  <c r="V212"/>
  <c r="V213"/>
  <c r="V214"/>
  <c r="V215"/>
  <c r="V216"/>
  <c r="V217"/>
  <c r="V218"/>
  <c r="V219"/>
  <c r="V220"/>
  <c r="V221"/>
  <c r="V222"/>
  <c r="V223"/>
  <c r="V224"/>
  <c r="V225"/>
  <c r="V226"/>
  <c r="V227"/>
  <c r="V228"/>
  <c r="V229"/>
  <c r="V230"/>
  <c r="V231"/>
  <c r="V232"/>
  <c r="V233"/>
  <c r="V234"/>
  <c r="V235"/>
  <c r="V236"/>
  <c r="V237"/>
  <c r="V238"/>
  <c r="V239"/>
  <c r="V240"/>
  <c r="V241"/>
  <c r="V242"/>
  <c r="V243"/>
  <c r="V244"/>
  <c r="V245"/>
  <c r="V246"/>
  <c r="V247"/>
  <c r="V248"/>
  <c r="V249"/>
  <c r="V250"/>
  <c r="V251"/>
  <c r="V252"/>
  <c r="V253"/>
  <c r="V254"/>
  <c r="V255"/>
  <c r="V256"/>
  <c r="V257"/>
  <c r="V258"/>
  <c r="V259"/>
  <c r="V260"/>
  <c r="V261"/>
  <c r="V262"/>
  <c r="V263"/>
  <c r="V264"/>
  <c r="V265"/>
  <c r="V266"/>
  <c r="V267"/>
  <c r="V268"/>
  <c r="V269"/>
  <c r="V270"/>
  <c r="V271"/>
  <c r="V272"/>
  <c r="V273"/>
  <c r="V274"/>
  <c r="V275"/>
  <c r="V276"/>
  <c r="V277"/>
  <c r="V278"/>
  <c r="V279"/>
  <c r="V280"/>
  <c r="V281"/>
  <c r="V282"/>
  <c r="V283"/>
  <c r="V284"/>
  <c r="V285"/>
  <c r="V286"/>
  <c r="V287"/>
  <c r="V288"/>
  <c r="V289"/>
  <c r="V290"/>
  <c r="V291"/>
  <c r="V292"/>
  <c r="V293"/>
  <c r="V294"/>
  <c r="V295"/>
  <c r="V296"/>
  <c r="V297"/>
  <c r="V298"/>
  <c r="V299"/>
  <c r="V300"/>
  <c r="V301"/>
  <c r="V302"/>
  <c r="V303"/>
  <c r="V304"/>
  <c r="V305"/>
  <c r="V306"/>
  <c r="V307"/>
  <c r="V308"/>
  <c r="V309"/>
  <c r="V310"/>
  <c r="V311"/>
  <c r="V312"/>
  <c r="V313"/>
  <c r="V314"/>
  <c r="V315"/>
  <c r="V316"/>
  <c r="V317"/>
  <c r="V318"/>
  <c r="V319"/>
  <c r="V320"/>
  <c r="V321"/>
  <c r="V322"/>
  <c r="V323"/>
  <c r="V324"/>
  <c r="V325"/>
  <c r="V326"/>
  <c r="V327"/>
  <c r="V328"/>
  <c r="V329"/>
  <c r="V330"/>
  <c r="V331"/>
  <c r="V332"/>
  <c r="V333"/>
  <c r="V334"/>
  <c r="V335"/>
  <c r="V336"/>
  <c r="V337"/>
  <c r="V338"/>
  <c r="V339"/>
  <c r="V340"/>
  <c r="V341"/>
  <c r="V342"/>
  <c r="V343"/>
  <c r="V344"/>
  <c r="V345"/>
  <c r="V346"/>
  <c r="V347"/>
  <c r="V348"/>
  <c r="V349"/>
  <c r="V350"/>
  <c r="V351"/>
  <c r="V352"/>
  <c r="V353"/>
  <c r="V354"/>
  <c r="V355"/>
  <c r="V356"/>
  <c r="V357"/>
  <c r="V358"/>
  <c r="V359"/>
  <c r="V360"/>
  <c r="V361"/>
  <c r="V362"/>
  <c r="V363"/>
  <c r="V364"/>
  <c r="V365"/>
  <c r="V366"/>
  <c r="V367"/>
  <c r="V368"/>
  <c r="V369"/>
  <c r="V370"/>
  <c r="V371"/>
  <c r="V372"/>
  <c r="V373"/>
  <c r="V374"/>
  <c r="V375"/>
  <c r="V376"/>
  <c r="V377"/>
  <c r="V378"/>
  <c r="V379"/>
  <c r="V380"/>
  <c r="V381"/>
  <c r="V382"/>
  <c r="V383"/>
  <c r="V384"/>
  <c r="V385"/>
  <c r="V386"/>
  <c r="V387"/>
  <c r="V388"/>
  <c r="V389"/>
  <c r="V390"/>
  <c r="V391"/>
  <c r="V392"/>
  <c r="V393"/>
  <c r="V394"/>
  <c r="V395"/>
  <c r="V396"/>
  <c r="V397"/>
  <c r="V398"/>
  <c r="V399"/>
  <c r="V400"/>
  <c r="V401"/>
  <c r="V402"/>
  <c r="V403"/>
  <c r="V404"/>
  <c r="V405"/>
  <c r="V406"/>
  <c r="V407"/>
  <c r="V408"/>
  <c r="V409"/>
  <c r="V410"/>
  <c r="V411"/>
  <c r="V412"/>
  <c r="V413"/>
  <c r="V414"/>
  <c r="V415"/>
  <c r="V416"/>
  <c r="V417"/>
  <c r="V418"/>
  <c r="V419"/>
  <c r="V420"/>
  <c r="V421"/>
  <c r="V422"/>
  <c r="V423"/>
  <c r="V424"/>
  <c r="V425"/>
  <c r="V426"/>
  <c r="V427"/>
  <c r="V428"/>
  <c r="V429"/>
  <c r="V430"/>
  <c r="V431"/>
  <c r="V432"/>
  <c r="V433"/>
  <c r="V434"/>
  <c r="V435"/>
  <c r="V436"/>
  <c r="V437"/>
  <c r="V438"/>
  <c r="V439"/>
  <c r="V440"/>
  <c r="V441"/>
  <c r="V442"/>
  <c r="V443"/>
  <c r="V444"/>
  <c r="V445"/>
  <c r="V446"/>
  <c r="V447"/>
  <c r="V448"/>
  <c r="V449"/>
  <c r="V450"/>
  <c r="V451"/>
  <c r="V452"/>
  <c r="V453"/>
  <c r="V454"/>
  <c r="V455"/>
  <c r="V456"/>
  <c r="V457"/>
  <c r="V458"/>
  <c r="V459"/>
  <c r="V460"/>
  <c r="V461"/>
  <c r="V462"/>
  <c r="V463"/>
  <c r="V464"/>
  <c r="V465"/>
  <c r="V466"/>
  <c r="V467"/>
  <c r="V468"/>
  <c r="V469"/>
  <c r="V470"/>
  <c r="V471"/>
  <c r="V472"/>
  <c r="V473"/>
  <c r="V474"/>
  <c r="V475"/>
  <c r="V476"/>
  <c r="V477"/>
  <c r="V478"/>
  <c r="V479"/>
  <c r="V480"/>
  <c r="V481"/>
  <c r="V482"/>
  <c r="V483"/>
  <c r="V484"/>
  <c r="V485"/>
  <c r="V486"/>
  <c r="V487"/>
  <c r="V488"/>
  <c r="V489"/>
  <c r="V490"/>
  <c r="V491"/>
  <c r="V492"/>
  <c r="V493"/>
  <c r="V494"/>
  <c r="V495"/>
  <c r="V496"/>
  <c r="V497"/>
  <c r="V498"/>
  <c r="V499"/>
  <c r="V500"/>
  <c r="V501"/>
  <c r="V502"/>
  <c r="V503"/>
  <c r="V504"/>
  <c r="V505"/>
  <c r="V506"/>
  <c r="V507"/>
  <c r="V508"/>
  <c r="V509"/>
  <c r="V510"/>
  <c r="V511"/>
  <c r="V512"/>
  <c r="V513"/>
  <c r="V514"/>
  <c r="V515"/>
  <c r="V516"/>
  <c r="V517"/>
  <c r="V518"/>
  <c r="V519"/>
  <c r="V520"/>
  <c r="V521"/>
  <c r="V522"/>
  <c r="V523"/>
  <c r="V524"/>
  <c r="V525"/>
  <c r="V526"/>
  <c r="V527"/>
  <c r="V528"/>
  <c r="V529"/>
  <c r="V530"/>
  <c r="V531"/>
  <c r="V532"/>
  <c r="V533"/>
  <c r="V534"/>
  <c r="V535"/>
  <c r="V536"/>
  <c r="V537"/>
  <c r="V538"/>
  <c r="V539"/>
  <c r="V540"/>
  <c r="V541"/>
  <c r="V542"/>
  <c r="V543"/>
  <c r="V544"/>
  <c r="V545"/>
  <c r="V546"/>
  <c r="V547"/>
  <c r="V548"/>
  <c r="V549"/>
  <c r="V550"/>
  <c r="V551"/>
  <c r="V552"/>
  <c r="V553"/>
  <c r="V554"/>
  <c r="V555"/>
  <c r="V556"/>
  <c r="V557"/>
  <c r="V558"/>
  <c r="V559"/>
  <c r="V560"/>
  <c r="V561"/>
  <c r="V562"/>
  <c r="V563"/>
  <c r="V564"/>
  <c r="V565"/>
  <c r="V566"/>
  <c r="V567"/>
  <c r="V568"/>
  <c r="V569"/>
  <c r="V570"/>
  <c r="V571"/>
  <c r="V572"/>
  <c r="V573"/>
  <c r="V574"/>
  <c r="V575"/>
  <c r="V576"/>
  <c r="V577"/>
  <c r="V578"/>
  <c r="V579"/>
  <c r="V580"/>
  <c r="V581"/>
  <c r="V582"/>
  <c r="V583"/>
  <c r="V584"/>
  <c r="V585"/>
  <c r="V586"/>
  <c r="V587"/>
  <c r="V588"/>
  <c r="V589"/>
  <c r="V590"/>
  <c r="V591"/>
  <c r="V592"/>
  <c r="V593"/>
  <c r="V594"/>
  <c r="V595"/>
  <c r="V596"/>
  <c r="V597"/>
  <c r="V598"/>
  <c r="V599"/>
  <c r="V600"/>
  <c r="V601"/>
  <c r="V602"/>
  <c r="V603"/>
  <c r="V604"/>
  <c r="V605"/>
  <c r="V606"/>
  <c r="V607"/>
  <c r="V608"/>
  <c r="V609"/>
  <c r="V610"/>
  <c r="V611"/>
  <c r="V612"/>
  <c r="V613"/>
  <c r="V614"/>
  <c r="V615"/>
  <c r="V616"/>
  <c r="V617"/>
  <c r="V618"/>
  <c r="V619"/>
  <c r="V620"/>
  <c r="V621"/>
  <c r="V622"/>
  <c r="V623"/>
  <c r="V624"/>
  <c r="V625"/>
  <c r="V626"/>
  <c r="V627"/>
  <c r="V628"/>
  <c r="V629"/>
  <c r="V630"/>
  <c r="V631"/>
  <c r="V632"/>
  <c r="V633"/>
  <c r="V634"/>
  <c r="V635"/>
  <c r="V636"/>
  <c r="V637"/>
  <c r="V638"/>
  <c r="V639"/>
  <c r="V640"/>
  <c r="V641"/>
  <c r="V642"/>
  <c r="V643"/>
  <c r="V644"/>
  <c r="V645"/>
  <c r="V646"/>
  <c r="V647"/>
  <c r="V648"/>
  <c r="V649"/>
  <c r="V650"/>
  <c r="V651"/>
  <c r="V652"/>
  <c r="V653"/>
  <c r="V654"/>
  <c r="V655"/>
  <c r="V656"/>
  <c r="V657"/>
  <c r="V658"/>
  <c r="V659"/>
  <c r="V660"/>
  <c r="V661"/>
  <c r="V662"/>
  <c r="V663"/>
  <c r="V664"/>
  <c r="V665"/>
  <c r="V666"/>
  <c r="V667"/>
  <c r="V668"/>
  <c r="V669"/>
  <c r="V670"/>
  <c r="V671"/>
  <c r="V672"/>
  <c r="V673"/>
  <c r="V674"/>
  <c r="V675"/>
  <c r="V676"/>
  <c r="V677"/>
  <c r="V678"/>
  <c r="V679"/>
  <c r="V680"/>
  <c r="V681"/>
  <c r="V682"/>
  <c r="V683"/>
  <c r="V684"/>
  <c r="V685"/>
  <c r="V686"/>
  <c r="V687"/>
  <c r="V688"/>
  <c r="V689"/>
  <c r="V690"/>
  <c r="V691"/>
  <c r="V692"/>
  <c r="V693"/>
  <c r="V694"/>
  <c r="V695"/>
  <c r="V696"/>
  <c r="V697"/>
  <c r="V698"/>
  <c r="V699"/>
  <c r="V700"/>
  <c r="V701"/>
  <c r="V702"/>
  <c r="V703"/>
  <c r="V704"/>
  <c r="V705"/>
  <c r="V706"/>
  <c r="V707"/>
  <c r="V708"/>
  <c r="V709"/>
  <c r="V710"/>
  <c r="V711"/>
  <c r="V712"/>
  <c r="V713"/>
  <c r="V714"/>
  <c r="V715"/>
  <c r="V716"/>
  <c r="V717"/>
  <c r="V718"/>
  <c r="V719"/>
  <c r="V720"/>
  <c r="V721"/>
  <c r="V722"/>
  <c r="V723"/>
  <c r="V724"/>
  <c r="V725"/>
  <c r="V726"/>
  <c r="V727"/>
  <c r="V728"/>
  <c r="V729"/>
  <c r="V730"/>
  <c r="V731"/>
  <c r="V732"/>
  <c r="V733"/>
  <c r="V734"/>
  <c r="V735"/>
  <c r="V736"/>
  <c r="V737"/>
  <c r="V738"/>
  <c r="V739"/>
  <c r="V740"/>
  <c r="V741"/>
  <c r="V742"/>
  <c r="V743"/>
  <c r="V744"/>
  <c r="V745"/>
  <c r="V746"/>
  <c r="V747"/>
  <c r="V748"/>
  <c r="V749"/>
  <c r="V750"/>
  <c r="V751"/>
  <c r="V752"/>
  <c r="V753"/>
  <c r="V754"/>
  <c r="V755"/>
  <c r="V756"/>
  <c r="V757"/>
  <c r="V758"/>
  <c r="V759"/>
  <c r="V760"/>
  <c r="V761"/>
  <c r="V762"/>
  <c r="V763"/>
  <c r="V764"/>
  <c r="V765"/>
  <c r="V766"/>
  <c r="V767"/>
  <c r="V768"/>
  <c r="V769"/>
  <c r="V770"/>
  <c r="V771"/>
  <c r="V772"/>
  <c r="V773"/>
  <c r="V774"/>
  <c r="V775"/>
  <c r="V776"/>
  <c r="V777"/>
  <c r="V778"/>
  <c r="V779"/>
  <c r="V780"/>
  <c r="V781"/>
  <c r="V782"/>
  <c r="V783"/>
  <c r="V784"/>
  <c r="V785"/>
  <c r="V786"/>
  <c r="V787"/>
  <c r="V788"/>
  <c r="V789"/>
  <c r="V790"/>
  <c r="V791"/>
  <c r="V792"/>
  <c r="V793"/>
  <c r="V794"/>
  <c r="V795"/>
  <c r="V796"/>
  <c r="V797"/>
  <c r="V798"/>
  <c r="V799"/>
  <c r="V800"/>
  <c r="V801"/>
  <c r="V802"/>
  <c r="V803"/>
  <c r="V804"/>
  <c r="V805"/>
  <c r="V806"/>
  <c r="V807"/>
  <c r="V808"/>
  <c r="V809"/>
  <c r="V810"/>
  <c r="V811"/>
  <c r="V812"/>
  <c r="V813"/>
  <c r="V814"/>
  <c r="V815"/>
  <c r="V816"/>
  <c r="V817"/>
  <c r="V818"/>
  <c r="V819"/>
  <c r="V820"/>
  <c r="V821"/>
  <c r="V822"/>
  <c r="V823"/>
  <c r="V824"/>
  <c r="V825"/>
  <c r="V826"/>
  <c r="V827"/>
  <c r="V828"/>
  <c r="V829"/>
  <c r="V830"/>
  <c r="V831"/>
  <c r="V832"/>
  <c r="V833"/>
  <c r="V834"/>
  <c r="V835"/>
  <c r="V836"/>
  <c r="V837"/>
  <c r="V838"/>
  <c r="V839"/>
  <c r="V840"/>
  <c r="V841"/>
  <c r="V842"/>
  <c r="V843"/>
  <c r="V844"/>
  <c r="V845"/>
  <c r="V846"/>
  <c r="V847"/>
  <c r="V848"/>
  <c r="V849"/>
  <c r="V850"/>
  <c r="V851"/>
  <c r="V852"/>
  <c r="V853"/>
  <c r="V854"/>
  <c r="V855"/>
  <c r="V856"/>
  <c r="V857"/>
  <c r="V858"/>
  <c r="V859"/>
  <c r="V860"/>
  <c r="V861"/>
  <c r="V862"/>
  <c r="V863"/>
  <c r="V864"/>
  <c r="V865"/>
  <c r="V866"/>
  <c r="V867"/>
  <c r="V868"/>
  <c r="V869"/>
  <c r="V870"/>
  <c r="V871"/>
  <c r="V872"/>
  <c r="V873"/>
  <c r="V874"/>
  <c r="V875"/>
  <c r="V876"/>
  <c r="V877"/>
  <c r="V878"/>
  <c r="V879"/>
  <c r="V880"/>
  <c r="V881"/>
  <c r="V882"/>
  <c r="V883"/>
  <c r="V884"/>
  <c r="V885"/>
  <c r="V886"/>
  <c r="V887"/>
  <c r="V888"/>
  <c r="V889"/>
  <c r="V890"/>
  <c r="V891"/>
  <c r="V892"/>
  <c r="V893"/>
  <c r="V894"/>
  <c r="V895"/>
  <c r="V896"/>
  <c r="V897"/>
  <c r="V898"/>
  <c r="V899"/>
  <c r="V900"/>
  <c r="V901"/>
  <c r="V902"/>
  <c r="V903"/>
  <c r="V904"/>
  <c r="V905"/>
  <c r="V906"/>
  <c r="V907"/>
  <c r="V908"/>
  <c r="V909"/>
  <c r="V910"/>
  <c r="V911"/>
  <c r="V912"/>
  <c r="V913"/>
  <c r="V914"/>
  <c r="V915"/>
  <c r="V916"/>
  <c r="V917"/>
  <c r="V918"/>
  <c r="V919"/>
  <c r="V920"/>
  <c r="V921"/>
  <c r="V922"/>
  <c r="V923"/>
  <c r="V924"/>
  <c r="V925"/>
  <c r="V926"/>
  <c r="V927"/>
  <c r="V928"/>
  <c r="V929"/>
  <c r="V930"/>
  <c r="V931"/>
  <c r="V932"/>
  <c r="V933"/>
  <c r="V934"/>
  <c r="V935"/>
  <c r="V936"/>
  <c r="V937"/>
  <c r="V938"/>
  <c r="V939"/>
  <c r="V940"/>
  <c r="V941"/>
  <c r="V942"/>
  <c r="V943"/>
  <c r="V944"/>
  <c r="V945"/>
  <c r="V946"/>
  <c r="V947"/>
  <c r="V948"/>
  <c r="V949"/>
  <c r="V950"/>
  <c r="V951"/>
  <c r="V952"/>
  <c r="V953"/>
  <c r="V954"/>
  <c r="V955"/>
  <c r="V956"/>
  <c r="V957"/>
  <c r="V958"/>
  <c r="V959"/>
  <c r="V960"/>
  <c r="V961"/>
  <c r="V962"/>
  <c r="V963"/>
  <c r="V964"/>
  <c r="V965"/>
  <c r="V966"/>
  <c r="V967"/>
  <c r="V968"/>
  <c r="V969"/>
  <c r="V970"/>
  <c r="V971"/>
  <c r="V972"/>
  <c r="V973"/>
  <c r="V974"/>
  <c r="V975"/>
  <c r="V976"/>
  <c r="V977"/>
  <c r="V978"/>
  <c r="V979"/>
  <c r="V980"/>
  <c r="V981"/>
  <c r="V982"/>
  <c r="V983"/>
  <c r="V984"/>
  <c r="V985"/>
  <c r="V986"/>
  <c r="V987"/>
  <c r="V988"/>
  <c r="V989"/>
  <c r="V990"/>
  <c r="V991"/>
  <c r="V992"/>
  <c r="V993"/>
  <c r="V994"/>
  <c r="V995"/>
  <c r="V996"/>
  <c r="V997"/>
  <c r="V998"/>
  <c r="V999"/>
  <c r="V1000"/>
  <c r="V1001"/>
  <c r="V1002"/>
  <c r="V3"/>
  <c r="T4"/>
  <c r="T5"/>
  <c r="T6"/>
  <c r="T7"/>
  <c r="T8"/>
  <c r="T9"/>
  <c r="T10"/>
  <c r="T11"/>
  <c r="T12"/>
  <c r="T13"/>
  <c r="T14"/>
  <c r="T15"/>
  <c r="T16"/>
  <c r="T17"/>
  <c r="T18"/>
  <c r="T19"/>
  <c r="T20"/>
  <c r="T21"/>
  <c r="T22"/>
  <c r="T23"/>
  <c r="T24"/>
  <c r="T25"/>
  <c r="T26"/>
  <c r="T27"/>
  <c r="T28"/>
  <c r="T29"/>
  <c r="T30"/>
  <c r="T31"/>
  <c r="T32"/>
  <c r="T33"/>
  <c r="T34"/>
  <c r="T35"/>
  <c r="T36"/>
  <c r="T37"/>
  <c r="T38"/>
  <c r="T39"/>
  <c r="T40"/>
  <c r="T41"/>
  <c r="T42"/>
  <c r="T43"/>
  <c r="T44"/>
  <c r="T45"/>
  <c r="T46"/>
  <c r="T47"/>
  <c r="T48"/>
  <c r="T49"/>
  <c r="T50"/>
  <c r="T51"/>
  <c r="T52"/>
  <c r="T53"/>
  <c r="T54"/>
  <c r="T55"/>
  <c r="T56"/>
  <c r="T57"/>
  <c r="T58"/>
  <c r="T59"/>
  <c r="T60"/>
  <c r="T61"/>
  <c r="T62"/>
  <c r="T63"/>
  <c r="T64"/>
  <c r="T65"/>
  <c r="T66"/>
  <c r="T67"/>
  <c r="T68"/>
  <c r="T69"/>
  <c r="T70"/>
  <c r="T71"/>
  <c r="T72"/>
  <c r="T73"/>
  <c r="T74"/>
  <c r="T75"/>
  <c r="T76"/>
  <c r="T77"/>
  <c r="T78"/>
  <c r="T79"/>
  <c r="T80"/>
  <c r="T81"/>
  <c r="T82"/>
  <c r="T83"/>
  <c r="T84"/>
  <c r="T85"/>
  <c r="T86"/>
  <c r="T87"/>
  <c r="T88"/>
  <c r="T89"/>
  <c r="T90"/>
  <c r="T91"/>
  <c r="T92"/>
  <c r="T93"/>
  <c r="T94"/>
  <c r="T95"/>
  <c r="T96"/>
  <c r="T97"/>
  <c r="T98"/>
  <c r="T99"/>
  <c r="T100"/>
  <c r="T101"/>
  <c r="T102"/>
  <c r="T103"/>
  <c r="T104"/>
  <c r="T105"/>
  <c r="T106"/>
  <c r="T107"/>
  <c r="T108"/>
  <c r="T109"/>
  <c r="T110"/>
  <c r="T111"/>
  <c r="T112"/>
  <c r="T113"/>
  <c r="T114"/>
  <c r="T115"/>
  <c r="T116"/>
  <c r="T117"/>
  <c r="T118"/>
  <c r="T119"/>
  <c r="T120"/>
  <c r="T121"/>
  <c r="T122"/>
  <c r="T123"/>
  <c r="T124"/>
  <c r="T125"/>
  <c r="T126"/>
  <c r="T127"/>
  <c r="T128"/>
  <c r="T129"/>
  <c r="T130"/>
  <c r="T131"/>
  <c r="T132"/>
  <c r="T133"/>
  <c r="T134"/>
  <c r="T135"/>
  <c r="T136"/>
  <c r="T137"/>
  <c r="T138"/>
  <c r="T139"/>
  <c r="T140"/>
  <c r="T141"/>
  <c r="T142"/>
  <c r="T143"/>
  <c r="T144"/>
  <c r="T145"/>
  <c r="T146"/>
  <c r="T147"/>
  <c r="T148"/>
  <c r="T149"/>
  <c r="T150"/>
  <c r="T151"/>
  <c r="T152"/>
  <c r="T153"/>
  <c r="T154"/>
  <c r="T155"/>
  <c r="T156"/>
  <c r="T157"/>
  <c r="T158"/>
  <c r="T159"/>
  <c r="T160"/>
  <c r="T161"/>
  <c r="T162"/>
  <c r="T163"/>
  <c r="T164"/>
  <c r="T165"/>
  <c r="T166"/>
  <c r="T167"/>
  <c r="T168"/>
  <c r="T169"/>
  <c r="T170"/>
  <c r="T171"/>
  <c r="T172"/>
  <c r="T173"/>
  <c r="T174"/>
  <c r="T175"/>
  <c r="T176"/>
  <c r="T177"/>
  <c r="T178"/>
  <c r="T179"/>
  <c r="T180"/>
  <c r="T181"/>
  <c r="T182"/>
  <c r="T183"/>
  <c r="T184"/>
  <c r="T185"/>
  <c r="T186"/>
  <c r="T187"/>
  <c r="T188"/>
  <c r="T189"/>
  <c r="T190"/>
  <c r="T191"/>
  <c r="T192"/>
  <c r="T193"/>
  <c r="T194"/>
  <c r="T195"/>
  <c r="T196"/>
  <c r="T197"/>
  <c r="T198"/>
  <c r="T199"/>
  <c r="T200"/>
  <c r="T201"/>
  <c r="T202"/>
  <c r="T203"/>
  <c r="T204"/>
  <c r="T205"/>
  <c r="T206"/>
  <c r="T207"/>
  <c r="T208"/>
  <c r="T209"/>
  <c r="T210"/>
  <c r="T211"/>
  <c r="T212"/>
  <c r="T213"/>
  <c r="T214"/>
  <c r="T215"/>
  <c r="T216"/>
  <c r="T217"/>
  <c r="T218"/>
  <c r="T219"/>
  <c r="T220"/>
  <c r="T221"/>
  <c r="T222"/>
  <c r="T223"/>
  <c r="T224"/>
  <c r="T225"/>
  <c r="T226"/>
  <c r="T227"/>
  <c r="T228"/>
  <c r="T229"/>
  <c r="T230"/>
  <c r="T231"/>
  <c r="T232"/>
  <c r="T233"/>
  <c r="T234"/>
  <c r="T235"/>
  <c r="T236"/>
  <c r="T237"/>
  <c r="T238"/>
  <c r="T239"/>
  <c r="T240"/>
  <c r="T241"/>
  <c r="T242"/>
  <c r="T243"/>
  <c r="T244"/>
  <c r="T245"/>
  <c r="T246"/>
  <c r="T247"/>
  <c r="T248"/>
  <c r="T249"/>
  <c r="T250"/>
  <c r="T251"/>
  <c r="T252"/>
  <c r="T253"/>
  <c r="T254"/>
  <c r="T255"/>
  <c r="T256"/>
  <c r="T257"/>
  <c r="T258"/>
  <c r="T259"/>
  <c r="T260"/>
  <c r="T261"/>
  <c r="T262"/>
  <c r="T263"/>
  <c r="T264"/>
  <c r="T265"/>
  <c r="T266"/>
  <c r="T267"/>
  <c r="T268"/>
  <c r="T269"/>
  <c r="T270"/>
  <c r="T271"/>
  <c r="T272"/>
  <c r="T273"/>
  <c r="T274"/>
  <c r="T275"/>
  <c r="T276"/>
  <c r="T277"/>
  <c r="T278"/>
  <c r="T279"/>
  <c r="T280"/>
  <c r="T281"/>
  <c r="T282"/>
  <c r="T283"/>
  <c r="T284"/>
  <c r="T285"/>
  <c r="T286"/>
  <c r="T287"/>
  <c r="T288"/>
  <c r="T289"/>
  <c r="T290"/>
  <c r="T291"/>
  <c r="T292"/>
  <c r="T293"/>
  <c r="T294"/>
  <c r="T295"/>
  <c r="T296"/>
  <c r="T297"/>
  <c r="T298"/>
  <c r="T299"/>
  <c r="T300"/>
  <c r="T301"/>
  <c r="T302"/>
  <c r="T303"/>
  <c r="T304"/>
  <c r="T305"/>
  <c r="T306"/>
  <c r="T307"/>
  <c r="T308"/>
  <c r="T309"/>
  <c r="T310"/>
  <c r="T311"/>
  <c r="T312"/>
  <c r="T313"/>
  <c r="T314"/>
  <c r="T315"/>
  <c r="T316"/>
  <c r="T317"/>
  <c r="T318"/>
  <c r="T319"/>
  <c r="T320"/>
  <c r="T321"/>
  <c r="T322"/>
  <c r="T323"/>
  <c r="T324"/>
  <c r="T325"/>
  <c r="T326"/>
  <c r="T327"/>
  <c r="T328"/>
  <c r="T329"/>
  <c r="T330"/>
  <c r="T331"/>
  <c r="T332"/>
  <c r="T333"/>
  <c r="T334"/>
  <c r="T335"/>
  <c r="T336"/>
  <c r="T337"/>
  <c r="T338"/>
  <c r="T339"/>
  <c r="T340"/>
  <c r="T341"/>
  <c r="T342"/>
  <c r="T343"/>
  <c r="T344"/>
  <c r="T345"/>
  <c r="T346"/>
  <c r="T347"/>
  <c r="T348"/>
  <c r="T349"/>
  <c r="T350"/>
  <c r="T351"/>
  <c r="T352"/>
  <c r="T353"/>
  <c r="T354"/>
  <c r="T355"/>
  <c r="T356"/>
  <c r="T357"/>
  <c r="T358"/>
  <c r="T359"/>
  <c r="T360"/>
  <c r="T361"/>
  <c r="T362"/>
  <c r="T363"/>
  <c r="T364"/>
  <c r="T365"/>
  <c r="T366"/>
  <c r="T367"/>
  <c r="T368"/>
  <c r="T369"/>
  <c r="T370"/>
  <c r="T371"/>
  <c r="T372"/>
  <c r="T373"/>
  <c r="T374"/>
  <c r="T375"/>
  <c r="T376"/>
  <c r="T377"/>
  <c r="T378"/>
  <c r="T379"/>
  <c r="T380"/>
  <c r="T381"/>
  <c r="T382"/>
  <c r="T383"/>
  <c r="T384"/>
  <c r="T385"/>
  <c r="T386"/>
  <c r="T387"/>
  <c r="T388"/>
  <c r="T389"/>
  <c r="T390"/>
  <c r="T391"/>
  <c r="T392"/>
  <c r="T393"/>
  <c r="T394"/>
  <c r="T395"/>
  <c r="T396"/>
  <c r="T397"/>
  <c r="T398"/>
  <c r="T399"/>
  <c r="T400"/>
  <c r="T401"/>
  <c r="T402"/>
  <c r="T403"/>
  <c r="T404"/>
  <c r="T405"/>
  <c r="T406"/>
  <c r="T407"/>
  <c r="T408"/>
  <c r="T409"/>
  <c r="T410"/>
  <c r="T411"/>
  <c r="T412"/>
  <c r="T413"/>
  <c r="T414"/>
  <c r="T415"/>
  <c r="T416"/>
  <c r="T417"/>
  <c r="T418"/>
  <c r="T419"/>
  <c r="T420"/>
  <c r="T421"/>
  <c r="T422"/>
  <c r="T423"/>
  <c r="T424"/>
  <c r="T425"/>
  <c r="T426"/>
  <c r="T427"/>
  <c r="T428"/>
  <c r="T429"/>
  <c r="T430"/>
  <c r="T431"/>
  <c r="T432"/>
  <c r="T433"/>
  <c r="T434"/>
  <c r="T435"/>
  <c r="T436"/>
  <c r="T437"/>
  <c r="T438"/>
  <c r="T439"/>
  <c r="T440"/>
  <c r="T441"/>
  <c r="T442"/>
  <c r="T443"/>
  <c r="T444"/>
  <c r="T445"/>
  <c r="T446"/>
  <c r="T447"/>
  <c r="T448"/>
  <c r="T449"/>
  <c r="T450"/>
  <c r="T451"/>
  <c r="T452"/>
  <c r="T453"/>
  <c r="T454"/>
  <c r="T455"/>
  <c r="T456"/>
  <c r="T457"/>
  <c r="T458"/>
  <c r="T459"/>
  <c r="T460"/>
  <c r="T461"/>
  <c r="T462"/>
  <c r="T463"/>
  <c r="T464"/>
  <c r="T465"/>
  <c r="T466"/>
  <c r="T467"/>
  <c r="T468"/>
  <c r="T469"/>
  <c r="T470"/>
  <c r="T471"/>
  <c r="T472"/>
  <c r="T473"/>
  <c r="T474"/>
  <c r="T475"/>
  <c r="T476"/>
  <c r="T477"/>
  <c r="T478"/>
  <c r="T479"/>
  <c r="T480"/>
  <c r="T481"/>
  <c r="T482"/>
  <c r="T483"/>
  <c r="T484"/>
  <c r="T485"/>
  <c r="T486"/>
  <c r="T487"/>
  <c r="T488"/>
  <c r="T489"/>
  <c r="T490"/>
  <c r="T491"/>
  <c r="T492"/>
  <c r="T493"/>
  <c r="T494"/>
  <c r="T495"/>
  <c r="T496"/>
  <c r="T497"/>
  <c r="T498"/>
  <c r="T499"/>
  <c r="T500"/>
  <c r="T501"/>
  <c r="T502"/>
  <c r="T503"/>
  <c r="T504"/>
  <c r="T505"/>
  <c r="T506"/>
  <c r="T507"/>
  <c r="T508"/>
  <c r="T509"/>
  <c r="T510"/>
  <c r="T511"/>
  <c r="T512"/>
  <c r="T513"/>
  <c r="T514"/>
  <c r="T515"/>
  <c r="T516"/>
  <c r="T517"/>
  <c r="T518"/>
  <c r="T519"/>
  <c r="T520"/>
  <c r="T521"/>
  <c r="T522"/>
  <c r="T523"/>
  <c r="T524"/>
  <c r="T525"/>
  <c r="T526"/>
  <c r="T527"/>
  <c r="T528"/>
  <c r="T529"/>
  <c r="T530"/>
  <c r="T531"/>
  <c r="T532"/>
  <c r="T533"/>
  <c r="T534"/>
  <c r="T535"/>
  <c r="T536"/>
  <c r="T537"/>
  <c r="T538"/>
  <c r="T539"/>
  <c r="T540"/>
  <c r="T541"/>
  <c r="T542"/>
  <c r="T543"/>
  <c r="T544"/>
  <c r="T545"/>
  <c r="T546"/>
  <c r="T547"/>
  <c r="T548"/>
  <c r="T549"/>
  <c r="T550"/>
  <c r="T551"/>
  <c r="T552"/>
  <c r="T553"/>
  <c r="T554"/>
  <c r="T555"/>
  <c r="T556"/>
  <c r="T557"/>
  <c r="T558"/>
  <c r="T559"/>
  <c r="T560"/>
  <c r="T561"/>
  <c r="T562"/>
  <c r="T563"/>
  <c r="T564"/>
  <c r="T565"/>
  <c r="T566"/>
  <c r="T567"/>
  <c r="T568"/>
  <c r="T569"/>
  <c r="T570"/>
  <c r="T571"/>
  <c r="T572"/>
  <c r="T573"/>
  <c r="T574"/>
  <c r="T575"/>
  <c r="T576"/>
  <c r="T577"/>
  <c r="T578"/>
  <c r="T579"/>
  <c r="T580"/>
  <c r="T581"/>
  <c r="T582"/>
  <c r="T583"/>
  <c r="T584"/>
  <c r="T585"/>
  <c r="T586"/>
  <c r="T587"/>
  <c r="T588"/>
  <c r="T589"/>
  <c r="T590"/>
  <c r="T591"/>
  <c r="T592"/>
  <c r="T593"/>
  <c r="T594"/>
  <c r="T595"/>
  <c r="T596"/>
  <c r="T597"/>
  <c r="T598"/>
  <c r="T599"/>
  <c r="T600"/>
  <c r="T601"/>
  <c r="T602"/>
  <c r="T603"/>
  <c r="T604"/>
  <c r="T605"/>
  <c r="T606"/>
  <c r="T607"/>
  <c r="T608"/>
  <c r="T609"/>
  <c r="T610"/>
  <c r="T611"/>
  <c r="T612"/>
  <c r="T613"/>
  <c r="T614"/>
  <c r="T615"/>
  <c r="T616"/>
  <c r="T617"/>
  <c r="T618"/>
  <c r="T619"/>
  <c r="T620"/>
  <c r="T621"/>
  <c r="T622"/>
  <c r="T623"/>
  <c r="T624"/>
  <c r="T625"/>
  <c r="T626"/>
  <c r="T627"/>
  <c r="T628"/>
  <c r="T629"/>
  <c r="T630"/>
  <c r="T631"/>
  <c r="T632"/>
  <c r="T633"/>
  <c r="T634"/>
  <c r="T635"/>
  <c r="T636"/>
  <c r="T637"/>
  <c r="T638"/>
  <c r="T639"/>
  <c r="T640"/>
  <c r="T641"/>
  <c r="T642"/>
  <c r="T643"/>
  <c r="T644"/>
  <c r="T645"/>
  <c r="T646"/>
  <c r="T647"/>
  <c r="T648"/>
  <c r="T649"/>
  <c r="T650"/>
  <c r="T651"/>
  <c r="T652"/>
  <c r="T653"/>
  <c r="T654"/>
  <c r="T655"/>
  <c r="T656"/>
  <c r="T657"/>
  <c r="T658"/>
  <c r="T659"/>
  <c r="T660"/>
  <c r="T661"/>
  <c r="T662"/>
  <c r="T663"/>
  <c r="T664"/>
  <c r="T665"/>
  <c r="T666"/>
  <c r="T667"/>
  <c r="T668"/>
  <c r="T669"/>
  <c r="T670"/>
  <c r="T671"/>
  <c r="T672"/>
  <c r="T673"/>
  <c r="T674"/>
  <c r="T675"/>
  <c r="T676"/>
  <c r="T677"/>
  <c r="T678"/>
  <c r="T679"/>
  <c r="T680"/>
  <c r="T681"/>
  <c r="T682"/>
  <c r="T683"/>
  <c r="T684"/>
  <c r="T685"/>
  <c r="T686"/>
  <c r="T687"/>
  <c r="T688"/>
  <c r="T689"/>
  <c r="T690"/>
  <c r="T691"/>
  <c r="T692"/>
  <c r="T693"/>
  <c r="T694"/>
  <c r="T695"/>
  <c r="T696"/>
  <c r="T697"/>
  <c r="T698"/>
  <c r="T699"/>
  <c r="T700"/>
  <c r="T701"/>
  <c r="T702"/>
  <c r="T703"/>
  <c r="T704"/>
  <c r="T705"/>
  <c r="T706"/>
  <c r="T707"/>
  <c r="T708"/>
  <c r="T709"/>
  <c r="T710"/>
  <c r="T711"/>
  <c r="T712"/>
  <c r="T713"/>
  <c r="T714"/>
  <c r="T715"/>
  <c r="T716"/>
  <c r="T717"/>
  <c r="T718"/>
  <c r="T719"/>
  <c r="T720"/>
  <c r="T721"/>
  <c r="T722"/>
  <c r="T723"/>
  <c r="T724"/>
  <c r="T725"/>
  <c r="T726"/>
  <c r="T727"/>
  <c r="T728"/>
  <c r="T729"/>
  <c r="T730"/>
  <c r="T731"/>
  <c r="T732"/>
  <c r="T733"/>
  <c r="T734"/>
  <c r="T735"/>
  <c r="T736"/>
  <c r="T737"/>
  <c r="T738"/>
  <c r="T739"/>
  <c r="T740"/>
  <c r="T741"/>
  <c r="T742"/>
  <c r="T743"/>
  <c r="T744"/>
  <c r="T745"/>
  <c r="T746"/>
  <c r="T747"/>
  <c r="T748"/>
  <c r="T749"/>
  <c r="T750"/>
  <c r="T751"/>
  <c r="T752"/>
  <c r="T753"/>
  <c r="T754"/>
  <c r="T755"/>
  <c r="T756"/>
  <c r="T757"/>
  <c r="T758"/>
  <c r="T759"/>
  <c r="T760"/>
  <c r="T761"/>
  <c r="T762"/>
  <c r="T763"/>
  <c r="T764"/>
  <c r="T765"/>
  <c r="T766"/>
  <c r="T767"/>
  <c r="T768"/>
  <c r="T769"/>
  <c r="T770"/>
  <c r="T771"/>
  <c r="T772"/>
  <c r="T773"/>
  <c r="T774"/>
  <c r="T775"/>
  <c r="T776"/>
  <c r="T777"/>
  <c r="T778"/>
  <c r="T779"/>
  <c r="T780"/>
  <c r="T781"/>
  <c r="T782"/>
  <c r="T783"/>
  <c r="T784"/>
  <c r="T785"/>
  <c r="T786"/>
  <c r="T787"/>
  <c r="T788"/>
  <c r="T789"/>
  <c r="T790"/>
  <c r="T791"/>
  <c r="T792"/>
  <c r="T793"/>
  <c r="T794"/>
  <c r="T795"/>
  <c r="T796"/>
  <c r="T797"/>
  <c r="T798"/>
  <c r="T799"/>
  <c r="T800"/>
  <c r="T801"/>
  <c r="T802"/>
  <c r="T803"/>
  <c r="T804"/>
  <c r="T805"/>
  <c r="T806"/>
  <c r="T807"/>
  <c r="T808"/>
  <c r="T809"/>
  <c r="T810"/>
  <c r="T811"/>
  <c r="T812"/>
  <c r="T813"/>
  <c r="T814"/>
  <c r="T815"/>
  <c r="T816"/>
  <c r="T817"/>
  <c r="T818"/>
  <c r="T819"/>
  <c r="T820"/>
  <c r="T821"/>
  <c r="T822"/>
  <c r="T823"/>
  <c r="T824"/>
  <c r="T825"/>
  <c r="T826"/>
  <c r="T827"/>
  <c r="T828"/>
  <c r="T829"/>
  <c r="T830"/>
  <c r="T831"/>
  <c r="T832"/>
  <c r="T833"/>
  <c r="T834"/>
  <c r="T835"/>
  <c r="T836"/>
  <c r="T837"/>
  <c r="T838"/>
  <c r="T839"/>
  <c r="T840"/>
  <c r="T841"/>
  <c r="T842"/>
  <c r="T843"/>
  <c r="T844"/>
  <c r="T845"/>
  <c r="T846"/>
  <c r="T847"/>
  <c r="T848"/>
  <c r="T849"/>
  <c r="T850"/>
  <c r="T851"/>
  <c r="T852"/>
  <c r="T853"/>
  <c r="T854"/>
  <c r="T855"/>
  <c r="T856"/>
  <c r="T857"/>
  <c r="T858"/>
  <c r="T859"/>
  <c r="T860"/>
  <c r="T861"/>
  <c r="T862"/>
  <c r="T863"/>
  <c r="T864"/>
  <c r="T865"/>
  <c r="T866"/>
  <c r="T867"/>
  <c r="T868"/>
  <c r="T869"/>
  <c r="T870"/>
  <c r="T871"/>
  <c r="T872"/>
  <c r="T873"/>
  <c r="T874"/>
  <c r="T875"/>
  <c r="T876"/>
  <c r="T877"/>
  <c r="T878"/>
  <c r="T879"/>
  <c r="T880"/>
  <c r="T881"/>
  <c r="T882"/>
  <c r="T883"/>
  <c r="T884"/>
  <c r="T885"/>
  <c r="T886"/>
  <c r="T887"/>
  <c r="T888"/>
  <c r="T889"/>
  <c r="T890"/>
  <c r="T891"/>
  <c r="T892"/>
  <c r="T893"/>
  <c r="T894"/>
  <c r="T895"/>
  <c r="T896"/>
  <c r="T897"/>
  <c r="T898"/>
  <c r="T899"/>
  <c r="T900"/>
  <c r="T901"/>
  <c r="T902"/>
  <c r="T903"/>
  <c r="T904"/>
  <c r="T905"/>
  <c r="T906"/>
  <c r="T907"/>
  <c r="T908"/>
  <c r="T909"/>
  <c r="T910"/>
  <c r="T911"/>
  <c r="T912"/>
  <c r="T913"/>
  <c r="T914"/>
  <c r="T915"/>
  <c r="T916"/>
  <c r="T917"/>
  <c r="T918"/>
  <c r="T919"/>
  <c r="T920"/>
  <c r="T921"/>
  <c r="T922"/>
  <c r="T923"/>
  <c r="T924"/>
  <c r="T925"/>
  <c r="T926"/>
  <c r="T927"/>
  <c r="T928"/>
  <c r="T929"/>
  <c r="T930"/>
  <c r="T931"/>
  <c r="T932"/>
  <c r="T933"/>
  <c r="T934"/>
  <c r="T935"/>
  <c r="T936"/>
  <c r="T937"/>
  <c r="T938"/>
  <c r="T939"/>
  <c r="T940"/>
  <c r="T941"/>
  <c r="T942"/>
  <c r="T943"/>
  <c r="T944"/>
  <c r="T945"/>
  <c r="T946"/>
  <c r="T947"/>
  <c r="T948"/>
  <c r="T949"/>
  <c r="T950"/>
  <c r="T951"/>
  <c r="T952"/>
  <c r="T953"/>
  <c r="T954"/>
  <c r="T955"/>
  <c r="T956"/>
  <c r="T957"/>
  <c r="T958"/>
  <c r="T959"/>
  <c r="T960"/>
  <c r="T961"/>
  <c r="T962"/>
  <c r="T963"/>
  <c r="T964"/>
  <c r="T965"/>
  <c r="T966"/>
  <c r="T967"/>
  <c r="T968"/>
  <c r="T969"/>
  <c r="T970"/>
  <c r="T971"/>
  <c r="T972"/>
  <c r="T973"/>
  <c r="T974"/>
  <c r="T975"/>
  <c r="T976"/>
  <c r="T977"/>
  <c r="T978"/>
  <c r="T979"/>
  <c r="T980"/>
  <c r="T981"/>
  <c r="T982"/>
  <c r="T983"/>
  <c r="T984"/>
  <c r="T985"/>
  <c r="T986"/>
  <c r="T987"/>
  <c r="T988"/>
  <c r="T989"/>
  <c r="T990"/>
  <c r="T991"/>
  <c r="T992"/>
  <c r="T993"/>
  <c r="T994"/>
  <c r="T995"/>
  <c r="T996"/>
  <c r="T997"/>
  <c r="T998"/>
  <c r="T999"/>
  <c r="T1000"/>
  <c r="T1001"/>
  <c r="T1002"/>
  <c r="T3"/>
  <c r="S21"/>
  <c r="S12"/>
  <c r="S4"/>
  <c r="S5"/>
  <c r="S6"/>
  <c r="S7"/>
  <c r="S8"/>
  <c r="S9"/>
  <c r="S10"/>
  <c r="S11"/>
  <c r="S13"/>
  <c r="S14"/>
  <c r="S15"/>
  <c r="S16"/>
  <c r="S17"/>
  <c r="S18"/>
  <c r="S19"/>
  <c r="S20"/>
  <c r="S22"/>
  <c r="S23"/>
  <c r="S24"/>
  <c r="S25"/>
  <c r="S26"/>
  <c r="S27"/>
  <c r="S28"/>
  <c r="S29"/>
  <c r="S30"/>
  <c r="S31"/>
  <c r="S32"/>
  <c r="S33"/>
  <c r="S34"/>
  <c r="S35"/>
  <c r="S36"/>
  <c r="S37"/>
  <c r="S38"/>
  <c r="S39"/>
  <c r="S40"/>
  <c r="S41"/>
  <c r="S42"/>
  <c r="S43"/>
  <c r="S44"/>
  <c r="S45"/>
  <c r="S46"/>
  <c r="S47"/>
  <c r="S48"/>
  <c r="S49"/>
  <c r="S50"/>
  <c r="S51"/>
  <c r="S52"/>
  <c r="S53"/>
  <c r="S54"/>
  <c r="S55"/>
  <c r="S56"/>
  <c r="S57"/>
  <c r="S58"/>
  <c r="S59"/>
  <c r="S60"/>
  <c r="S61"/>
  <c r="S62"/>
  <c r="S63"/>
  <c r="S64"/>
  <c r="S65"/>
  <c r="S66"/>
  <c r="S67"/>
  <c r="S68"/>
  <c r="S69"/>
  <c r="S70"/>
  <c r="S71"/>
  <c r="S72"/>
  <c r="S73"/>
  <c r="S74"/>
  <c r="S75"/>
  <c r="S76"/>
  <c r="S77"/>
  <c r="S78"/>
  <c r="S79"/>
  <c r="S80"/>
  <c r="S81"/>
  <c r="S82"/>
  <c r="S83"/>
  <c r="S84"/>
  <c r="S85"/>
  <c r="S86"/>
  <c r="S87"/>
  <c r="S88"/>
  <c r="S89"/>
  <c r="S90"/>
  <c r="S91"/>
  <c r="S92"/>
  <c r="S93"/>
  <c r="S94"/>
  <c r="S95"/>
  <c r="S96"/>
  <c r="S97"/>
  <c r="S98"/>
  <c r="S99"/>
  <c r="S100"/>
  <c r="S101"/>
  <c r="S102"/>
  <c r="S103"/>
  <c r="S104"/>
  <c r="S105"/>
  <c r="S106"/>
  <c r="S107"/>
  <c r="S108"/>
  <c r="S109"/>
  <c r="S110"/>
  <c r="S111"/>
  <c r="S112"/>
  <c r="S113"/>
  <c r="S114"/>
  <c r="S115"/>
  <c r="S116"/>
  <c r="S117"/>
  <c r="S118"/>
  <c r="S119"/>
  <c r="S120"/>
  <c r="S121"/>
  <c r="S122"/>
  <c r="S123"/>
  <c r="S124"/>
  <c r="S125"/>
  <c r="S126"/>
  <c r="S127"/>
  <c r="S128"/>
  <c r="S129"/>
  <c r="S130"/>
  <c r="S131"/>
  <c r="S132"/>
  <c r="S133"/>
  <c r="S134"/>
  <c r="S135"/>
  <c r="S136"/>
  <c r="S137"/>
  <c r="S138"/>
  <c r="S139"/>
  <c r="S140"/>
  <c r="S141"/>
  <c r="S142"/>
  <c r="S143"/>
  <c r="S144"/>
  <c r="S145"/>
  <c r="S146"/>
  <c r="S147"/>
  <c r="S148"/>
  <c r="S149"/>
  <c r="S150"/>
  <c r="S151"/>
  <c r="S152"/>
  <c r="S153"/>
  <c r="S154"/>
  <c r="S155"/>
  <c r="S156"/>
  <c r="S157"/>
  <c r="S158"/>
  <c r="S159"/>
  <c r="S160"/>
  <c r="S161"/>
  <c r="S162"/>
  <c r="S163"/>
  <c r="S164"/>
  <c r="S165"/>
  <c r="S166"/>
  <c r="S167"/>
  <c r="S168"/>
  <c r="S169"/>
  <c r="S170"/>
  <c r="S171"/>
  <c r="S172"/>
  <c r="S173"/>
  <c r="S174"/>
  <c r="S175"/>
  <c r="S176"/>
  <c r="S177"/>
  <c r="S178"/>
  <c r="S179"/>
  <c r="S180"/>
  <c r="S181"/>
  <c r="S182"/>
  <c r="S183"/>
  <c r="S184"/>
  <c r="S185"/>
  <c r="S186"/>
  <c r="S187"/>
  <c r="S188"/>
  <c r="S189"/>
  <c r="S190"/>
  <c r="S191"/>
  <c r="S192"/>
  <c r="S193"/>
  <c r="S194"/>
  <c r="S195"/>
  <c r="S196"/>
  <c r="S197"/>
  <c r="S198"/>
  <c r="S199"/>
  <c r="S200"/>
  <c r="S201"/>
  <c r="S202"/>
  <c r="S203"/>
  <c r="S204"/>
  <c r="S205"/>
  <c r="S206"/>
  <c r="S207"/>
  <c r="S208"/>
  <c r="S209"/>
  <c r="S210"/>
  <c r="S211"/>
  <c r="S212"/>
  <c r="S213"/>
  <c r="S214"/>
  <c r="S215"/>
  <c r="S216"/>
  <c r="S217"/>
  <c r="S218"/>
  <c r="S219"/>
  <c r="S220"/>
  <c r="S221"/>
  <c r="S222"/>
  <c r="S223"/>
  <c r="S224"/>
  <c r="S225"/>
  <c r="S226"/>
  <c r="S227"/>
  <c r="S228"/>
  <c r="S229"/>
  <c r="S230"/>
  <c r="S231"/>
  <c r="S232"/>
  <c r="S233"/>
  <c r="S234"/>
  <c r="S235"/>
  <c r="S236"/>
  <c r="S237"/>
  <c r="S238"/>
  <c r="S239"/>
  <c r="S240"/>
  <c r="S241"/>
  <c r="S242"/>
  <c r="S243"/>
  <c r="S244"/>
  <c r="S245"/>
  <c r="S246"/>
  <c r="S247"/>
  <c r="S248"/>
  <c r="S249"/>
  <c r="S250"/>
  <c r="S251"/>
  <c r="S252"/>
  <c r="S253"/>
  <c r="S254"/>
  <c r="S255"/>
  <c r="S256"/>
  <c r="S257"/>
  <c r="S258"/>
  <c r="S259"/>
  <c r="S260"/>
  <c r="S261"/>
  <c r="S262"/>
  <c r="S263"/>
  <c r="S264"/>
  <c r="S265"/>
  <c r="S266"/>
  <c r="S267"/>
  <c r="S268"/>
  <c r="S269"/>
  <c r="S270"/>
  <c r="S271"/>
  <c r="S272"/>
  <c r="S273"/>
  <c r="S274"/>
  <c r="S275"/>
  <c r="S276"/>
  <c r="S277"/>
  <c r="S278"/>
  <c r="S279"/>
  <c r="S280"/>
  <c r="S281"/>
  <c r="S282"/>
  <c r="S283"/>
  <c r="S284"/>
  <c r="S285"/>
  <c r="S286"/>
  <c r="S287"/>
  <c r="S288"/>
  <c r="S289"/>
  <c r="S290"/>
  <c r="S291"/>
  <c r="S292"/>
  <c r="S293"/>
  <c r="S294"/>
  <c r="S295"/>
  <c r="S296"/>
  <c r="S297"/>
  <c r="S298"/>
  <c r="S299"/>
  <c r="S300"/>
  <c r="S301"/>
  <c r="S302"/>
  <c r="S303"/>
  <c r="S304"/>
  <c r="S305"/>
  <c r="S306"/>
  <c r="S307"/>
  <c r="S308"/>
  <c r="S309"/>
  <c r="S310"/>
  <c r="S311"/>
  <c r="S312"/>
  <c r="S313"/>
  <c r="S314"/>
  <c r="S315"/>
  <c r="S316"/>
  <c r="S317"/>
  <c r="S318"/>
  <c r="S319"/>
  <c r="S320"/>
  <c r="S321"/>
  <c r="S322"/>
  <c r="S323"/>
  <c r="S324"/>
  <c r="S325"/>
  <c r="S326"/>
  <c r="S327"/>
  <c r="S328"/>
  <c r="S329"/>
  <c r="S330"/>
  <c r="S331"/>
  <c r="S332"/>
  <c r="S333"/>
  <c r="S334"/>
  <c r="S335"/>
  <c r="S336"/>
  <c r="S337"/>
  <c r="S338"/>
  <c r="S339"/>
  <c r="S340"/>
  <c r="S341"/>
  <c r="S342"/>
  <c r="S343"/>
  <c r="S344"/>
  <c r="S345"/>
  <c r="S346"/>
  <c r="S347"/>
  <c r="S348"/>
  <c r="S349"/>
  <c r="S350"/>
  <c r="S351"/>
  <c r="S352"/>
  <c r="S353"/>
  <c r="S354"/>
  <c r="S355"/>
  <c r="S356"/>
  <c r="S357"/>
  <c r="S358"/>
  <c r="S359"/>
  <c r="S360"/>
  <c r="S361"/>
  <c r="S362"/>
  <c r="S363"/>
  <c r="S364"/>
  <c r="S365"/>
  <c r="S366"/>
  <c r="S367"/>
  <c r="S368"/>
  <c r="S369"/>
  <c r="S370"/>
  <c r="S371"/>
  <c r="S372"/>
  <c r="S373"/>
  <c r="S374"/>
  <c r="S375"/>
  <c r="S376"/>
  <c r="S377"/>
  <c r="S378"/>
  <c r="S379"/>
  <c r="S380"/>
  <c r="S381"/>
  <c r="S382"/>
  <c r="S383"/>
  <c r="S384"/>
  <c r="S385"/>
  <c r="S386"/>
  <c r="S387"/>
  <c r="S388"/>
  <c r="S389"/>
  <c r="S390"/>
  <c r="S391"/>
  <c r="S392"/>
  <c r="S393"/>
  <c r="S394"/>
  <c r="S395"/>
  <c r="S396"/>
  <c r="S397"/>
  <c r="S398"/>
  <c r="S399"/>
  <c r="S400"/>
  <c r="S401"/>
  <c r="S402"/>
  <c r="S403"/>
  <c r="S404"/>
  <c r="S405"/>
  <c r="S406"/>
  <c r="S407"/>
  <c r="S408"/>
  <c r="S409"/>
  <c r="S410"/>
  <c r="S411"/>
  <c r="S412"/>
  <c r="S413"/>
  <c r="S414"/>
  <c r="S415"/>
  <c r="S416"/>
  <c r="S417"/>
  <c r="S418"/>
  <c r="S419"/>
  <c r="S420"/>
  <c r="S421"/>
  <c r="S422"/>
  <c r="S423"/>
  <c r="S424"/>
  <c r="S425"/>
  <c r="S426"/>
  <c r="S427"/>
  <c r="S428"/>
  <c r="S429"/>
  <c r="S430"/>
  <c r="S431"/>
  <c r="S432"/>
  <c r="S433"/>
  <c r="S434"/>
  <c r="S435"/>
  <c r="S436"/>
  <c r="S437"/>
  <c r="S438"/>
  <c r="S439"/>
  <c r="S440"/>
  <c r="S441"/>
  <c r="S442"/>
  <c r="S443"/>
  <c r="S444"/>
  <c r="S445"/>
  <c r="S446"/>
  <c r="S447"/>
  <c r="S448"/>
  <c r="S449"/>
  <c r="S450"/>
  <c r="S451"/>
  <c r="S452"/>
  <c r="S453"/>
  <c r="S454"/>
  <c r="S455"/>
  <c r="S456"/>
  <c r="S457"/>
  <c r="S458"/>
  <c r="S459"/>
  <c r="S460"/>
  <c r="S461"/>
  <c r="S462"/>
  <c r="S463"/>
  <c r="S464"/>
  <c r="S465"/>
  <c r="S466"/>
  <c r="S467"/>
  <c r="S468"/>
  <c r="S469"/>
  <c r="S470"/>
  <c r="S471"/>
  <c r="S472"/>
  <c r="S473"/>
  <c r="S474"/>
  <c r="S475"/>
  <c r="S476"/>
  <c r="S477"/>
  <c r="S478"/>
  <c r="S479"/>
  <c r="S480"/>
  <c r="S481"/>
  <c r="S482"/>
  <c r="S483"/>
  <c r="S484"/>
  <c r="S485"/>
  <c r="S486"/>
  <c r="S487"/>
  <c r="S488"/>
  <c r="S489"/>
  <c r="S490"/>
  <c r="S491"/>
  <c r="S492"/>
  <c r="S493"/>
  <c r="S494"/>
  <c r="S495"/>
  <c r="S496"/>
  <c r="S497"/>
  <c r="S498"/>
  <c r="S499"/>
  <c r="S500"/>
  <c r="S501"/>
  <c r="S502"/>
  <c r="S503"/>
  <c r="S504"/>
  <c r="S505"/>
  <c r="S506"/>
  <c r="S507"/>
  <c r="S508"/>
  <c r="S509"/>
  <c r="S510"/>
  <c r="S511"/>
  <c r="S512"/>
  <c r="S513"/>
  <c r="S514"/>
  <c r="S515"/>
  <c r="S516"/>
  <c r="S517"/>
  <c r="S518"/>
  <c r="S519"/>
  <c r="S520"/>
  <c r="S521"/>
  <c r="S522"/>
  <c r="S523"/>
  <c r="S524"/>
  <c r="S525"/>
  <c r="S526"/>
  <c r="S527"/>
  <c r="S528"/>
  <c r="S529"/>
  <c r="S530"/>
  <c r="S531"/>
  <c r="S532"/>
  <c r="S533"/>
  <c r="S534"/>
  <c r="S535"/>
  <c r="S536"/>
  <c r="S537"/>
  <c r="S538"/>
  <c r="S539"/>
  <c r="S540"/>
  <c r="S541"/>
  <c r="S542"/>
  <c r="S543"/>
  <c r="S544"/>
  <c r="S545"/>
  <c r="S546"/>
  <c r="S547"/>
  <c r="S548"/>
  <c r="S549"/>
  <c r="S550"/>
  <c r="S551"/>
  <c r="S552"/>
  <c r="S553"/>
  <c r="S554"/>
  <c r="S555"/>
  <c r="S556"/>
  <c r="S557"/>
  <c r="S558"/>
  <c r="S559"/>
  <c r="S560"/>
  <c r="S561"/>
  <c r="S562"/>
  <c r="S563"/>
  <c r="S564"/>
  <c r="S565"/>
  <c r="S566"/>
  <c r="S567"/>
  <c r="S568"/>
  <c r="S569"/>
  <c r="S570"/>
  <c r="S571"/>
  <c r="S572"/>
  <c r="S573"/>
  <c r="S574"/>
  <c r="S575"/>
  <c r="S576"/>
  <c r="S577"/>
  <c r="S578"/>
  <c r="S579"/>
  <c r="S580"/>
  <c r="S581"/>
  <c r="S582"/>
  <c r="S583"/>
  <c r="S584"/>
  <c r="S585"/>
  <c r="S586"/>
  <c r="S587"/>
  <c r="S588"/>
  <c r="S589"/>
  <c r="S590"/>
  <c r="S591"/>
  <c r="S592"/>
  <c r="S593"/>
  <c r="S594"/>
  <c r="S595"/>
  <c r="S596"/>
  <c r="S597"/>
  <c r="S598"/>
  <c r="S599"/>
  <c r="S600"/>
  <c r="S601"/>
  <c r="S602"/>
  <c r="S603"/>
  <c r="S604"/>
  <c r="S605"/>
  <c r="S606"/>
  <c r="S607"/>
  <c r="S608"/>
  <c r="S609"/>
  <c r="S610"/>
  <c r="S611"/>
  <c r="S612"/>
  <c r="S613"/>
  <c r="S614"/>
  <c r="S615"/>
  <c r="S616"/>
  <c r="S617"/>
  <c r="S618"/>
  <c r="S619"/>
  <c r="S620"/>
  <c r="S621"/>
  <c r="S622"/>
  <c r="S623"/>
  <c r="S624"/>
  <c r="S625"/>
  <c r="S626"/>
  <c r="S627"/>
  <c r="S628"/>
  <c r="S629"/>
  <c r="S630"/>
  <c r="S631"/>
  <c r="S632"/>
  <c r="S633"/>
  <c r="S634"/>
  <c r="S635"/>
  <c r="S636"/>
  <c r="S637"/>
  <c r="S638"/>
  <c r="S639"/>
  <c r="S640"/>
  <c r="S641"/>
  <c r="S642"/>
  <c r="S643"/>
  <c r="S644"/>
  <c r="S645"/>
  <c r="S646"/>
  <c r="S647"/>
  <c r="S648"/>
  <c r="S649"/>
  <c r="S650"/>
  <c r="S651"/>
  <c r="S652"/>
  <c r="S653"/>
  <c r="S654"/>
  <c r="S655"/>
  <c r="S656"/>
  <c r="S657"/>
  <c r="S658"/>
  <c r="S659"/>
  <c r="S660"/>
  <c r="S661"/>
  <c r="S662"/>
  <c r="S663"/>
  <c r="S664"/>
  <c r="S665"/>
  <c r="S666"/>
  <c r="S667"/>
  <c r="S668"/>
  <c r="S669"/>
  <c r="S670"/>
  <c r="S671"/>
  <c r="S672"/>
  <c r="S673"/>
  <c r="S674"/>
  <c r="S675"/>
  <c r="S676"/>
  <c r="S677"/>
  <c r="S678"/>
  <c r="S679"/>
  <c r="S680"/>
  <c r="S681"/>
  <c r="S682"/>
  <c r="S683"/>
  <c r="S684"/>
  <c r="S685"/>
  <c r="S686"/>
  <c r="S687"/>
  <c r="S688"/>
  <c r="S689"/>
  <c r="S690"/>
  <c r="S691"/>
  <c r="S692"/>
  <c r="S693"/>
  <c r="S694"/>
  <c r="S695"/>
  <c r="S696"/>
  <c r="S697"/>
  <c r="S698"/>
  <c r="S699"/>
  <c r="S700"/>
  <c r="S701"/>
  <c r="S702"/>
  <c r="S703"/>
  <c r="S704"/>
  <c r="S705"/>
  <c r="S706"/>
  <c r="S707"/>
  <c r="S708"/>
  <c r="S709"/>
  <c r="S710"/>
  <c r="S711"/>
  <c r="S712"/>
  <c r="S713"/>
  <c r="S714"/>
  <c r="S715"/>
  <c r="S716"/>
  <c r="S717"/>
  <c r="S718"/>
  <c r="S719"/>
  <c r="S720"/>
  <c r="S721"/>
  <c r="S722"/>
  <c r="S723"/>
  <c r="S724"/>
  <c r="S725"/>
  <c r="S726"/>
  <c r="S727"/>
  <c r="S728"/>
  <c r="S729"/>
  <c r="S730"/>
  <c r="S731"/>
  <c r="S732"/>
  <c r="S733"/>
  <c r="S734"/>
  <c r="S735"/>
  <c r="S736"/>
  <c r="S737"/>
  <c r="S738"/>
  <c r="S739"/>
  <c r="S740"/>
  <c r="S741"/>
  <c r="S742"/>
  <c r="S743"/>
  <c r="S744"/>
  <c r="S745"/>
  <c r="S746"/>
  <c r="S747"/>
  <c r="S748"/>
  <c r="S749"/>
  <c r="S750"/>
  <c r="S751"/>
  <c r="S752"/>
  <c r="S753"/>
  <c r="S754"/>
  <c r="S755"/>
  <c r="S756"/>
  <c r="S757"/>
  <c r="S758"/>
  <c r="S759"/>
  <c r="S760"/>
  <c r="S761"/>
  <c r="S762"/>
  <c r="S763"/>
  <c r="S764"/>
  <c r="S765"/>
  <c r="S766"/>
  <c r="S767"/>
  <c r="S768"/>
  <c r="S769"/>
  <c r="S770"/>
  <c r="S771"/>
  <c r="S772"/>
  <c r="S773"/>
  <c r="S774"/>
  <c r="S775"/>
  <c r="S776"/>
  <c r="S777"/>
  <c r="S778"/>
  <c r="S779"/>
  <c r="S780"/>
  <c r="S781"/>
  <c r="S782"/>
  <c r="S783"/>
  <c r="S784"/>
  <c r="S785"/>
  <c r="S786"/>
  <c r="S787"/>
  <c r="S788"/>
  <c r="S789"/>
  <c r="S790"/>
  <c r="S791"/>
  <c r="S792"/>
  <c r="S793"/>
  <c r="S794"/>
  <c r="S795"/>
  <c r="S796"/>
  <c r="S797"/>
  <c r="S798"/>
  <c r="S799"/>
  <c r="S800"/>
  <c r="S801"/>
  <c r="S802"/>
  <c r="S803"/>
  <c r="S804"/>
  <c r="S805"/>
  <c r="S806"/>
  <c r="S807"/>
  <c r="S808"/>
  <c r="S809"/>
  <c r="S810"/>
  <c r="S811"/>
  <c r="S812"/>
  <c r="S813"/>
  <c r="S814"/>
  <c r="S815"/>
  <c r="S816"/>
  <c r="S817"/>
  <c r="S818"/>
  <c r="S819"/>
  <c r="S820"/>
  <c r="S821"/>
  <c r="S822"/>
  <c r="S823"/>
  <c r="S824"/>
  <c r="S825"/>
  <c r="S826"/>
  <c r="S827"/>
  <c r="S828"/>
  <c r="S829"/>
  <c r="S830"/>
  <c r="S831"/>
  <c r="S832"/>
  <c r="S833"/>
  <c r="S834"/>
  <c r="S835"/>
  <c r="S836"/>
  <c r="S837"/>
  <c r="S838"/>
  <c r="S839"/>
  <c r="S840"/>
  <c r="S841"/>
  <c r="S842"/>
  <c r="S843"/>
  <c r="S844"/>
  <c r="S845"/>
  <c r="S846"/>
  <c r="S847"/>
  <c r="S848"/>
  <c r="S849"/>
  <c r="S850"/>
  <c r="S851"/>
  <c r="S852"/>
  <c r="S853"/>
  <c r="S854"/>
  <c r="S855"/>
  <c r="S856"/>
  <c r="S857"/>
  <c r="S858"/>
  <c r="S859"/>
  <c r="S860"/>
  <c r="S861"/>
  <c r="S862"/>
  <c r="S863"/>
  <c r="S864"/>
  <c r="S865"/>
  <c r="S866"/>
  <c r="S867"/>
  <c r="S868"/>
  <c r="S869"/>
  <c r="S870"/>
  <c r="S871"/>
  <c r="S872"/>
  <c r="S873"/>
  <c r="S874"/>
  <c r="S875"/>
  <c r="S876"/>
  <c r="S877"/>
  <c r="S878"/>
  <c r="S879"/>
  <c r="S880"/>
  <c r="S881"/>
  <c r="S882"/>
  <c r="S883"/>
  <c r="S884"/>
  <c r="S885"/>
  <c r="S886"/>
  <c r="S887"/>
  <c r="S888"/>
  <c r="S889"/>
  <c r="S890"/>
  <c r="S891"/>
  <c r="S892"/>
  <c r="S893"/>
  <c r="S894"/>
  <c r="S895"/>
  <c r="S896"/>
  <c r="S897"/>
  <c r="S898"/>
  <c r="S899"/>
  <c r="S900"/>
  <c r="S901"/>
  <c r="S902"/>
  <c r="S903"/>
  <c r="S904"/>
  <c r="S905"/>
  <c r="S906"/>
  <c r="S907"/>
  <c r="S908"/>
  <c r="S909"/>
  <c r="S910"/>
  <c r="S911"/>
  <c r="S912"/>
  <c r="S913"/>
  <c r="S914"/>
  <c r="S915"/>
  <c r="S916"/>
  <c r="S917"/>
  <c r="S918"/>
  <c r="S919"/>
  <c r="S920"/>
  <c r="S921"/>
  <c r="S922"/>
  <c r="S923"/>
  <c r="S924"/>
  <c r="S925"/>
  <c r="S926"/>
  <c r="S927"/>
  <c r="S928"/>
  <c r="S929"/>
  <c r="S930"/>
  <c r="S931"/>
  <c r="S932"/>
  <c r="S933"/>
  <c r="S934"/>
  <c r="S935"/>
  <c r="S936"/>
  <c r="S937"/>
  <c r="S938"/>
  <c r="S939"/>
  <c r="S940"/>
  <c r="S941"/>
  <c r="S942"/>
  <c r="S943"/>
  <c r="S944"/>
  <c r="S945"/>
  <c r="S946"/>
  <c r="S947"/>
  <c r="S948"/>
  <c r="S949"/>
  <c r="S950"/>
  <c r="S951"/>
  <c r="S952"/>
  <c r="S953"/>
  <c r="S954"/>
  <c r="S955"/>
  <c r="S956"/>
  <c r="S957"/>
  <c r="S958"/>
  <c r="S959"/>
  <c r="S960"/>
  <c r="S961"/>
  <c r="S962"/>
  <c r="S963"/>
  <c r="S964"/>
  <c r="S965"/>
  <c r="S966"/>
  <c r="S967"/>
  <c r="S968"/>
  <c r="S969"/>
  <c r="S970"/>
  <c r="S971"/>
  <c r="S972"/>
  <c r="S973"/>
  <c r="S974"/>
  <c r="S975"/>
  <c r="S976"/>
  <c r="S977"/>
  <c r="S978"/>
  <c r="S979"/>
  <c r="S980"/>
  <c r="S981"/>
  <c r="S982"/>
  <c r="S983"/>
  <c r="S984"/>
  <c r="S985"/>
  <c r="S986"/>
  <c r="S987"/>
  <c r="S988"/>
  <c r="S989"/>
  <c r="S990"/>
  <c r="S991"/>
  <c r="S992"/>
  <c r="S993"/>
  <c r="S994"/>
  <c r="S995"/>
  <c r="S996"/>
  <c r="S997"/>
  <c r="S998"/>
  <c r="S999"/>
  <c r="S1000"/>
  <c r="S1001"/>
  <c r="S1002"/>
  <c r="S3"/>
  <c r="R5"/>
  <c r="R6"/>
  <c r="R7"/>
  <c r="R8"/>
  <c r="R9"/>
  <c r="R10"/>
  <c r="R11"/>
  <c r="R12"/>
  <c r="R13"/>
  <c r="R14"/>
  <c r="R15"/>
  <c r="R16"/>
  <c r="R17"/>
  <c r="R18"/>
  <c r="R19"/>
  <c r="R20"/>
  <c r="R21"/>
  <c r="R22"/>
  <c r="R23"/>
  <c r="R24"/>
  <c r="R25"/>
  <c r="R26"/>
  <c r="R27"/>
  <c r="R28"/>
  <c r="R29"/>
  <c r="R30"/>
  <c r="R31"/>
  <c r="R32"/>
  <c r="R33"/>
  <c r="R34"/>
  <c r="R35"/>
  <c r="R36"/>
  <c r="R37"/>
  <c r="R38"/>
  <c r="R39"/>
  <c r="R40"/>
  <c r="R41"/>
  <c r="R42"/>
  <c r="R43"/>
  <c r="R44"/>
  <c r="R45"/>
  <c r="R46"/>
  <c r="R47"/>
  <c r="R48"/>
  <c r="R49"/>
  <c r="R50"/>
  <c r="R51"/>
  <c r="R52"/>
  <c r="R53"/>
  <c r="R54"/>
  <c r="R55"/>
  <c r="R56"/>
  <c r="R57"/>
  <c r="R58"/>
  <c r="R59"/>
  <c r="R60"/>
  <c r="R61"/>
  <c r="R62"/>
  <c r="R63"/>
  <c r="R64"/>
  <c r="R65"/>
  <c r="R66"/>
  <c r="R67"/>
  <c r="R68"/>
  <c r="R69"/>
  <c r="R70"/>
  <c r="R71"/>
  <c r="R72"/>
  <c r="R73"/>
  <c r="R74"/>
  <c r="R75"/>
  <c r="R76"/>
  <c r="R77"/>
  <c r="R78"/>
  <c r="R79"/>
  <c r="R80"/>
  <c r="R81"/>
  <c r="R82"/>
  <c r="R83"/>
  <c r="R84"/>
  <c r="R85"/>
  <c r="R86"/>
  <c r="R87"/>
  <c r="R88"/>
  <c r="R89"/>
  <c r="R90"/>
  <c r="R91"/>
  <c r="R92"/>
  <c r="R93"/>
  <c r="R94"/>
  <c r="R95"/>
  <c r="R96"/>
  <c r="R97"/>
  <c r="R98"/>
  <c r="R99"/>
  <c r="R100"/>
  <c r="R101"/>
  <c r="R102"/>
  <c r="R103"/>
  <c r="R104"/>
  <c r="R105"/>
  <c r="R106"/>
  <c r="R107"/>
  <c r="R108"/>
  <c r="R109"/>
  <c r="R110"/>
  <c r="R111"/>
  <c r="R112"/>
  <c r="R113"/>
  <c r="R114"/>
  <c r="R115"/>
  <c r="R116"/>
  <c r="R117"/>
  <c r="R118"/>
  <c r="R119"/>
  <c r="R120"/>
  <c r="R121"/>
  <c r="R122"/>
  <c r="R123"/>
  <c r="R124"/>
  <c r="R125"/>
  <c r="R126"/>
  <c r="R127"/>
  <c r="R128"/>
  <c r="R129"/>
  <c r="R130"/>
  <c r="R131"/>
  <c r="R132"/>
  <c r="R133"/>
  <c r="R134"/>
  <c r="R135"/>
  <c r="R136"/>
  <c r="R137"/>
  <c r="R138"/>
  <c r="R139"/>
  <c r="R140"/>
  <c r="R141"/>
  <c r="R142"/>
  <c r="R143"/>
  <c r="R144"/>
  <c r="R145"/>
  <c r="R146"/>
  <c r="R147"/>
  <c r="R148"/>
  <c r="R149"/>
  <c r="R150"/>
  <c r="R151"/>
  <c r="R152"/>
  <c r="R153"/>
  <c r="R154"/>
  <c r="R155"/>
  <c r="R156"/>
  <c r="R157"/>
  <c r="R158"/>
  <c r="R159"/>
  <c r="R160"/>
  <c r="R161"/>
  <c r="R162"/>
  <c r="R163"/>
  <c r="R164"/>
  <c r="R165"/>
  <c r="R166"/>
  <c r="R167"/>
  <c r="R168"/>
  <c r="R169"/>
  <c r="R170"/>
  <c r="R171"/>
  <c r="R172"/>
  <c r="R173"/>
  <c r="R174"/>
  <c r="R175"/>
  <c r="R176"/>
  <c r="R177"/>
  <c r="R178"/>
  <c r="R179"/>
  <c r="R180"/>
  <c r="R181"/>
  <c r="R182"/>
  <c r="R183"/>
  <c r="R184"/>
  <c r="R185"/>
  <c r="R186"/>
  <c r="R187"/>
  <c r="R188"/>
  <c r="R189"/>
  <c r="R190"/>
  <c r="R191"/>
  <c r="R192"/>
  <c r="R193"/>
  <c r="R194"/>
  <c r="R195"/>
  <c r="R196"/>
  <c r="R197"/>
  <c r="R198"/>
  <c r="R199"/>
  <c r="R200"/>
  <c r="R201"/>
  <c r="R202"/>
  <c r="R203"/>
  <c r="R204"/>
  <c r="R205"/>
  <c r="R206"/>
  <c r="R207"/>
  <c r="R208"/>
  <c r="R209"/>
  <c r="R210"/>
  <c r="R211"/>
  <c r="R212"/>
  <c r="R213"/>
  <c r="R214"/>
  <c r="R215"/>
  <c r="R216"/>
  <c r="R217"/>
  <c r="R218"/>
  <c r="R219"/>
  <c r="R220"/>
  <c r="R221"/>
  <c r="R222"/>
  <c r="R223"/>
  <c r="R224"/>
  <c r="R225"/>
  <c r="R226"/>
  <c r="R227"/>
  <c r="R228"/>
  <c r="R229"/>
  <c r="R230"/>
  <c r="R231"/>
  <c r="R232"/>
  <c r="R233"/>
  <c r="R234"/>
  <c r="R235"/>
  <c r="R236"/>
  <c r="R237"/>
  <c r="R238"/>
  <c r="R239"/>
  <c r="R240"/>
  <c r="R241"/>
  <c r="R242"/>
  <c r="R243"/>
  <c r="R244"/>
  <c r="R245"/>
  <c r="R246"/>
  <c r="R247"/>
  <c r="R248"/>
  <c r="R249"/>
  <c r="R250"/>
  <c r="R251"/>
  <c r="R252"/>
  <c r="R253"/>
  <c r="R254"/>
  <c r="R255"/>
  <c r="R256"/>
  <c r="R257"/>
  <c r="R258"/>
  <c r="R259"/>
  <c r="R260"/>
  <c r="R261"/>
  <c r="R262"/>
  <c r="R263"/>
  <c r="R264"/>
  <c r="R265"/>
  <c r="R266"/>
  <c r="R267"/>
  <c r="R268"/>
  <c r="R269"/>
  <c r="R270"/>
  <c r="R271"/>
  <c r="R272"/>
  <c r="R273"/>
  <c r="R274"/>
  <c r="R275"/>
  <c r="R276"/>
  <c r="R277"/>
  <c r="R278"/>
  <c r="R279"/>
  <c r="R280"/>
  <c r="R281"/>
  <c r="R282"/>
  <c r="R283"/>
  <c r="R284"/>
  <c r="R285"/>
  <c r="R286"/>
  <c r="R287"/>
  <c r="R288"/>
  <c r="R289"/>
  <c r="R290"/>
  <c r="R291"/>
  <c r="R292"/>
  <c r="R293"/>
  <c r="R294"/>
  <c r="R295"/>
  <c r="R296"/>
  <c r="R297"/>
  <c r="R298"/>
  <c r="R299"/>
  <c r="R300"/>
  <c r="R301"/>
  <c r="R302"/>
  <c r="R303"/>
  <c r="R304"/>
  <c r="R305"/>
  <c r="R306"/>
  <c r="R307"/>
  <c r="R308"/>
  <c r="R309"/>
  <c r="R310"/>
  <c r="R311"/>
  <c r="R312"/>
  <c r="R313"/>
  <c r="R314"/>
  <c r="R315"/>
  <c r="R316"/>
  <c r="R317"/>
  <c r="R318"/>
  <c r="R319"/>
  <c r="R320"/>
  <c r="R321"/>
  <c r="R322"/>
  <c r="R323"/>
  <c r="R324"/>
  <c r="R325"/>
  <c r="R326"/>
  <c r="R327"/>
  <c r="R328"/>
  <c r="R329"/>
  <c r="R330"/>
  <c r="R331"/>
  <c r="R332"/>
  <c r="R333"/>
  <c r="R334"/>
  <c r="R335"/>
  <c r="R336"/>
  <c r="R337"/>
  <c r="R338"/>
  <c r="R339"/>
  <c r="R340"/>
  <c r="R341"/>
  <c r="R342"/>
  <c r="R343"/>
  <c r="R344"/>
  <c r="R345"/>
  <c r="R346"/>
  <c r="R347"/>
  <c r="R348"/>
  <c r="R349"/>
  <c r="R350"/>
  <c r="R351"/>
  <c r="R352"/>
  <c r="R353"/>
  <c r="R354"/>
  <c r="R355"/>
  <c r="R356"/>
  <c r="R357"/>
  <c r="R358"/>
  <c r="R359"/>
  <c r="R360"/>
  <c r="R361"/>
  <c r="R362"/>
  <c r="R363"/>
  <c r="R364"/>
  <c r="R365"/>
  <c r="R366"/>
  <c r="R367"/>
  <c r="R368"/>
  <c r="R369"/>
  <c r="R370"/>
  <c r="R371"/>
  <c r="R372"/>
  <c r="R373"/>
  <c r="R374"/>
  <c r="R375"/>
  <c r="R376"/>
  <c r="R377"/>
  <c r="R378"/>
  <c r="R379"/>
  <c r="R380"/>
  <c r="R381"/>
  <c r="R382"/>
  <c r="R383"/>
  <c r="R384"/>
  <c r="R385"/>
  <c r="R386"/>
  <c r="R387"/>
  <c r="R388"/>
  <c r="R389"/>
  <c r="R390"/>
  <c r="R391"/>
  <c r="R392"/>
  <c r="R393"/>
  <c r="R394"/>
  <c r="R395"/>
  <c r="R396"/>
  <c r="R397"/>
  <c r="R398"/>
  <c r="R399"/>
  <c r="R400"/>
  <c r="R401"/>
  <c r="R402"/>
  <c r="R403"/>
  <c r="R404"/>
  <c r="R405"/>
  <c r="R406"/>
  <c r="R407"/>
  <c r="R408"/>
  <c r="R409"/>
  <c r="R410"/>
  <c r="R411"/>
  <c r="R412"/>
  <c r="R413"/>
  <c r="R414"/>
  <c r="R415"/>
  <c r="R416"/>
  <c r="R417"/>
  <c r="R418"/>
  <c r="R419"/>
  <c r="R420"/>
  <c r="R421"/>
  <c r="R422"/>
  <c r="R423"/>
  <c r="R424"/>
  <c r="R425"/>
  <c r="R426"/>
  <c r="R427"/>
  <c r="R428"/>
  <c r="R429"/>
  <c r="R430"/>
  <c r="R431"/>
  <c r="R432"/>
  <c r="R433"/>
  <c r="R434"/>
  <c r="R435"/>
  <c r="R436"/>
  <c r="R437"/>
  <c r="R438"/>
  <c r="R439"/>
  <c r="R440"/>
  <c r="R441"/>
  <c r="R442"/>
  <c r="R443"/>
  <c r="R444"/>
  <c r="R445"/>
  <c r="R446"/>
  <c r="R447"/>
  <c r="R448"/>
  <c r="R449"/>
  <c r="R450"/>
  <c r="R451"/>
  <c r="R452"/>
  <c r="R453"/>
  <c r="R454"/>
  <c r="R455"/>
  <c r="R456"/>
  <c r="R457"/>
  <c r="R458"/>
  <c r="R459"/>
  <c r="R460"/>
  <c r="R461"/>
  <c r="R462"/>
  <c r="R463"/>
  <c r="R464"/>
  <c r="R465"/>
  <c r="R466"/>
  <c r="R467"/>
  <c r="R468"/>
  <c r="R469"/>
  <c r="R470"/>
  <c r="R471"/>
  <c r="R472"/>
  <c r="R473"/>
  <c r="R474"/>
  <c r="R475"/>
  <c r="R476"/>
  <c r="R477"/>
  <c r="R478"/>
  <c r="R479"/>
  <c r="R480"/>
  <c r="R481"/>
  <c r="R482"/>
  <c r="R483"/>
  <c r="R484"/>
  <c r="R485"/>
  <c r="R486"/>
  <c r="R487"/>
  <c r="R488"/>
  <c r="R489"/>
  <c r="R490"/>
  <c r="R491"/>
  <c r="R492"/>
  <c r="R493"/>
  <c r="R494"/>
  <c r="R495"/>
  <c r="R496"/>
  <c r="R497"/>
  <c r="R498"/>
  <c r="R499"/>
  <c r="R500"/>
  <c r="R501"/>
  <c r="R502"/>
  <c r="R503"/>
  <c r="R504"/>
  <c r="R505"/>
  <c r="R506"/>
  <c r="R507"/>
  <c r="R508"/>
  <c r="R509"/>
  <c r="R510"/>
  <c r="R511"/>
  <c r="R512"/>
  <c r="R513"/>
  <c r="R514"/>
  <c r="R515"/>
  <c r="R516"/>
  <c r="R517"/>
  <c r="R518"/>
  <c r="R519"/>
  <c r="R520"/>
  <c r="R521"/>
  <c r="R522"/>
  <c r="R523"/>
  <c r="R524"/>
  <c r="R525"/>
  <c r="R526"/>
  <c r="R527"/>
  <c r="R528"/>
  <c r="R529"/>
  <c r="R530"/>
  <c r="R531"/>
  <c r="R532"/>
  <c r="R533"/>
  <c r="R534"/>
  <c r="R535"/>
  <c r="R536"/>
  <c r="R537"/>
  <c r="R538"/>
  <c r="R539"/>
  <c r="R540"/>
  <c r="R541"/>
  <c r="R542"/>
  <c r="R543"/>
  <c r="R544"/>
  <c r="R545"/>
  <c r="R546"/>
  <c r="R547"/>
  <c r="R548"/>
  <c r="R549"/>
  <c r="R550"/>
  <c r="R551"/>
  <c r="R552"/>
  <c r="R553"/>
  <c r="R554"/>
  <c r="R555"/>
  <c r="R556"/>
  <c r="R557"/>
  <c r="R558"/>
  <c r="R559"/>
  <c r="R560"/>
  <c r="R561"/>
  <c r="R562"/>
  <c r="R563"/>
  <c r="R564"/>
  <c r="R565"/>
  <c r="R566"/>
  <c r="R567"/>
  <c r="R568"/>
  <c r="R569"/>
  <c r="R570"/>
  <c r="R571"/>
  <c r="R572"/>
  <c r="R573"/>
  <c r="R574"/>
  <c r="R575"/>
  <c r="R576"/>
  <c r="R577"/>
  <c r="R578"/>
  <c r="R579"/>
  <c r="R580"/>
  <c r="R581"/>
  <c r="R582"/>
  <c r="R583"/>
  <c r="R584"/>
  <c r="R585"/>
  <c r="R586"/>
  <c r="R587"/>
  <c r="R588"/>
  <c r="R589"/>
  <c r="R590"/>
  <c r="R591"/>
  <c r="R592"/>
  <c r="R593"/>
  <c r="R594"/>
  <c r="R595"/>
  <c r="R596"/>
  <c r="R597"/>
  <c r="R598"/>
  <c r="R599"/>
  <c r="R600"/>
  <c r="R601"/>
  <c r="R602"/>
  <c r="R603"/>
  <c r="R604"/>
  <c r="R605"/>
  <c r="R606"/>
  <c r="R607"/>
  <c r="R608"/>
  <c r="R609"/>
  <c r="R610"/>
  <c r="R611"/>
  <c r="R612"/>
  <c r="R613"/>
  <c r="R614"/>
  <c r="R615"/>
  <c r="R616"/>
  <c r="R617"/>
  <c r="R618"/>
  <c r="R619"/>
  <c r="R620"/>
  <c r="R621"/>
  <c r="R622"/>
  <c r="R623"/>
  <c r="R624"/>
  <c r="R625"/>
  <c r="R626"/>
  <c r="R627"/>
  <c r="R628"/>
  <c r="R629"/>
  <c r="R630"/>
  <c r="R631"/>
  <c r="R632"/>
  <c r="R633"/>
  <c r="R634"/>
  <c r="R635"/>
  <c r="R636"/>
  <c r="R637"/>
  <c r="R638"/>
  <c r="R639"/>
  <c r="R640"/>
  <c r="R641"/>
  <c r="R642"/>
  <c r="R643"/>
  <c r="R644"/>
  <c r="R645"/>
  <c r="R646"/>
  <c r="R647"/>
  <c r="R648"/>
  <c r="R649"/>
  <c r="R650"/>
  <c r="R651"/>
  <c r="R652"/>
  <c r="R653"/>
  <c r="R654"/>
  <c r="R655"/>
  <c r="R656"/>
  <c r="R657"/>
  <c r="R658"/>
  <c r="R659"/>
  <c r="R660"/>
  <c r="R661"/>
  <c r="R662"/>
  <c r="R663"/>
  <c r="R664"/>
  <c r="R665"/>
  <c r="R666"/>
  <c r="R667"/>
  <c r="R668"/>
  <c r="R669"/>
  <c r="R670"/>
  <c r="R671"/>
  <c r="R672"/>
  <c r="R673"/>
  <c r="R674"/>
  <c r="R675"/>
  <c r="R676"/>
  <c r="R677"/>
  <c r="R678"/>
  <c r="R679"/>
  <c r="R680"/>
  <c r="R681"/>
  <c r="R682"/>
  <c r="R683"/>
  <c r="R684"/>
  <c r="R685"/>
  <c r="R686"/>
  <c r="R687"/>
  <c r="R688"/>
  <c r="R689"/>
  <c r="R690"/>
  <c r="R691"/>
  <c r="R692"/>
  <c r="R693"/>
  <c r="R694"/>
  <c r="R695"/>
  <c r="R696"/>
  <c r="R697"/>
  <c r="R698"/>
  <c r="R699"/>
  <c r="R700"/>
  <c r="R701"/>
  <c r="R702"/>
  <c r="R703"/>
  <c r="R704"/>
  <c r="R705"/>
  <c r="R706"/>
  <c r="R707"/>
  <c r="R708"/>
  <c r="R709"/>
  <c r="R710"/>
  <c r="R711"/>
  <c r="R712"/>
  <c r="R713"/>
  <c r="R714"/>
  <c r="R715"/>
  <c r="R716"/>
  <c r="R717"/>
  <c r="R718"/>
  <c r="R719"/>
  <c r="R720"/>
  <c r="R721"/>
  <c r="R722"/>
  <c r="R723"/>
  <c r="R724"/>
  <c r="R725"/>
  <c r="R726"/>
  <c r="R727"/>
  <c r="R728"/>
  <c r="R729"/>
  <c r="R730"/>
  <c r="R731"/>
  <c r="R732"/>
  <c r="R733"/>
  <c r="R734"/>
  <c r="R735"/>
  <c r="R736"/>
  <c r="R737"/>
  <c r="R738"/>
  <c r="R739"/>
  <c r="R740"/>
  <c r="R741"/>
  <c r="R742"/>
  <c r="R743"/>
  <c r="R744"/>
  <c r="R745"/>
  <c r="R746"/>
  <c r="R747"/>
  <c r="R748"/>
  <c r="R749"/>
  <c r="R750"/>
  <c r="R751"/>
  <c r="R752"/>
  <c r="R753"/>
  <c r="R754"/>
  <c r="R755"/>
  <c r="R756"/>
  <c r="R757"/>
  <c r="R758"/>
  <c r="R759"/>
  <c r="R760"/>
  <c r="R761"/>
  <c r="R762"/>
  <c r="R763"/>
  <c r="R764"/>
  <c r="R765"/>
  <c r="R766"/>
  <c r="R767"/>
  <c r="R768"/>
  <c r="R769"/>
  <c r="R770"/>
  <c r="R771"/>
  <c r="R772"/>
  <c r="R773"/>
  <c r="R774"/>
  <c r="R775"/>
  <c r="R776"/>
  <c r="R777"/>
  <c r="R778"/>
  <c r="R779"/>
  <c r="R780"/>
  <c r="R781"/>
  <c r="R782"/>
  <c r="R783"/>
  <c r="R784"/>
  <c r="R785"/>
  <c r="R786"/>
  <c r="R787"/>
  <c r="R788"/>
  <c r="R789"/>
  <c r="R790"/>
  <c r="R791"/>
  <c r="R792"/>
  <c r="R793"/>
  <c r="R794"/>
  <c r="R795"/>
  <c r="R796"/>
  <c r="R797"/>
  <c r="R798"/>
  <c r="R799"/>
  <c r="R800"/>
  <c r="R801"/>
  <c r="R802"/>
  <c r="R803"/>
  <c r="R804"/>
  <c r="R805"/>
  <c r="R806"/>
  <c r="R807"/>
  <c r="R808"/>
  <c r="R809"/>
  <c r="R810"/>
  <c r="R811"/>
  <c r="R812"/>
  <c r="R813"/>
  <c r="R814"/>
  <c r="R815"/>
  <c r="R816"/>
  <c r="R817"/>
  <c r="R818"/>
  <c r="R819"/>
  <c r="R820"/>
  <c r="R821"/>
  <c r="R822"/>
  <c r="R823"/>
  <c r="R824"/>
  <c r="R825"/>
  <c r="R826"/>
  <c r="R827"/>
  <c r="R828"/>
  <c r="R829"/>
  <c r="R830"/>
  <c r="R831"/>
  <c r="R832"/>
  <c r="R833"/>
  <c r="R834"/>
  <c r="R835"/>
  <c r="R836"/>
  <c r="R837"/>
  <c r="R838"/>
  <c r="R839"/>
  <c r="R840"/>
  <c r="R841"/>
  <c r="R842"/>
  <c r="R843"/>
  <c r="R844"/>
  <c r="R845"/>
  <c r="R846"/>
  <c r="R847"/>
  <c r="R848"/>
  <c r="R849"/>
  <c r="R850"/>
  <c r="R851"/>
  <c r="R852"/>
  <c r="R853"/>
  <c r="R854"/>
  <c r="R855"/>
  <c r="R856"/>
  <c r="R857"/>
  <c r="R858"/>
  <c r="R859"/>
  <c r="R860"/>
  <c r="R861"/>
  <c r="R862"/>
  <c r="R863"/>
  <c r="R864"/>
  <c r="R865"/>
  <c r="R866"/>
  <c r="R867"/>
  <c r="R868"/>
  <c r="R869"/>
  <c r="R870"/>
  <c r="R871"/>
  <c r="R872"/>
  <c r="R873"/>
  <c r="R874"/>
  <c r="R875"/>
  <c r="R876"/>
  <c r="R877"/>
  <c r="R878"/>
  <c r="R879"/>
  <c r="R880"/>
  <c r="R881"/>
  <c r="R882"/>
  <c r="R883"/>
  <c r="R884"/>
  <c r="R885"/>
  <c r="R886"/>
  <c r="R887"/>
  <c r="R888"/>
  <c r="R889"/>
  <c r="R890"/>
  <c r="R891"/>
  <c r="R892"/>
  <c r="R893"/>
  <c r="R894"/>
  <c r="R895"/>
  <c r="R896"/>
  <c r="R897"/>
  <c r="R898"/>
  <c r="R899"/>
  <c r="R900"/>
  <c r="R901"/>
  <c r="R902"/>
  <c r="R903"/>
  <c r="R904"/>
  <c r="R905"/>
  <c r="R906"/>
  <c r="R907"/>
  <c r="R908"/>
  <c r="R909"/>
  <c r="R910"/>
  <c r="R911"/>
  <c r="R912"/>
  <c r="R913"/>
  <c r="R914"/>
  <c r="R915"/>
  <c r="R916"/>
  <c r="R917"/>
  <c r="R918"/>
  <c r="R919"/>
  <c r="R920"/>
  <c r="R921"/>
  <c r="R922"/>
  <c r="R923"/>
  <c r="R924"/>
  <c r="R925"/>
  <c r="R926"/>
  <c r="R927"/>
  <c r="R928"/>
  <c r="R929"/>
  <c r="R930"/>
  <c r="R931"/>
  <c r="R932"/>
  <c r="R933"/>
  <c r="R934"/>
  <c r="R935"/>
  <c r="R936"/>
  <c r="R937"/>
  <c r="R938"/>
  <c r="R939"/>
  <c r="R940"/>
  <c r="R941"/>
  <c r="R942"/>
  <c r="R943"/>
  <c r="R944"/>
  <c r="R945"/>
  <c r="R946"/>
  <c r="R947"/>
  <c r="R948"/>
  <c r="R949"/>
  <c r="R950"/>
  <c r="R951"/>
  <c r="R952"/>
  <c r="R953"/>
  <c r="R954"/>
  <c r="R955"/>
  <c r="R956"/>
  <c r="R957"/>
  <c r="R958"/>
  <c r="R959"/>
  <c r="R960"/>
  <c r="R961"/>
  <c r="R962"/>
  <c r="R963"/>
  <c r="R964"/>
  <c r="R965"/>
  <c r="R966"/>
  <c r="R967"/>
  <c r="R968"/>
  <c r="R969"/>
  <c r="R970"/>
  <c r="R971"/>
  <c r="R972"/>
  <c r="R973"/>
  <c r="R974"/>
  <c r="R975"/>
  <c r="R976"/>
  <c r="R977"/>
  <c r="R978"/>
  <c r="R979"/>
  <c r="R980"/>
  <c r="R981"/>
  <c r="R982"/>
  <c r="R983"/>
  <c r="R984"/>
  <c r="R985"/>
  <c r="R986"/>
  <c r="R987"/>
  <c r="R988"/>
  <c r="R989"/>
  <c r="R990"/>
  <c r="R991"/>
  <c r="R992"/>
  <c r="R993"/>
  <c r="R994"/>
  <c r="R995"/>
  <c r="R996"/>
  <c r="R997"/>
  <c r="R998"/>
  <c r="R999"/>
  <c r="R1000"/>
  <c r="R1001"/>
  <c r="R1002"/>
  <c r="R4"/>
  <c r="N4"/>
  <c r="N5"/>
  <c r="N6"/>
  <c r="N7"/>
  <c r="N8"/>
  <c r="N9"/>
  <c r="N10"/>
  <c r="N11"/>
  <c r="N12"/>
  <c r="N13"/>
  <c r="N14"/>
  <c r="N15"/>
  <c r="N16"/>
  <c r="N17"/>
  <c r="N18"/>
  <c r="N19"/>
  <c r="N20"/>
  <c r="N21"/>
  <c r="N22"/>
  <c r="N23"/>
  <c r="N24"/>
  <c r="N25"/>
  <c r="N26"/>
  <c r="N27"/>
  <c r="N28"/>
  <c r="N29"/>
  <c r="N30"/>
  <c r="N31"/>
  <c r="N32"/>
  <c r="N33"/>
  <c r="N34"/>
  <c r="N35"/>
  <c r="N36"/>
  <c r="N37"/>
  <c r="N38"/>
  <c r="N39"/>
  <c r="N40"/>
  <c r="N41"/>
  <c r="N42"/>
  <c r="N43"/>
  <c r="N44"/>
  <c r="N45"/>
  <c r="N46"/>
  <c r="N47"/>
  <c r="N48"/>
  <c r="N49"/>
  <c r="N50"/>
  <c r="N51"/>
  <c r="N52"/>
  <c r="N53"/>
  <c r="N54"/>
  <c r="N55"/>
  <c r="N56"/>
  <c r="N57"/>
  <c r="N58"/>
  <c r="N59"/>
  <c r="N60"/>
  <c r="N61"/>
  <c r="N62"/>
  <c r="N63"/>
  <c r="N64"/>
  <c r="N65"/>
  <c r="N66"/>
  <c r="N67"/>
  <c r="N68"/>
  <c r="N69"/>
  <c r="N70"/>
  <c r="N71"/>
  <c r="N72"/>
  <c r="N73"/>
  <c r="N74"/>
  <c r="N75"/>
  <c r="N76"/>
  <c r="N77"/>
  <c r="N78"/>
  <c r="N79"/>
  <c r="N80"/>
  <c r="N81"/>
  <c r="N82"/>
  <c r="N83"/>
  <c r="N84"/>
  <c r="N85"/>
  <c r="N86"/>
  <c r="N87"/>
  <c r="N88"/>
  <c r="N89"/>
  <c r="N90"/>
  <c r="N91"/>
  <c r="N92"/>
  <c r="N93"/>
  <c r="N94"/>
  <c r="N95"/>
  <c r="N96"/>
  <c r="N97"/>
  <c r="N98"/>
  <c r="N99"/>
  <c r="N100"/>
  <c r="N101"/>
  <c r="N102"/>
  <c r="N103"/>
  <c r="N104"/>
  <c r="N105"/>
  <c r="N106"/>
  <c r="N107"/>
  <c r="N108"/>
  <c r="N109"/>
  <c r="N110"/>
  <c r="N111"/>
  <c r="N112"/>
  <c r="N113"/>
  <c r="N114"/>
  <c r="N115"/>
  <c r="N116"/>
  <c r="N117"/>
  <c r="N118"/>
  <c r="N119"/>
  <c r="N120"/>
  <c r="N121"/>
  <c r="N122"/>
  <c r="N123"/>
  <c r="N124"/>
  <c r="N125"/>
  <c r="N126"/>
  <c r="N127"/>
  <c r="N128"/>
  <c r="N129"/>
  <c r="N130"/>
  <c r="N131"/>
  <c r="N132"/>
  <c r="N133"/>
  <c r="N134"/>
  <c r="N135"/>
  <c r="N136"/>
  <c r="N137"/>
  <c r="N138"/>
  <c r="N139"/>
  <c r="N140"/>
  <c r="N141"/>
  <c r="N142"/>
  <c r="N143"/>
  <c r="N144"/>
  <c r="N145"/>
  <c r="N146"/>
  <c r="N147"/>
  <c r="N148"/>
  <c r="N149"/>
  <c r="N150"/>
  <c r="N151"/>
  <c r="N152"/>
  <c r="N153"/>
  <c r="N154"/>
  <c r="N155"/>
  <c r="N156"/>
  <c r="N157"/>
  <c r="N158"/>
  <c r="N159"/>
  <c r="N160"/>
  <c r="N161"/>
  <c r="N162"/>
  <c r="N163"/>
  <c r="N164"/>
  <c r="N165"/>
  <c r="N166"/>
  <c r="N167"/>
  <c r="N168"/>
  <c r="N169"/>
  <c r="N170"/>
  <c r="N171"/>
  <c r="N172"/>
  <c r="N173"/>
  <c r="N174"/>
  <c r="N175"/>
  <c r="N176"/>
  <c r="N177"/>
  <c r="N178"/>
  <c r="N179"/>
  <c r="N180"/>
  <c r="N181"/>
  <c r="N182"/>
  <c r="N183"/>
  <c r="N184"/>
  <c r="N185"/>
  <c r="N186"/>
  <c r="N187"/>
  <c r="N188"/>
  <c r="N189"/>
  <c r="N190"/>
  <c r="N191"/>
  <c r="N192"/>
  <c r="N193"/>
  <c r="N194"/>
  <c r="N195"/>
  <c r="N196"/>
  <c r="N197"/>
  <c r="N198"/>
  <c r="N199"/>
  <c r="N200"/>
  <c r="N201"/>
  <c r="N202"/>
  <c r="N203"/>
  <c r="N204"/>
  <c r="N205"/>
  <c r="N206"/>
  <c r="N207"/>
  <c r="N208"/>
  <c r="N209"/>
  <c r="N210"/>
  <c r="N211"/>
  <c r="N212"/>
  <c r="N213"/>
  <c r="N214"/>
  <c r="N215"/>
  <c r="N216"/>
  <c r="N217"/>
  <c r="N218"/>
  <c r="N219"/>
  <c r="N220"/>
  <c r="N221"/>
  <c r="N222"/>
  <c r="N223"/>
  <c r="N224"/>
  <c r="N225"/>
  <c r="N226"/>
  <c r="N227"/>
  <c r="N228"/>
  <c r="N229"/>
  <c r="N230"/>
  <c r="N231"/>
  <c r="N232"/>
  <c r="N233"/>
  <c r="N234"/>
  <c r="N235"/>
  <c r="N236"/>
  <c r="N237"/>
  <c r="N238"/>
  <c r="N239"/>
  <c r="N240"/>
  <c r="N241"/>
  <c r="N242"/>
  <c r="N243"/>
  <c r="N244"/>
  <c r="N245"/>
  <c r="N246"/>
  <c r="N247"/>
  <c r="N248"/>
  <c r="N249"/>
  <c r="N250"/>
  <c r="N251"/>
  <c r="N252"/>
  <c r="N253"/>
  <c r="N254"/>
  <c r="N255"/>
  <c r="N256"/>
  <c r="N257"/>
  <c r="N258"/>
  <c r="N259"/>
  <c r="N260"/>
  <c r="N261"/>
  <c r="N262"/>
  <c r="N263"/>
  <c r="N264"/>
  <c r="N265"/>
  <c r="N266"/>
  <c r="N267"/>
  <c r="N268"/>
  <c r="N269"/>
  <c r="N270"/>
  <c r="N271"/>
  <c r="N272"/>
  <c r="N273"/>
  <c r="N274"/>
  <c r="N275"/>
  <c r="N276"/>
  <c r="N277"/>
  <c r="N278"/>
  <c r="N279"/>
  <c r="N280"/>
  <c r="N281"/>
  <c r="N282"/>
  <c r="N283"/>
  <c r="N284"/>
  <c r="N285"/>
  <c r="N286"/>
  <c r="N287"/>
  <c r="N288"/>
  <c r="N289"/>
  <c r="N290"/>
  <c r="N291"/>
  <c r="N292"/>
  <c r="N293"/>
  <c r="N294"/>
  <c r="N295"/>
  <c r="N296"/>
  <c r="N297"/>
  <c r="N298"/>
  <c r="N299"/>
  <c r="N300"/>
  <c r="N301"/>
  <c r="N302"/>
  <c r="N303"/>
  <c r="N304"/>
  <c r="N305"/>
  <c r="N306"/>
  <c r="N307"/>
  <c r="N308"/>
  <c r="N309"/>
  <c r="N310"/>
  <c r="N311"/>
  <c r="N312"/>
  <c r="N313"/>
  <c r="N314"/>
  <c r="N315"/>
  <c r="N316"/>
  <c r="N317"/>
  <c r="N318"/>
  <c r="N319"/>
  <c r="N320"/>
  <c r="N321"/>
  <c r="N322"/>
  <c r="N323"/>
  <c r="N324"/>
  <c r="N325"/>
  <c r="N326"/>
  <c r="N327"/>
  <c r="N328"/>
  <c r="N329"/>
  <c r="N330"/>
  <c r="N331"/>
  <c r="N332"/>
  <c r="N333"/>
  <c r="N334"/>
  <c r="N335"/>
  <c r="N336"/>
  <c r="N337"/>
  <c r="N338"/>
  <c r="N339"/>
  <c r="N340"/>
  <c r="N341"/>
  <c r="N342"/>
  <c r="N343"/>
  <c r="N344"/>
  <c r="N345"/>
  <c r="N346"/>
  <c r="N347"/>
  <c r="N348"/>
  <c r="N349"/>
  <c r="N350"/>
  <c r="N351"/>
  <c r="N352"/>
  <c r="N353"/>
  <c r="N354"/>
  <c r="N355"/>
  <c r="N356"/>
  <c r="N357"/>
  <c r="N358"/>
  <c r="N359"/>
  <c r="N360"/>
  <c r="N361"/>
  <c r="N362"/>
  <c r="N363"/>
  <c r="N364"/>
  <c r="N365"/>
  <c r="N366"/>
  <c r="N367"/>
  <c r="N368"/>
  <c r="N369"/>
  <c r="N370"/>
  <c r="N371"/>
  <c r="N372"/>
  <c r="N373"/>
  <c r="N374"/>
  <c r="N375"/>
  <c r="N376"/>
  <c r="N377"/>
  <c r="N378"/>
  <c r="N379"/>
  <c r="N380"/>
  <c r="N381"/>
  <c r="N382"/>
  <c r="N383"/>
  <c r="N384"/>
  <c r="N385"/>
  <c r="N386"/>
  <c r="N387"/>
  <c r="N388"/>
  <c r="N389"/>
  <c r="N390"/>
  <c r="N391"/>
  <c r="N392"/>
  <c r="N393"/>
  <c r="N394"/>
  <c r="N395"/>
  <c r="N396"/>
  <c r="N397"/>
  <c r="N398"/>
  <c r="N399"/>
  <c r="N400"/>
  <c r="N401"/>
  <c r="N402"/>
  <c r="N403"/>
  <c r="N404"/>
  <c r="N405"/>
  <c r="N406"/>
  <c r="N407"/>
  <c r="N408"/>
  <c r="N409"/>
  <c r="N410"/>
  <c r="N411"/>
  <c r="N412"/>
  <c r="N413"/>
  <c r="N414"/>
  <c r="N415"/>
  <c r="N416"/>
  <c r="N417"/>
  <c r="N418"/>
  <c r="N419"/>
  <c r="N420"/>
  <c r="N421"/>
  <c r="N422"/>
  <c r="N423"/>
  <c r="N424"/>
  <c r="N425"/>
  <c r="N426"/>
  <c r="N427"/>
  <c r="N428"/>
  <c r="N429"/>
  <c r="N430"/>
  <c r="N431"/>
  <c r="N432"/>
  <c r="N433"/>
  <c r="N434"/>
  <c r="N435"/>
  <c r="N436"/>
  <c r="N437"/>
  <c r="N438"/>
  <c r="N439"/>
  <c r="N440"/>
  <c r="N441"/>
  <c r="N442"/>
  <c r="N443"/>
  <c r="N444"/>
  <c r="N445"/>
  <c r="N446"/>
  <c r="N447"/>
  <c r="N448"/>
  <c r="N449"/>
  <c r="N450"/>
  <c r="N451"/>
  <c r="N452"/>
  <c r="N453"/>
  <c r="N454"/>
  <c r="N455"/>
  <c r="N456"/>
  <c r="N457"/>
  <c r="N458"/>
  <c r="N459"/>
  <c r="N460"/>
  <c r="N461"/>
  <c r="N462"/>
  <c r="N463"/>
  <c r="N464"/>
  <c r="N465"/>
  <c r="N466"/>
  <c r="N467"/>
  <c r="N468"/>
  <c r="N469"/>
  <c r="N470"/>
  <c r="N471"/>
  <c r="N472"/>
  <c r="N473"/>
  <c r="N474"/>
  <c r="N475"/>
  <c r="N476"/>
  <c r="N477"/>
  <c r="N478"/>
  <c r="N479"/>
  <c r="N480"/>
  <c r="N481"/>
  <c r="N482"/>
  <c r="N483"/>
  <c r="N484"/>
  <c r="N485"/>
  <c r="N486"/>
  <c r="N487"/>
  <c r="N488"/>
  <c r="N489"/>
  <c r="N490"/>
  <c r="N491"/>
  <c r="N492"/>
  <c r="N493"/>
  <c r="N494"/>
  <c r="N495"/>
  <c r="N496"/>
  <c r="N497"/>
  <c r="N498"/>
  <c r="N499"/>
  <c r="N500"/>
  <c r="N501"/>
  <c r="N502"/>
  <c r="N503"/>
  <c r="N504"/>
  <c r="N505"/>
  <c r="N506"/>
  <c r="N507"/>
  <c r="N508"/>
  <c r="N509"/>
  <c r="N510"/>
  <c r="N511"/>
  <c r="N512"/>
  <c r="N513"/>
  <c r="N514"/>
  <c r="N515"/>
  <c r="N516"/>
  <c r="N517"/>
  <c r="N518"/>
  <c r="N519"/>
  <c r="N520"/>
  <c r="N521"/>
  <c r="N522"/>
  <c r="N523"/>
  <c r="N524"/>
  <c r="N525"/>
  <c r="N526"/>
  <c r="N527"/>
  <c r="N528"/>
  <c r="N529"/>
  <c r="N530"/>
  <c r="N531"/>
  <c r="N532"/>
  <c r="N533"/>
  <c r="N534"/>
  <c r="N535"/>
  <c r="N536"/>
  <c r="N537"/>
  <c r="N538"/>
  <c r="N539"/>
  <c r="N540"/>
  <c r="N541"/>
  <c r="N542"/>
  <c r="N543"/>
  <c r="N544"/>
  <c r="N545"/>
  <c r="N546"/>
  <c r="N547"/>
  <c r="N548"/>
  <c r="N549"/>
  <c r="N550"/>
  <c r="N551"/>
  <c r="N552"/>
  <c r="N553"/>
  <c r="N554"/>
  <c r="N555"/>
  <c r="N556"/>
  <c r="N557"/>
  <c r="N558"/>
  <c r="N559"/>
  <c r="N560"/>
  <c r="N561"/>
  <c r="N562"/>
  <c r="N563"/>
  <c r="N564"/>
  <c r="N565"/>
  <c r="N566"/>
  <c r="N567"/>
  <c r="N568"/>
  <c r="N569"/>
  <c r="N570"/>
  <c r="N571"/>
  <c r="N572"/>
  <c r="N573"/>
  <c r="N574"/>
  <c r="N575"/>
  <c r="N576"/>
  <c r="N577"/>
  <c r="N578"/>
  <c r="N579"/>
  <c r="N580"/>
  <c r="N581"/>
  <c r="N582"/>
  <c r="N583"/>
  <c r="N584"/>
  <c r="N585"/>
  <c r="N586"/>
  <c r="N587"/>
  <c r="N588"/>
  <c r="N589"/>
  <c r="N590"/>
  <c r="N591"/>
  <c r="N592"/>
  <c r="N593"/>
  <c r="N594"/>
  <c r="N595"/>
  <c r="N596"/>
  <c r="N597"/>
  <c r="N598"/>
  <c r="N599"/>
  <c r="N600"/>
  <c r="N601"/>
  <c r="N602"/>
  <c r="N603"/>
  <c r="N604"/>
  <c r="N605"/>
  <c r="N606"/>
  <c r="N607"/>
  <c r="N608"/>
  <c r="N609"/>
  <c r="N610"/>
  <c r="N611"/>
  <c r="N612"/>
  <c r="N613"/>
  <c r="N614"/>
  <c r="N615"/>
  <c r="N616"/>
  <c r="N617"/>
  <c r="N618"/>
  <c r="N619"/>
  <c r="N620"/>
  <c r="N621"/>
  <c r="N622"/>
  <c r="N623"/>
  <c r="N624"/>
  <c r="N625"/>
  <c r="N626"/>
  <c r="N627"/>
  <c r="N628"/>
  <c r="N629"/>
  <c r="N630"/>
  <c r="N631"/>
  <c r="N632"/>
  <c r="N633"/>
  <c r="N634"/>
  <c r="N635"/>
  <c r="N636"/>
  <c r="N637"/>
  <c r="N638"/>
  <c r="N639"/>
  <c r="N640"/>
  <c r="N641"/>
  <c r="N642"/>
  <c r="N643"/>
  <c r="N644"/>
  <c r="N645"/>
  <c r="N646"/>
  <c r="N647"/>
  <c r="N648"/>
  <c r="N649"/>
  <c r="N650"/>
  <c r="N651"/>
  <c r="N652"/>
  <c r="N653"/>
  <c r="N654"/>
  <c r="N655"/>
  <c r="N656"/>
  <c r="N657"/>
  <c r="N658"/>
  <c r="N659"/>
  <c r="N660"/>
  <c r="N661"/>
  <c r="N662"/>
  <c r="N663"/>
  <c r="N664"/>
  <c r="N665"/>
  <c r="N666"/>
  <c r="N667"/>
  <c r="N668"/>
  <c r="N669"/>
  <c r="N670"/>
  <c r="N671"/>
  <c r="N672"/>
  <c r="N673"/>
  <c r="N674"/>
  <c r="N675"/>
  <c r="N676"/>
  <c r="N677"/>
  <c r="N678"/>
  <c r="N679"/>
  <c r="N680"/>
  <c r="N681"/>
  <c r="N682"/>
  <c r="N683"/>
  <c r="N684"/>
  <c r="N685"/>
  <c r="N686"/>
  <c r="N687"/>
  <c r="N688"/>
  <c r="N689"/>
  <c r="N690"/>
  <c r="N691"/>
  <c r="N692"/>
  <c r="N693"/>
  <c r="N694"/>
  <c r="N695"/>
  <c r="N696"/>
  <c r="N697"/>
  <c r="N698"/>
  <c r="N699"/>
  <c r="N700"/>
  <c r="N701"/>
  <c r="N702"/>
  <c r="N703"/>
  <c r="N704"/>
  <c r="N705"/>
  <c r="N706"/>
  <c r="N707"/>
  <c r="N708"/>
  <c r="N709"/>
  <c r="N710"/>
  <c r="N711"/>
  <c r="N712"/>
  <c r="N713"/>
  <c r="N714"/>
  <c r="N715"/>
  <c r="N716"/>
  <c r="N717"/>
  <c r="N718"/>
  <c r="N719"/>
  <c r="N720"/>
  <c r="N721"/>
  <c r="N722"/>
  <c r="N723"/>
  <c r="N724"/>
  <c r="N725"/>
  <c r="N726"/>
  <c r="N727"/>
  <c r="N728"/>
  <c r="N729"/>
  <c r="N730"/>
  <c r="N731"/>
  <c r="N732"/>
  <c r="N733"/>
  <c r="N734"/>
  <c r="N735"/>
  <c r="N736"/>
  <c r="N737"/>
  <c r="N738"/>
  <c r="N739"/>
  <c r="N740"/>
  <c r="N741"/>
  <c r="N742"/>
  <c r="N743"/>
  <c r="N744"/>
  <c r="N745"/>
  <c r="N746"/>
  <c r="N747"/>
  <c r="N748"/>
  <c r="N749"/>
  <c r="N750"/>
  <c r="N751"/>
  <c r="N752"/>
  <c r="N753"/>
  <c r="N754"/>
  <c r="N755"/>
  <c r="N756"/>
  <c r="N757"/>
  <c r="N758"/>
  <c r="N759"/>
  <c r="N760"/>
  <c r="N761"/>
  <c r="N762"/>
  <c r="N763"/>
  <c r="N764"/>
  <c r="N765"/>
  <c r="N766"/>
  <c r="N767"/>
  <c r="N768"/>
  <c r="N769"/>
  <c r="N770"/>
  <c r="N771"/>
  <c r="N772"/>
  <c r="N773"/>
  <c r="N774"/>
  <c r="N775"/>
  <c r="N776"/>
  <c r="N777"/>
  <c r="N778"/>
  <c r="N779"/>
  <c r="N780"/>
  <c r="N781"/>
  <c r="N782"/>
  <c r="N783"/>
  <c r="N784"/>
  <c r="N785"/>
  <c r="N786"/>
  <c r="N787"/>
  <c r="N788"/>
  <c r="N789"/>
  <c r="N790"/>
  <c r="N791"/>
  <c r="N792"/>
  <c r="N793"/>
  <c r="N794"/>
  <c r="N795"/>
  <c r="N796"/>
  <c r="N797"/>
  <c r="N798"/>
  <c r="N799"/>
  <c r="N800"/>
  <c r="N801"/>
  <c r="N802"/>
  <c r="N803"/>
  <c r="N804"/>
  <c r="N805"/>
  <c r="N806"/>
  <c r="N807"/>
  <c r="N808"/>
  <c r="N809"/>
  <c r="N810"/>
  <c r="N811"/>
  <c r="N812"/>
  <c r="N813"/>
  <c r="N814"/>
  <c r="N815"/>
  <c r="N816"/>
  <c r="N817"/>
  <c r="N818"/>
  <c r="N819"/>
  <c r="N820"/>
  <c r="N821"/>
  <c r="N822"/>
  <c r="N823"/>
  <c r="N824"/>
  <c r="N825"/>
  <c r="N826"/>
  <c r="N827"/>
  <c r="N828"/>
  <c r="N829"/>
  <c r="N830"/>
  <c r="N831"/>
  <c r="N832"/>
  <c r="N833"/>
  <c r="N834"/>
  <c r="N835"/>
  <c r="N836"/>
  <c r="N837"/>
  <c r="N838"/>
  <c r="N839"/>
  <c r="N840"/>
  <c r="N841"/>
  <c r="N842"/>
  <c r="N843"/>
  <c r="N844"/>
  <c r="N845"/>
  <c r="N846"/>
  <c r="N847"/>
  <c r="N848"/>
  <c r="N849"/>
  <c r="N850"/>
  <c r="N851"/>
  <c r="N852"/>
  <c r="N853"/>
  <c r="N854"/>
  <c r="N855"/>
  <c r="N856"/>
  <c r="N857"/>
  <c r="N858"/>
  <c r="N859"/>
  <c r="N860"/>
  <c r="N861"/>
  <c r="N862"/>
  <c r="N863"/>
  <c r="N864"/>
  <c r="N865"/>
  <c r="N866"/>
  <c r="N867"/>
  <c r="N868"/>
  <c r="N869"/>
  <c r="N870"/>
  <c r="N871"/>
  <c r="N872"/>
  <c r="N873"/>
  <c r="N874"/>
  <c r="N875"/>
  <c r="N876"/>
  <c r="N877"/>
  <c r="N878"/>
  <c r="N879"/>
  <c r="N880"/>
  <c r="N881"/>
  <c r="N882"/>
  <c r="N883"/>
  <c r="N884"/>
  <c r="N885"/>
  <c r="N886"/>
  <c r="N887"/>
  <c r="N888"/>
  <c r="N889"/>
  <c r="N890"/>
  <c r="N891"/>
  <c r="N892"/>
  <c r="N893"/>
  <c r="N894"/>
  <c r="N895"/>
  <c r="N896"/>
  <c r="N897"/>
  <c r="N898"/>
  <c r="N899"/>
  <c r="N900"/>
  <c r="N901"/>
  <c r="N902"/>
  <c r="N903"/>
  <c r="N904"/>
  <c r="N905"/>
  <c r="N906"/>
  <c r="N907"/>
  <c r="N908"/>
  <c r="N909"/>
  <c r="N910"/>
  <c r="N911"/>
  <c r="N912"/>
  <c r="N913"/>
  <c r="N914"/>
  <c r="N915"/>
  <c r="N916"/>
  <c r="N917"/>
  <c r="N918"/>
  <c r="N919"/>
  <c r="N920"/>
  <c r="N921"/>
  <c r="N922"/>
  <c r="N923"/>
  <c r="N924"/>
  <c r="N925"/>
  <c r="N926"/>
  <c r="N927"/>
  <c r="N928"/>
  <c r="N929"/>
  <c r="N930"/>
  <c r="N931"/>
  <c r="N932"/>
  <c r="N933"/>
  <c r="N934"/>
  <c r="N935"/>
  <c r="N936"/>
  <c r="N937"/>
  <c r="N938"/>
  <c r="N939"/>
  <c r="N940"/>
  <c r="N941"/>
  <c r="N942"/>
  <c r="N943"/>
  <c r="N944"/>
  <c r="N945"/>
  <c r="N946"/>
  <c r="N947"/>
  <c r="N948"/>
  <c r="N949"/>
  <c r="N950"/>
  <c r="N951"/>
  <c r="N952"/>
  <c r="N953"/>
  <c r="N954"/>
  <c r="N955"/>
  <c r="N956"/>
  <c r="N957"/>
  <c r="N958"/>
  <c r="N959"/>
  <c r="N960"/>
  <c r="N961"/>
  <c r="N962"/>
  <c r="N963"/>
  <c r="N964"/>
  <c r="N965"/>
  <c r="N966"/>
  <c r="N967"/>
  <c r="N968"/>
  <c r="N969"/>
  <c r="N970"/>
  <c r="N971"/>
  <c r="N972"/>
  <c r="N973"/>
  <c r="N974"/>
  <c r="N975"/>
  <c r="N976"/>
  <c r="N977"/>
  <c r="N978"/>
  <c r="N979"/>
  <c r="N980"/>
  <c r="N981"/>
  <c r="N982"/>
  <c r="N983"/>
  <c r="N984"/>
  <c r="N985"/>
  <c r="N986"/>
  <c r="N987"/>
  <c r="N988"/>
  <c r="N989"/>
  <c r="N990"/>
  <c r="N991"/>
  <c r="N992"/>
  <c r="N993"/>
  <c r="N994"/>
  <c r="N995"/>
  <c r="N996"/>
  <c r="N997"/>
  <c r="N998"/>
  <c r="N999"/>
  <c r="N1000"/>
  <c r="N1001"/>
  <c r="N1002"/>
  <c r="M4"/>
  <c r="M5"/>
  <c r="M7"/>
  <c r="M8"/>
  <c r="M9"/>
  <c r="M10"/>
  <c r="M11"/>
  <c r="M12"/>
  <c r="M13"/>
  <c r="M14"/>
  <c r="M15"/>
  <c r="M16"/>
  <c r="M17"/>
  <c r="M18"/>
  <c r="M19"/>
  <c r="M20"/>
  <c r="M21"/>
  <c r="M22"/>
  <c r="M23"/>
  <c r="M24"/>
  <c r="M25"/>
  <c r="M26"/>
  <c r="M27"/>
  <c r="M28"/>
  <c r="M29"/>
  <c r="M30"/>
  <c r="M31"/>
  <c r="M32"/>
  <c r="M33"/>
  <c r="M34"/>
  <c r="M35"/>
  <c r="M36"/>
  <c r="M37"/>
  <c r="M38"/>
  <c r="M39"/>
  <c r="M40"/>
  <c r="M41"/>
  <c r="M42"/>
  <c r="M43"/>
  <c r="M44"/>
  <c r="M45"/>
  <c r="M46"/>
  <c r="M47"/>
  <c r="M48"/>
  <c r="M49"/>
  <c r="M50"/>
  <c r="M51"/>
  <c r="M52"/>
  <c r="M53"/>
  <c r="M54"/>
  <c r="M55"/>
  <c r="M56"/>
  <c r="M57"/>
  <c r="M58"/>
  <c r="M59"/>
  <c r="M60"/>
  <c r="M61"/>
  <c r="M62"/>
  <c r="M63"/>
  <c r="M64"/>
  <c r="M65"/>
  <c r="M66"/>
  <c r="M67"/>
  <c r="M68"/>
  <c r="M69"/>
  <c r="M70"/>
  <c r="M71"/>
  <c r="M72"/>
  <c r="M73"/>
  <c r="M74"/>
  <c r="M75"/>
  <c r="M76"/>
  <c r="M77"/>
  <c r="M78"/>
  <c r="M79"/>
  <c r="M80"/>
  <c r="M81"/>
  <c r="M82"/>
  <c r="M83"/>
  <c r="M84"/>
  <c r="M85"/>
  <c r="M86"/>
  <c r="M87"/>
  <c r="M88"/>
  <c r="M89"/>
  <c r="M90"/>
  <c r="M91"/>
  <c r="M92"/>
  <c r="M93"/>
  <c r="M94"/>
  <c r="M95"/>
  <c r="M96"/>
  <c r="M97"/>
  <c r="M98"/>
  <c r="M99"/>
  <c r="M100"/>
  <c r="M101"/>
  <c r="M102"/>
  <c r="M103"/>
  <c r="M104"/>
  <c r="M105"/>
  <c r="M106"/>
  <c r="M107"/>
  <c r="M108"/>
  <c r="M109"/>
  <c r="M110"/>
  <c r="M111"/>
  <c r="M112"/>
  <c r="M113"/>
  <c r="M114"/>
  <c r="M115"/>
  <c r="M116"/>
  <c r="M117"/>
  <c r="M118"/>
  <c r="M119"/>
  <c r="M120"/>
  <c r="M121"/>
  <c r="M122"/>
  <c r="M123"/>
  <c r="M124"/>
  <c r="M125"/>
  <c r="M126"/>
  <c r="M127"/>
  <c r="M128"/>
  <c r="M129"/>
  <c r="M130"/>
  <c r="M131"/>
  <c r="M132"/>
  <c r="M133"/>
  <c r="M134"/>
  <c r="M135"/>
  <c r="M136"/>
  <c r="M137"/>
  <c r="M138"/>
  <c r="M139"/>
  <c r="M140"/>
  <c r="M141"/>
  <c r="M142"/>
  <c r="M143"/>
  <c r="M144"/>
  <c r="M145"/>
  <c r="M146"/>
  <c r="M147"/>
  <c r="M148"/>
  <c r="M149"/>
  <c r="M150"/>
  <c r="M151"/>
  <c r="M152"/>
  <c r="M153"/>
  <c r="M154"/>
  <c r="M155"/>
  <c r="M156"/>
  <c r="M157"/>
  <c r="M158"/>
  <c r="M159"/>
  <c r="M160"/>
  <c r="M161"/>
  <c r="M162"/>
  <c r="M163"/>
  <c r="M164"/>
  <c r="M165"/>
  <c r="M166"/>
  <c r="M167"/>
  <c r="M168"/>
  <c r="M169"/>
  <c r="M170"/>
  <c r="M171"/>
  <c r="M172"/>
  <c r="M173"/>
  <c r="M174"/>
  <c r="M175"/>
  <c r="M176"/>
  <c r="M177"/>
  <c r="M178"/>
  <c r="M179"/>
  <c r="M180"/>
  <c r="M181"/>
  <c r="M182"/>
  <c r="M183"/>
  <c r="M184"/>
  <c r="M185"/>
  <c r="M186"/>
  <c r="M187"/>
  <c r="M188"/>
  <c r="M189"/>
  <c r="M190"/>
  <c r="M191"/>
  <c r="M192"/>
  <c r="M193"/>
  <c r="M194"/>
  <c r="M195"/>
  <c r="M196"/>
  <c r="M197"/>
  <c r="M198"/>
  <c r="M199"/>
  <c r="M200"/>
  <c r="M201"/>
  <c r="M202"/>
  <c r="M203"/>
  <c r="M204"/>
  <c r="M205"/>
  <c r="M206"/>
  <c r="M207"/>
  <c r="M208"/>
  <c r="M209"/>
  <c r="M210"/>
  <c r="M211"/>
  <c r="M212"/>
  <c r="M213"/>
  <c r="M214"/>
  <c r="M215"/>
  <c r="M216"/>
  <c r="M217"/>
  <c r="M218"/>
  <c r="M219"/>
  <c r="M220"/>
  <c r="M221"/>
  <c r="M222"/>
  <c r="M223"/>
  <c r="M224"/>
  <c r="M225"/>
  <c r="M226"/>
  <c r="M227"/>
  <c r="M228"/>
  <c r="M229"/>
  <c r="M230"/>
  <c r="M231"/>
  <c r="M232"/>
  <c r="M233"/>
  <c r="M234"/>
  <c r="M235"/>
  <c r="M236"/>
  <c r="M237"/>
  <c r="M238"/>
  <c r="M239"/>
  <c r="M240"/>
  <c r="M241"/>
  <c r="M242"/>
  <c r="M243"/>
  <c r="M244"/>
  <c r="M245"/>
  <c r="M246"/>
  <c r="M247"/>
  <c r="M248"/>
  <c r="M249"/>
  <c r="M250"/>
  <c r="M251"/>
  <c r="M252"/>
  <c r="M253"/>
  <c r="M254"/>
  <c r="M255"/>
  <c r="M256"/>
  <c r="M257"/>
  <c r="M258"/>
  <c r="M259"/>
  <c r="M260"/>
  <c r="M261"/>
  <c r="M262"/>
  <c r="M263"/>
  <c r="M264"/>
  <c r="M265"/>
  <c r="M266"/>
  <c r="M267"/>
  <c r="M268"/>
  <c r="M269"/>
  <c r="M270"/>
  <c r="M271"/>
  <c r="M272"/>
  <c r="M273"/>
  <c r="M274"/>
  <c r="M275"/>
  <c r="M276"/>
  <c r="M277"/>
  <c r="M278"/>
  <c r="M279"/>
  <c r="M280"/>
  <c r="M281"/>
  <c r="M282"/>
  <c r="M283"/>
  <c r="M284"/>
  <c r="M285"/>
  <c r="M286"/>
  <c r="M287"/>
  <c r="M288"/>
  <c r="M289"/>
  <c r="M290"/>
  <c r="M291"/>
  <c r="M292"/>
  <c r="M293"/>
  <c r="M294"/>
  <c r="M295"/>
  <c r="M296"/>
  <c r="M297"/>
  <c r="M298"/>
  <c r="M299"/>
  <c r="M300"/>
  <c r="M301"/>
  <c r="M302"/>
  <c r="M303"/>
  <c r="M304"/>
  <c r="M305"/>
  <c r="M306"/>
  <c r="M307"/>
  <c r="M308"/>
  <c r="M309"/>
  <c r="M310"/>
  <c r="M311"/>
  <c r="M312"/>
  <c r="M313"/>
  <c r="M314"/>
  <c r="M315"/>
  <c r="M316"/>
  <c r="M317"/>
  <c r="M318"/>
  <c r="M319"/>
  <c r="M320"/>
  <c r="M321"/>
  <c r="M322"/>
  <c r="M323"/>
  <c r="M324"/>
  <c r="M325"/>
  <c r="M326"/>
  <c r="M327"/>
  <c r="M328"/>
  <c r="M329"/>
  <c r="M330"/>
  <c r="M331"/>
  <c r="M332"/>
  <c r="M333"/>
  <c r="M334"/>
  <c r="M335"/>
  <c r="M336"/>
  <c r="M337"/>
  <c r="M338"/>
  <c r="M339"/>
  <c r="M340"/>
  <c r="M341"/>
  <c r="M342"/>
  <c r="M343"/>
  <c r="M344"/>
  <c r="M345"/>
  <c r="M346"/>
  <c r="M347"/>
  <c r="M348"/>
  <c r="M349"/>
  <c r="M350"/>
  <c r="M351"/>
  <c r="M352"/>
  <c r="M353"/>
  <c r="M354"/>
  <c r="M355"/>
  <c r="M356"/>
  <c r="M357"/>
  <c r="M358"/>
  <c r="M359"/>
  <c r="M360"/>
  <c r="M361"/>
  <c r="M362"/>
  <c r="M363"/>
  <c r="M364"/>
  <c r="M365"/>
  <c r="M366"/>
  <c r="M367"/>
  <c r="M368"/>
  <c r="M369"/>
  <c r="M370"/>
  <c r="M371"/>
  <c r="M372"/>
  <c r="M373"/>
  <c r="M374"/>
  <c r="M375"/>
  <c r="M376"/>
  <c r="M377"/>
  <c r="M378"/>
  <c r="M379"/>
  <c r="M380"/>
  <c r="M381"/>
  <c r="M382"/>
  <c r="M383"/>
  <c r="M384"/>
  <c r="M385"/>
  <c r="M386"/>
  <c r="M387"/>
  <c r="M388"/>
  <c r="M389"/>
  <c r="M390"/>
  <c r="M391"/>
  <c r="M392"/>
  <c r="M393"/>
  <c r="M394"/>
  <c r="M395"/>
  <c r="M396"/>
  <c r="M397"/>
  <c r="M398"/>
  <c r="M399"/>
  <c r="M400"/>
  <c r="M401"/>
  <c r="M402"/>
  <c r="M403"/>
  <c r="M404"/>
  <c r="M405"/>
  <c r="M406"/>
  <c r="M407"/>
  <c r="M408"/>
  <c r="M409"/>
  <c r="M410"/>
  <c r="M411"/>
  <c r="M412"/>
  <c r="M413"/>
  <c r="M414"/>
  <c r="M415"/>
  <c r="M416"/>
  <c r="M417"/>
  <c r="M418"/>
  <c r="M419"/>
  <c r="M420"/>
  <c r="M421"/>
  <c r="M422"/>
  <c r="M423"/>
  <c r="M424"/>
  <c r="M425"/>
  <c r="M426"/>
  <c r="M427"/>
  <c r="M428"/>
  <c r="M429"/>
  <c r="M430"/>
  <c r="M431"/>
  <c r="M432"/>
  <c r="M433"/>
  <c r="M434"/>
  <c r="M435"/>
  <c r="M436"/>
  <c r="M437"/>
  <c r="M438"/>
  <c r="M439"/>
  <c r="M440"/>
  <c r="M441"/>
  <c r="M442"/>
  <c r="M443"/>
  <c r="M444"/>
  <c r="M445"/>
  <c r="M446"/>
  <c r="M447"/>
  <c r="M448"/>
  <c r="M449"/>
  <c r="M450"/>
  <c r="M451"/>
  <c r="M452"/>
  <c r="M453"/>
  <c r="M454"/>
  <c r="M455"/>
  <c r="M456"/>
  <c r="M457"/>
  <c r="M458"/>
  <c r="M459"/>
  <c r="M460"/>
  <c r="M461"/>
  <c r="M462"/>
  <c r="M463"/>
  <c r="M464"/>
  <c r="M465"/>
  <c r="M466"/>
  <c r="M467"/>
  <c r="M468"/>
  <c r="M469"/>
  <c r="M470"/>
  <c r="M471"/>
  <c r="M472"/>
  <c r="M473"/>
  <c r="M474"/>
  <c r="M475"/>
  <c r="M476"/>
  <c r="M477"/>
  <c r="M478"/>
  <c r="M479"/>
  <c r="M480"/>
  <c r="M481"/>
  <c r="M482"/>
  <c r="M483"/>
  <c r="M484"/>
  <c r="M485"/>
  <c r="M486"/>
  <c r="M487"/>
  <c r="M488"/>
  <c r="M489"/>
  <c r="M490"/>
  <c r="M491"/>
  <c r="M492"/>
  <c r="M493"/>
  <c r="M494"/>
  <c r="M495"/>
  <c r="M496"/>
  <c r="M497"/>
  <c r="M498"/>
  <c r="M499"/>
  <c r="M500"/>
  <c r="M501"/>
  <c r="M502"/>
  <c r="M503"/>
  <c r="M504"/>
  <c r="M505"/>
  <c r="M506"/>
  <c r="M507"/>
  <c r="M508"/>
  <c r="M509"/>
  <c r="M510"/>
  <c r="M511"/>
  <c r="M512"/>
  <c r="M513"/>
  <c r="M514"/>
  <c r="M515"/>
  <c r="M516"/>
  <c r="M517"/>
  <c r="M518"/>
  <c r="M519"/>
  <c r="M520"/>
  <c r="M521"/>
  <c r="M522"/>
  <c r="M523"/>
  <c r="M524"/>
  <c r="M525"/>
  <c r="M526"/>
  <c r="M527"/>
  <c r="M528"/>
  <c r="M529"/>
  <c r="M530"/>
  <c r="M531"/>
  <c r="M532"/>
  <c r="M533"/>
  <c r="M534"/>
  <c r="M535"/>
  <c r="M536"/>
  <c r="M537"/>
  <c r="M538"/>
  <c r="M539"/>
  <c r="M540"/>
  <c r="M541"/>
  <c r="M542"/>
  <c r="M543"/>
  <c r="M544"/>
  <c r="M545"/>
  <c r="M546"/>
  <c r="M547"/>
  <c r="M548"/>
  <c r="M549"/>
  <c r="M550"/>
  <c r="M551"/>
  <c r="M552"/>
  <c r="M553"/>
  <c r="M554"/>
  <c r="M555"/>
  <c r="M556"/>
  <c r="M557"/>
  <c r="M558"/>
  <c r="M559"/>
  <c r="M560"/>
  <c r="M561"/>
  <c r="M562"/>
  <c r="M563"/>
  <c r="M564"/>
  <c r="M565"/>
  <c r="M566"/>
  <c r="M567"/>
  <c r="M568"/>
  <c r="M569"/>
  <c r="M570"/>
  <c r="M571"/>
  <c r="M572"/>
  <c r="M573"/>
  <c r="M574"/>
  <c r="M575"/>
  <c r="M576"/>
  <c r="M577"/>
  <c r="M578"/>
  <c r="M579"/>
  <c r="M580"/>
  <c r="M581"/>
  <c r="M582"/>
  <c r="M583"/>
  <c r="M584"/>
  <c r="M585"/>
  <c r="M586"/>
  <c r="M587"/>
  <c r="M588"/>
  <c r="M589"/>
  <c r="M590"/>
  <c r="M591"/>
  <c r="M592"/>
  <c r="M593"/>
  <c r="M594"/>
  <c r="M595"/>
  <c r="M596"/>
  <c r="M597"/>
  <c r="M598"/>
  <c r="M599"/>
  <c r="M600"/>
  <c r="M601"/>
  <c r="M602"/>
  <c r="M603"/>
  <c r="M604"/>
  <c r="M605"/>
  <c r="M606"/>
  <c r="M607"/>
  <c r="M608"/>
  <c r="M609"/>
  <c r="M610"/>
  <c r="M611"/>
  <c r="M612"/>
  <c r="M613"/>
  <c r="M614"/>
  <c r="M615"/>
  <c r="M616"/>
  <c r="M617"/>
  <c r="M618"/>
  <c r="M619"/>
  <c r="M620"/>
  <c r="M621"/>
  <c r="M622"/>
  <c r="M623"/>
  <c r="M624"/>
  <c r="M625"/>
  <c r="M626"/>
  <c r="M627"/>
  <c r="M628"/>
  <c r="M629"/>
  <c r="M630"/>
  <c r="M631"/>
  <c r="M632"/>
  <c r="M633"/>
  <c r="M634"/>
  <c r="M635"/>
  <c r="M636"/>
  <c r="M637"/>
  <c r="M638"/>
  <c r="M639"/>
  <c r="M640"/>
  <c r="M641"/>
  <c r="M642"/>
  <c r="M643"/>
  <c r="M644"/>
  <c r="M645"/>
  <c r="M646"/>
  <c r="M647"/>
  <c r="M648"/>
  <c r="M649"/>
  <c r="M650"/>
  <c r="M651"/>
  <c r="M652"/>
  <c r="M653"/>
  <c r="M654"/>
  <c r="M655"/>
  <c r="M656"/>
  <c r="M657"/>
  <c r="M658"/>
  <c r="M659"/>
  <c r="M660"/>
  <c r="M661"/>
  <c r="M662"/>
  <c r="M663"/>
  <c r="M664"/>
  <c r="M665"/>
  <c r="M666"/>
  <c r="M667"/>
  <c r="M668"/>
  <c r="M669"/>
  <c r="M670"/>
  <c r="M671"/>
  <c r="M672"/>
  <c r="M673"/>
  <c r="M674"/>
  <c r="M675"/>
  <c r="M676"/>
  <c r="M677"/>
  <c r="M678"/>
  <c r="M679"/>
  <c r="M680"/>
  <c r="M681"/>
  <c r="M682"/>
  <c r="M683"/>
  <c r="M684"/>
  <c r="M685"/>
  <c r="M686"/>
  <c r="M687"/>
  <c r="M688"/>
  <c r="M689"/>
  <c r="M690"/>
  <c r="M691"/>
  <c r="M692"/>
  <c r="M693"/>
  <c r="M694"/>
  <c r="M695"/>
  <c r="M696"/>
  <c r="M697"/>
  <c r="M698"/>
  <c r="M699"/>
  <c r="M700"/>
  <c r="M701"/>
  <c r="M702"/>
  <c r="M703"/>
  <c r="M704"/>
  <c r="M705"/>
  <c r="M706"/>
  <c r="M707"/>
  <c r="M708"/>
  <c r="M709"/>
  <c r="M710"/>
  <c r="M711"/>
  <c r="M712"/>
  <c r="M713"/>
  <c r="M714"/>
  <c r="M715"/>
  <c r="M716"/>
  <c r="M717"/>
  <c r="M718"/>
  <c r="M719"/>
  <c r="M720"/>
  <c r="M721"/>
  <c r="M722"/>
  <c r="M723"/>
  <c r="M724"/>
  <c r="M725"/>
  <c r="M726"/>
  <c r="M727"/>
  <c r="M728"/>
  <c r="M729"/>
  <c r="M730"/>
  <c r="M731"/>
  <c r="M732"/>
  <c r="M733"/>
  <c r="M734"/>
  <c r="M735"/>
  <c r="M736"/>
  <c r="M737"/>
  <c r="M738"/>
  <c r="M739"/>
  <c r="M740"/>
  <c r="M741"/>
  <c r="M742"/>
  <c r="M743"/>
  <c r="M744"/>
  <c r="M745"/>
  <c r="M746"/>
  <c r="M747"/>
  <c r="M748"/>
  <c r="M749"/>
  <c r="M750"/>
  <c r="M751"/>
  <c r="M752"/>
  <c r="M753"/>
  <c r="M754"/>
  <c r="M755"/>
  <c r="M756"/>
  <c r="M757"/>
  <c r="M758"/>
  <c r="M759"/>
  <c r="M760"/>
  <c r="M761"/>
  <c r="M762"/>
  <c r="M763"/>
  <c r="M764"/>
  <c r="M765"/>
  <c r="M766"/>
  <c r="M767"/>
  <c r="M768"/>
  <c r="M769"/>
  <c r="M770"/>
  <c r="M771"/>
  <c r="M772"/>
  <c r="M773"/>
  <c r="M774"/>
  <c r="M775"/>
  <c r="M776"/>
  <c r="M777"/>
  <c r="M778"/>
  <c r="M779"/>
  <c r="M780"/>
  <c r="M781"/>
  <c r="M782"/>
  <c r="M783"/>
  <c r="M784"/>
  <c r="M785"/>
  <c r="M786"/>
  <c r="M787"/>
  <c r="M788"/>
  <c r="M789"/>
  <c r="M790"/>
  <c r="M791"/>
  <c r="M792"/>
  <c r="M793"/>
  <c r="M794"/>
  <c r="M795"/>
  <c r="M796"/>
  <c r="M797"/>
  <c r="M798"/>
  <c r="M799"/>
  <c r="M800"/>
  <c r="M801"/>
  <c r="M802"/>
  <c r="M803"/>
  <c r="M804"/>
  <c r="M805"/>
  <c r="M806"/>
  <c r="M807"/>
  <c r="M808"/>
  <c r="M809"/>
  <c r="M810"/>
  <c r="M811"/>
  <c r="M812"/>
  <c r="M813"/>
  <c r="M814"/>
  <c r="M815"/>
  <c r="M816"/>
  <c r="M817"/>
  <c r="M818"/>
  <c r="M819"/>
  <c r="M820"/>
  <c r="M821"/>
  <c r="M822"/>
  <c r="M823"/>
  <c r="M824"/>
  <c r="M825"/>
  <c r="M826"/>
  <c r="M827"/>
  <c r="M828"/>
  <c r="M829"/>
  <c r="M830"/>
  <c r="M831"/>
  <c r="M832"/>
  <c r="M833"/>
  <c r="M834"/>
  <c r="M835"/>
  <c r="M836"/>
  <c r="M837"/>
  <c r="M838"/>
  <c r="M839"/>
  <c r="M840"/>
  <c r="M841"/>
  <c r="M842"/>
  <c r="M843"/>
  <c r="M844"/>
  <c r="M845"/>
  <c r="M846"/>
  <c r="M847"/>
  <c r="M848"/>
  <c r="M849"/>
  <c r="M850"/>
  <c r="M851"/>
  <c r="M852"/>
  <c r="M853"/>
  <c r="M854"/>
  <c r="M855"/>
  <c r="M856"/>
  <c r="M857"/>
  <c r="M858"/>
  <c r="M859"/>
  <c r="M860"/>
  <c r="M861"/>
  <c r="M862"/>
  <c r="M863"/>
  <c r="M864"/>
  <c r="M865"/>
  <c r="M866"/>
  <c r="M867"/>
  <c r="M868"/>
  <c r="M869"/>
  <c r="M870"/>
  <c r="M871"/>
  <c r="M872"/>
  <c r="M873"/>
  <c r="M874"/>
  <c r="M875"/>
  <c r="M876"/>
  <c r="M877"/>
  <c r="M878"/>
  <c r="M879"/>
  <c r="M880"/>
  <c r="M881"/>
  <c r="M882"/>
  <c r="M883"/>
  <c r="M884"/>
  <c r="M885"/>
  <c r="M886"/>
  <c r="M887"/>
  <c r="M888"/>
  <c r="M889"/>
  <c r="M890"/>
  <c r="M891"/>
  <c r="M892"/>
  <c r="M893"/>
  <c r="M894"/>
  <c r="M895"/>
  <c r="M896"/>
  <c r="M897"/>
  <c r="M898"/>
  <c r="M899"/>
  <c r="M900"/>
  <c r="M901"/>
  <c r="M902"/>
  <c r="M903"/>
  <c r="M904"/>
  <c r="M905"/>
  <c r="M906"/>
  <c r="M907"/>
  <c r="M908"/>
  <c r="M909"/>
  <c r="M910"/>
  <c r="M911"/>
  <c r="M912"/>
  <c r="M913"/>
  <c r="M914"/>
  <c r="M915"/>
  <c r="M916"/>
  <c r="M917"/>
  <c r="M918"/>
  <c r="M919"/>
  <c r="M920"/>
  <c r="M921"/>
  <c r="M922"/>
  <c r="M923"/>
  <c r="M924"/>
  <c r="M925"/>
  <c r="M926"/>
  <c r="M927"/>
  <c r="M928"/>
  <c r="M929"/>
  <c r="M930"/>
  <c r="M931"/>
  <c r="M932"/>
  <c r="M933"/>
  <c r="M934"/>
  <c r="M935"/>
  <c r="M936"/>
  <c r="M937"/>
  <c r="M938"/>
  <c r="M939"/>
  <c r="M940"/>
  <c r="M941"/>
  <c r="M942"/>
  <c r="M943"/>
  <c r="M944"/>
  <c r="M945"/>
  <c r="M946"/>
  <c r="M947"/>
  <c r="M948"/>
  <c r="M949"/>
  <c r="M950"/>
  <c r="M951"/>
  <c r="M952"/>
  <c r="M953"/>
  <c r="M954"/>
  <c r="M955"/>
  <c r="M956"/>
  <c r="M957"/>
  <c r="M958"/>
  <c r="M959"/>
  <c r="M960"/>
  <c r="M961"/>
  <c r="M962"/>
  <c r="M963"/>
  <c r="M964"/>
  <c r="M965"/>
  <c r="M966"/>
  <c r="M967"/>
  <c r="M968"/>
  <c r="M969"/>
  <c r="M970"/>
  <c r="M971"/>
  <c r="M972"/>
  <c r="M973"/>
  <c r="M974"/>
  <c r="M975"/>
  <c r="M976"/>
  <c r="M977"/>
  <c r="M978"/>
  <c r="M979"/>
  <c r="M980"/>
  <c r="M981"/>
  <c r="M982"/>
  <c r="M983"/>
  <c r="M984"/>
  <c r="M985"/>
  <c r="M986"/>
  <c r="M987"/>
  <c r="M988"/>
  <c r="M989"/>
  <c r="M990"/>
  <c r="M991"/>
  <c r="M992"/>
  <c r="M993"/>
  <c r="M994"/>
  <c r="M995"/>
  <c r="M996"/>
  <c r="M997"/>
  <c r="M998"/>
  <c r="M999"/>
  <c r="M1000"/>
  <c r="M1001"/>
  <c r="M1002"/>
  <c r="D3" i="2" l="1"/>
  <c r="E4"/>
  <c r="D7"/>
  <c r="F7" s="1"/>
  <c r="E9"/>
  <c r="D9"/>
  <c r="E10"/>
  <c r="D10"/>
  <c r="E8"/>
  <c r="D8"/>
  <c r="E3"/>
  <c r="D4"/>
  <c r="F4" s="1"/>
  <c r="D6"/>
  <c r="F6" s="1"/>
  <c r="F10"/>
  <c r="F5"/>
  <c r="F3" l="1"/>
  <c r="F9"/>
  <c r="F8"/>
</calcChain>
</file>

<file path=xl/sharedStrings.xml><?xml version="1.0" encoding="utf-8"?>
<sst xmlns="http://schemas.openxmlformats.org/spreadsheetml/2006/main" count="28175" uniqueCount="6108">
  <si>
    <t>Employee ID</t>
  </si>
  <si>
    <t>Full Name</t>
  </si>
  <si>
    <t>Gender</t>
  </si>
  <si>
    <t>DOB</t>
  </si>
  <si>
    <t>Join Date</t>
  </si>
  <si>
    <t>Department</t>
  </si>
  <si>
    <t>Position</t>
  </si>
  <si>
    <t>Status</t>
  </si>
  <si>
    <t>Email</t>
  </si>
  <si>
    <t>Phone</t>
  </si>
  <si>
    <t>EMP0001</t>
  </si>
  <si>
    <t>1988-05-25</t>
  </si>
  <si>
    <t>Prodction</t>
  </si>
  <si>
    <t>operator</t>
  </si>
  <si>
    <t>Active</t>
  </si>
  <si>
    <t>082188191195</t>
  </si>
  <si>
    <t>EMP0002</t>
  </si>
  <si>
    <t>Male</t>
  </si>
  <si>
    <t>1986-10-02</t>
  </si>
  <si>
    <t>Finace</t>
  </si>
  <si>
    <t>Finance Admin</t>
  </si>
  <si>
    <t>active</t>
  </si>
  <si>
    <t>EMP0003</t>
  </si>
  <si>
    <t>1994-10-02</t>
  </si>
  <si>
    <t>QC</t>
  </si>
  <si>
    <t>QC Inspector</t>
  </si>
  <si>
    <t>resigned</t>
  </si>
  <si>
    <t>088550888361</t>
  </si>
  <si>
    <t>EMP0004</t>
  </si>
  <si>
    <t>2003-05-04</t>
  </si>
  <si>
    <t>purchasing</t>
  </si>
  <si>
    <t>Purchasing Staff</t>
  </si>
  <si>
    <t>085713227015</t>
  </si>
  <si>
    <t>EMP0005</t>
  </si>
  <si>
    <t>male</t>
  </si>
  <si>
    <t>1997-11-23</t>
  </si>
  <si>
    <t>Operator</t>
  </si>
  <si>
    <t>080015675393</t>
  </si>
  <si>
    <t>EMP0006</t>
  </si>
  <si>
    <t>2002-06-16</t>
  </si>
  <si>
    <t>Engineering</t>
  </si>
  <si>
    <t>technician</t>
  </si>
  <si>
    <t>Resigned</t>
  </si>
  <si>
    <t>082274087008</t>
  </si>
  <si>
    <t>EMP0007</t>
  </si>
  <si>
    <t>1986-10-25</t>
  </si>
  <si>
    <t>qc inspector</t>
  </si>
  <si>
    <t>083226933728</t>
  </si>
  <si>
    <t>EMP0008</t>
  </si>
  <si>
    <t>1988-10-05</t>
  </si>
  <si>
    <t>ACTIVE</t>
  </si>
  <si>
    <t>087585339477</t>
  </si>
  <si>
    <t>EMP0009</t>
  </si>
  <si>
    <t>1993-10-27</t>
  </si>
  <si>
    <t>Marketing</t>
  </si>
  <si>
    <t>marketing staff</t>
  </si>
  <si>
    <t>Probation</t>
  </si>
  <si>
    <t>089883379308</t>
  </si>
  <si>
    <t>EMP0010</t>
  </si>
  <si>
    <t>Female</t>
  </si>
  <si>
    <t>1988-03-14</t>
  </si>
  <si>
    <t>Human Resource</t>
  </si>
  <si>
    <t>HR Staff</t>
  </si>
  <si>
    <t>085418191103</t>
  </si>
  <si>
    <t>EMP0011</t>
  </si>
  <si>
    <t>1998-03-28</t>
  </si>
  <si>
    <t>finance</t>
  </si>
  <si>
    <t>probation</t>
  </si>
  <si>
    <t>085944301279</t>
  </si>
  <si>
    <t>EMP0012</t>
  </si>
  <si>
    <t>1998-11-02</t>
  </si>
  <si>
    <t>Technician</t>
  </si>
  <si>
    <t>EMP0013</t>
  </si>
  <si>
    <t>2001-07-30</t>
  </si>
  <si>
    <t>engineering</t>
  </si>
  <si>
    <t>87480756904</t>
  </si>
  <si>
    <t>EMP0014</t>
  </si>
  <si>
    <t>female</t>
  </si>
  <si>
    <t>2003-10-12</t>
  </si>
  <si>
    <t>084798489654</t>
  </si>
  <si>
    <t>EMP0015</t>
  </si>
  <si>
    <t>1999-06-16</t>
  </si>
  <si>
    <t>hr</t>
  </si>
  <si>
    <t>EMP0016</t>
  </si>
  <si>
    <t>2004-01-02</t>
  </si>
  <si>
    <t>Warehouse</t>
  </si>
  <si>
    <t>warehouse staff</t>
  </si>
  <si>
    <t>080556387310</t>
  </si>
  <si>
    <t>EMP0017</t>
  </si>
  <si>
    <t>1987-11-16</t>
  </si>
  <si>
    <t>085278436321</t>
  </si>
  <si>
    <t>EMP0018</t>
  </si>
  <si>
    <t>1986-04-13</t>
  </si>
  <si>
    <t>it</t>
  </si>
  <si>
    <t>it support</t>
  </si>
  <si>
    <t>086137380821</t>
  </si>
  <si>
    <t>EMP0019</t>
  </si>
  <si>
    <t>1999-07-15</t>
  </si>
  <si>
    <t>hr staff</t>
  </si>
  <si>
    <t>085740892375</t>
  </si>
  <si>
    <t>EMP0020</t>
  </si>
  <si>
    <t>2000-07-25</t>
  </si>
  <si>
    <t>marketing</t>
  </si>
  <si>
    <t>087056427531</t>
  </si>
  <si>
    <t>EMP0021</t>
  </si>
  <si>
    <t>1994-07-20</t>
  </si>
  <si>
    <t>081418040871</t>
  </si>
  <si>
    <t>EMP0022</t>
  </si>
  <si>
    <t>1987-09-27</t>
  </si>
  <si>
    <t>087596693717</t>
  </si>
  <si>
    <t>EMP0023</t>
  </si>
  <si>
    <t>1985-08-16</t>
  </si>
  <si>
    <t>084236403700</t>
  </si>
  <si>
    <t>EMP0024</t>
  </si>
  <si>
    <t>1985-06-30</t>
  </si>
  <si>
    <t>purchasing staff</t>
  </si>
  <si>
    <t>089977416966</t>
  </si>
  <si>
    <t>EMP0025</t>
  </si>
  <si>
    <t>1995-05-03</t>
  </si>
  <si>
    <t>warehouse</t>
  </si>
  <si>
    <t>Warehouse Staff</t>
  </si>
  <si>
    <t>085419858274</t>
  </si>
  <si>
    <t>EMP0026</t>
  </si>
  <si>
    <t>1985-03-02</t>
  </si>
  <si>
    <t>084291820015</t>
  </si>
  <si>
    <t>EMP0027</t>
  </si>
  <si>
    <t>1994-02-13</t>
  </si>
  <si>
    <t>085701851280</t>
  </si>
  <si>
    <t>EMP0028</t>
  </si>
  <si>
    <t>1997-05-20</t>
  </si>
  <si>
    <t>finance admin</t>
  </si>
  <si>
    <t>088403857882</t>
  </si>
  <si>
    <t>EMP0029</t>
  </si>
  <si>
    <t>1994-01-20</t>
  </si>
  <si>
    <t>087137516884</t>
  </si>
  <si>
    <t>EMP0030</t>
  </si>
  <si>
    <t>1996-08-24</t>
  </si>
  <si>
    <t>085431036796</t>
  </si>
  <si>
    <t>EMP0031</t>
  </si>
  <si>
    <t>1999-01-18</t>
  </si>
  <si>
    <t>Marketing Staff</t>
  </si>
  <si>
    <t>86879016495</t>
  </si>
  <si>
    <t>EMP0032</t>
  </si>
  <si>
    <t>2000-09-27</t>
  </si>
  <si>
    <t>Quality Control</t>
  </si>
  <si>
    <t>081775706565</t>
  </si>
  <si>
    <t>EMP0033</t>
  </si>
  <si>
    <t>2003-03-18</t>
  </si>
  <si>
    <t>083582405884</t>
  </si>
  <si>
    <t>EMP0034</t>
  </si>
  <si>
    <t>1997-03-26</t>
  </si>
  <si>
    <t>89475551432</t>
  </si>
  <si>
    <t>EMP0035</t>
  </si>
  <si>
    <t>2003-06-21</t>
  </si>
  <si>
    <t>87146296583</t>
  </si>
  <si>
    <t>EMP0036</t>
  </si>
  <si>
    <t>2000-04-04</t>
  </si>
  <si>
    <t>80650130549</t>
  </si>
  <si>
    <t>EMP0037</t>
  </si>
  <si>
    <t>1989-11-04</t>
  </si>
  <si>
    <t>production</t>
  </si>
  <si>
    <t>086508782132</t>
  </si>
  <si>
    <t>EMP0038</t>
  </si>
  <si>
    <t>2001-03-09</t>
  </si>
  <si>
    <t>EMP0039</t>
  </si>
  <si>
    <t>2004-01-25</t>
  </si>
  <si>
    <t>086460584576</t>
  </si>
  <si>
    <t>EMP0040</t>
  </si>
  <si>
    <t>1988-01-26</t>
  </si>
  <si>
    <t>088873927718</t>
  </si>
  <si>
    <t>EMP0041</t>
  </si>
  <si>
    <t>1987-11-24</t>
  </si>
  <si>
    <t>HR</t>
  </si>
  <si>
    <t>85636332286</t>
  </si>
  <si>
    <t>EMP0042</t>
  </si>
  <si>
    <t>1990-05-01</t>
  </si>
  <si>
    <t>082626918134</t>
  </si>
  <si>
    <t>EMP0043</t>
  </si>
  <si>
    <t>1990-01-10</t>
  </si>
  <si>
    <t>Production</t>
  </si>
  <si>
    <t>084739492257</t>
  </si>
  <si>
    <t>EMP0044</t>
  </si>
  <si>
    <t>1987-01-08</t>
  </si>
  <si>
    <t>086451989393</t>
  </si>
  <si>
    <t>EMP0045</t>
  </si>
  <si>
    <t>1989-12-22</t>
  </si>
  <si>
    <t>084176066224</t>
  </si>
  <si>
    <t>EMP0046</t>
  </si>
  <si>
    <t>1996-10-18</t>
  </si>
  <si>
    <t>082084751572</t>
  </si>
  <si>
    <t>EMP0047</t>
  </si>
  <si>
    <t>1993-10-06</t>
  </si>
  <si>
    <t>086743969318</t>
  </si>
  <si>
    <t>EMP0048</t>
  </si>
  <si>
    <t>1985-02-11</t>
  </si>
  <si>
    <t>083285892002</t>
  </si>
  <si>
    <t>EMP0049</t>
  </si>
  <si>
    <t>1997-12-25</t>
  </si>
  <si>
    <t>Finance</t>
  </si>
  <si>
    <t>086710387241</t>
  </si>
  <si>
    <t>EMP0050</t>
  </si>
  <si>
    <t>1995-08-14</t>
  </si>
  <si>
    <t>082425208158</t>
  </si>
  <si>
    <t>EMP0051</t>
  </si>
  <si>
    <t>2002/06/07</t>
  </si>
  <si>
    <t>085853897382</t>
  </si>
  <si>
    <t>1990-07-04</t>
  </si>
  <si>
    <t>Purchasing</t>
  </si>
  <si>
    <t>082967656623</t>
  </si>
  <si>
    <t>EMP0053</t>
  </si>
  <si>
    <t>2000-02-09</t>
  </si>
  <si>
    <t>085855267614</t>
  </si>
  <si>
    <t>2002/01/14</t>
  </si>
  <si>
    <t>089326367902</t>
  </si>
  <si>
    <t>EMP0055</t>
  </si>
  <si>
    <t>2000-12-11</t>
  </si>
  <si>
    <t>IT</t>
  </si>
  <si>
    <t>IT Support</t>
  </si>
  <si>
    <t>087568168986</t>
  </si>
  <si>
    <t>1996-06-14</t>
  </si>
  <si>
    <t>087271267681</t>
  </si>
  <si>
    <t>EMP0057</t>
  </si>
  <si>
    <t>2002-04-10</t>
  </si>
  <si>
    <t>084633059082</t>
  </si>
  <si>
    <t>EMP0058</t>
  </si>
  <si>
    <t>1988/08/24</t>
  </si>
  <si>
    <t>086957931301</t>
  </si>
  <si>
    <t>EMP0059</t>
  </si>
  <si>
    <t>1987-09-06</t>
  </si>
  <si>
    <t>084846589712</t>
  </si>
  <si>
    <t>EMP0060</t>
  </si>
  <si>
    <t>1989-03-29</t>
  </si>
  <si>
    <t>088701669874</t>
  </si>
  <si>
    <t>EMP0061</t>
  </si>
  <si>
    <t>1992-05-12</t>
  </si>
  <si>
    <t>085800467107</t>
  </si>
  <si>
    <t>EMP0062</t>
  </si>
  <si>
    <t>1992-10-11</t>
  </si>
  <si>
    <t>084247612506</t>
  </si>
  <si>
    <t>EMP0063</t>
  </si>
  <si>
    <t>1987/04/11</t>
  </si>
  <si>
    <t>085663466221</t>
  </si>
  <si>
    <t>EMP0064</t>
  </si>
  <si>
    <t>1993-07-26</t>
  </si>
  <si>
    <t>082791580056</t>
  </si>
  <si>
    <t>EMP0065</t>
  </si>
  <si>
    <t>1990-03-24</t>
  </si>
  <si>
    <t>081129466478</t>
  </si>
  <si>
    <t>EMP0066</t>
  </si>
  <si>
    <t>1989-03-18</t>
  </si>
  <si>
    <t>081629677537</t>
  </si>
  <si>
    <t>EMP0067</t>
  </si>
  <si>
    <t>1998-06-19</t>
  </si>
  <si>
    <t>082454429356</t>
  </si>
  <si>
    <t>EMP0068</t>
  </si>
  <si>
    <t>1986-06-11</t>
  </si>
  <si>
    <t>082198448957</t>
  </si>
  <si>
    <t>EMP0069</t>
  </si>
  <si>
    <t>2001-11-04</t>
  </si>
  <si>
    <t>086925636611</t>
  </si>
  <si>
    <t>EMP0070</t>
  </si>
  <si>
    <t>1988-11-01</t>
  </si>
  <si>
    <t>080685453445</t>
  </si>
  <si>
    <t>EMP0071</t>
  </si>
  <si>
    <t>1999-08-23</t>
  </si>
  <si>
    <t>EMP0072</t>
  </si>
  <si>
    <t>1993-09-06</t>
  </si>
  <si>
    <t>086944276726</t>
  </si>
  <si>
    <t>EMP0073</t>
  </si>
  <si>
    <t>1996-01-26</t>
  </si>
  <si>
    <t>082354936722</t>
  </si>
  <si>
    <t>EMP0074</t>
  </si>
  <si>
    <t>2002-08-22</t>
  </si>
  <si>
    <t>081052279862</t>
  </si>
  <si>
    <t>EMP0075</t>
  </si>
  <si>
    <t>2003-10-22</t>
  </si>
  <si>
    <t>083515663912</t>
  </si>
  <si>
    <t>EMP0076</t>
  </si>
  <si>
    <t>1995-08-05</t>
  </si>
  <si>
    <t>084424934801</t>
  </si>
  <si>
    <t>EMP0077</t>
  </si>
  <si>
    <t>1996-07-24</t>
  </si>
  <si>
    <t>088492207423</t>
  </si>
  <si>
    <t>EMP0078</t>
  </si>
  <si>
    <t>1990-01-01</t>
  </si>
  <si>
    <t>EMP0079</t>
  </si>
  <si>
    <t>1993/11/27</t>
  </si>
  <si>
    <t>84236884910</t>
  </si>
  <si>
    <t>1990-01-05</t>
  </si>
  <si>
    <t>087125018420</t>
  </si>
  <si>
    <t>EMP0081</t>
  </si>
  <si>
    <t>2003-12-11</t>
  </si>
  <si>
    <t>083529677134</t>
  </si>
  <si>
    <t>EMP0082</t>
  </si>
  <si>
    <t>1985-06-09</t>
  </si>
  <si>
    <t>081728334904</t>
  </si>
  <si>
    <t>EMP0083</t>
  </si>
  <si>
    <t>1986-04-28</t>
  </si>
  <si>
    <t>089098975533</t>
  </si>
  <si>
    <t>EMP0084</t>
  </si>
  <si>
    <t>2003-11-19</t>
  </si>
  <si>
    <t>082773814282</t>
  </si>
  <si>
    <t>EMP0085</t>
  </si>
  <si>
    <t>1996-05-25</t>
  </si>
  <si>
    <t>EMP0086</t>
  </si>
  <si>
    <t>1998-11-24</t>
  </si>
  <si>
    <t>082876489069</t>
  </si>
  <si>
    <t>EMP0087</t>
  </si>
  <si>
    <t>1995-07-24</t>
  </si>
  <si>
    <t>080083620338</t>
  </si>
  <si>
    <t>EMP0088</t>
  </si>
  <si>
    <t>2002-12-08</t>
  </si>
  <si>
    <t>080361557947</t>
  </si>
  <si>
    <t>1993-09-15</t>
  </si>
  <si>
    <t>EMP0090</t>
  </si>
  <si>
    <t>1999-01-25</t>
  </si>
  <si>
    <t>088804434111</t>
  </si>
  <si>
    <t>EMP0091</t>
  </si>
  <si>
    <t>1986/03/23</t>
  </si>
  <si>
    <t>086393498031</t>
  </si>
  <si>
    <t>EMP0092</t>
  </si>
  <si>
    <t>2002-04-03</t>
  </si>
  <si>
    <t>089337550722</t>
  </si>
  <si>
    <t>EMP0093</t>
  </si>
  <si>
    <t>1988-11-14</t>
  </si>
  <si>
    <t>085159161376</t>
  </si>
  <si>
    <t>EMP0094</t>
  </si>
  <si>
    <t>1992-10-01</t>
  </si>
  <si>
    <t>084680353271</t>
  </si>
  <si>
    <t>EMP0095</t>
  </si>
  <si>
    <t>1995/07/22</t>
  </si>
  <si>
    <t>080549868671</t>
  </si>
  <si>
    <t>EMP0096</t>
  </si>
  <si>
    <t>1991-03-01</t>
  </si>
  <si>
    <t>89133580201</t>
  </si>
  <si>
    <t>EMP0097</t>
  </si>
  <si>
    <t>1999/10/19</t>
  </si>
  <si>
    <t>081049312552</t>
  </si>
  <si>
    <t>EMP0098</t>
  </si>
  <si>
    <t>1990-11-29</t>
  </si>
  <si>
    <t>086771796215</t>
  </si>
  <si>
    <t>EMP0099</t>
  </si>
  <si>
    <t>1985-05-18</t>
  </si>
  <si>
    <t>82274534759</t>
  </si>
  <si>
    <t>EMP0100</t>
  </si>
  <si>
    <t>1989/03/02</t>
  </si>
  <si>
    <t>082065990266</t>
  </si>
  <si>
    <t>EMP0101</t>
  </si>
  <si>
    <t>1993/09/05</t>
  </si>
  <si>
    <t>081638057793</t>
  </si>
  <si>
    <t>EMP0102</t>
  </si>
  <si>
    <t>1986-11-26</t>
  </si>
  <si>
    <t>087738020218</t>
  </si>
  <si>
    <t>EMP0103</t>
  </si>
  <si>
    <t>1992-05-18</t>
  </si>
  <si>
    <t>083493161963</t>
  </si>
  <si>
    <t>EMP0104</t>
  </si>
  <si>
    <t>1989-02-17</t>
  </si>
  <si>
    <t>082613151224</t>
  </si>
  <si>
    <t>EMP0105</t>
  </si>
  <si>
    <t>084719932746</t>
  </si>
  <si>
    <t>EMP0106</t>
  </si>
  <si>
    <t>087950986555</t>
  </si>
  <si>
    <t>EMP0107</t>
  </si>
  <si>
    <t>1985-02-08</t>
  </si>
  <si>
    <t>088885842906</t>
  </si>
  <si>
    <t>EMP0108</t>
  </si>
  <si>
    <t>1986/11/11</t>
  </si>
  <si>
    <t>083569004708</t>
  </si>
  <si>
    <t>EMP0109</t>
  </si>
  <si>
    <t>2004-02-29</t>
  </si>
  <si>
    <t>086262055874</t>
  </si>
  <si>
    <t>EMP0110</t>
  </si>
  <si>
    <t>1986-04-20</t>
  </si>
  <si>
    <t>084197987717</t>
  </si>
  <si>
    <t>EMP0111</t>
  </si>
  <si>
    <t>1999-12-04</t>
  </si>
  <si>
    <t>080514331296</t>
  </si>
  <si>
    <t>EMP0112</t>
  </si>
  <si>
    <t>1993-07-01</t>
  </si>
  <si>
    <t>084172630598</t>
  </si>
  <si>
    <t>EMP0113</t>
  </si>
  <si>
    <t>1991-07-12</t>
  </si>
  <si>
    <t>082913790841</t>
  </si>
  <si>
    <t>EMP0114</t>
  </si>
  <si>
    <t>2000-07-26</t>
  </si>
  <si>
    <t>085018323931</t>
  </si>
  <si>
    <t>EMP0115</t>
  </si>
  <si>
    <t>2001-03-16</t>
  </si>
  <si>
    <t>1997-05-21</t>
  </si>
  <si>
    <t>81941365199</t>
  </si>
  <si>
    <t>EMP0117</t>
  </si>
  <si>
    <t>1987-01-25</t>
  </si>
  <si>
    <t>082104364954</t>
  </si>
  <si>
    <t>EMP0118</t>
  </si>
  <si>
    <t>1993-09-09</t>
  </si>
  <si>
    <t>086559762033</t>
  </si>
  <si>
    <t>EMP0119</t>
  </si>
  <si>
    <t>1994-08-07</t>
  </si>
  <si>
    <t>080752089213</t>
  </si>
  <si>
    <t>EMP0120</t>
  </si>
  <si>
    <t>1994-10-20</t>
  </si>
  <si>
    <t>089265929501</t>
  </si>
  <si>
    <t>EMP0121</t>
  </si>
  <si>
    <t>1986-06-17</t>
  </si>
  <si>
    <t>082824785186</t>
  </si>
  <si>
    <t>EMP0122</t>
  </si>
  <si>
    <t>1995-06-11</t>
  </si>
  <si>
    <t>089965861330</t>
  </si>
  <si>
    <t>EMP0123</t>
  </si>
  <si>
    <t>1989-11-27</t>
  </si>
  <si>
    <t>EMP0124</t>
  </si>
  <si>
    <t>1991-08-03</t>
  </si>
  <si>
    <t>084191247802</t>
  </si>
  <si>
    <t>EMP0125</t>
  </si>
  <si>
    <t>1995-08-07</t>
  </si>
  <si>
    <t>082940326329</t>
  </si>
  <si>
    <t>EMP0126</t>
  </si>
  <si>
    <t>1997/07/26</t>
  </si>
  <si>
    <t>82102612193</t>
  </si>
  <si>
    <t>1991-10-26</t>
  </si>
  <si>
    <t>EMP0128</t>
  </si>
  <si>
    <t>2000-12-27</t>
  </si>
  <si>
    <t>082635081873</t>
  </si>
  <si>
    <t>1996-12-26</t>
  </si>
  <si>
    <t>088933868092</t>
  </si>
  <si>
    <t>EMP0130</t>
  </si>
  <si>
    <t>2002-10-25</t>
  </si>
  <si>
    <t>085493560022</t>
  </si>
  <si>
    <t>EMP0131</t>
  </si>
  <si>
    <t>2003-04-06</t>
  </si>
  <si>
    <t>087827766076</t>
  </si>
  <si>
    <t>EMP0132</t>
  </si>
  <si>
    <t>2003-09-26</t>
  </si>
  <si>
    <t>083069540028</t>
  </si>
  <si>
    <t>EMP0133</t>
  </si>
  <si>
    <t>1992-09-22</t>
  </si>
  <si>
    <t>085794523761</t>
  </si>
  <si>
    <t>EMP0134</t>
  </si>
  <si>
    <t>1992-05-13</t>
  </si>
  <si>
    <t>EMP0135</t>
  </si>
  <si>
    <t>2000-09-07</t>
  </si>
  <si>
    <t>088375734850</t>
  </si>
  <si>
    <t>EMP0136</t>
  </si>
  <si>
    <t>1988-02-19</t>
  </si>
  <si>
    <t>084665500406</t>
  </si>
  <si>
    <t>EMP0137</t>
  </si>
  <si>
    <t>1987-08-26</t>
  </si>
  <si>
    <t>082870294285</t>
  </si>
  <si>
    <t>EMP0138</t>
  </si>
  <si>
    <t>1998-01-25</t>
  </si>
  <si>
    <t>088362340887</t>
  </si>
  <si>
    <t>EMP0139</t>
  </si>
  <si>
    <t>1991-09-16</t>
  </si>
  <si>
    <t>085111368796</t>
  </si>
  <si>
    <t>EMP0140</t>
  </si>
  <si>
    <t>1985-04-21</t>
  </si>
  <si>
    <t>088499097733</t>
  </si>
  <si>
    <t>EMP0141</t>
  </si>
  <si>
    <t>1989-09-07</t>
  </si>
  <si>
    <t>087974595486</t>
  </si>
  <si>
    <t>EMP0142</t>
  </si>
  <si>
    <t>1998-12-18</t>
  </si>
  <si>
    <t>089166006042</t>
  </si>
  <si>
    <t>EMP0143</t>
  </si>
  <si>
    <t>1997-11-18</t>
  </si>
  <si>
    <t>088279748493</t>
  </si>
  <si>
    <t>EMP0144</t>
  </si>
  <si>
    <t>1988-04-05</t>
  </si>
  <si>
    <t>083778725832</t>
  </si>
  <si>
    <t>EMP0145</t>
  </si>
  <si>
    <t>2003/08/12</t>
  </si>
  <si>
    <t>080649427962</t>
  </si>
  <si>
    <t>EMP0146</t>
  </si>
  <si>
    <t>1997-11-13</t>
  </si>
  <si>
    <t>085368578737</t>
  </si>
  <si>
    <t>EMP0147</t>
  </si>
  <si>
    <t>1994-11-12</t>
  </si>
  <si>
    <t>084830286333</t>
  </si>
  <si>
    <t>EMP0148</t>
  </si>
  <si>
    <t>1985-12-06</t>
  </si>
  <si>
    <t>080677650320</t>
  </si>
  <si>
    <t>EMP0149</t>
  </si>
  <si>
    <t>1997-08-08</t>
  </si>
  <si>
    <t>087067563633</t>
  </si>
  <si>
    <t>EMP0150</t>
  </si>
  <si>
    <t>1990-08-16</t>
  </si>
  <si>
    <t>080222482162</t>
  </si>
  <si>
    <t>EMP0151</t>
  </si>
  <si>
    <t>2003-05-25</t>
  </si>
  <si>
    <t>089748802594</t>
  </si>
  <si>
    <t>EMP0152</t>
  </si>
  <si>
    <t>1985-08-21</t>
  </si>
  <si>
    <t>086176764120</t>
  </si>
  <si>
    <t>EMP0153</t>
  </si>
  <si>
    <t>1990/10/09</t>
  </si>
  <si>
    <t>086793761594</t>
  </si>
  <si>
    <t>EMP0154</t>
  </si>
  <si>
    <t>1988-01-17</t>
  </si>
  <si>
    <t>082348105181</t>
  </si>
  <si>
    <t>EMP0155</t>
  </si>
  <si>
    <t>2002/08/19</t>
  </si>
  <si>
    <t>089785724196</t>
  </si>
  <si>
    <t>EMP0156</t>
  </si>
  <si>
    <t>1985-12-26</t>
  </si>
  <si>
    <t>089881253114</t>
  </si>
  <si>
    <t>EMP0157</t>
  </si>
  <si>
    <t>1988/03/16</t>
  </si>
  <si>
    <t>EMP0158</t>
  </si>
  <si>
    <t>1988-03-28</t>
  </si>
  <si>
    <t>080096953432</t>
  </si>
  <si>
    <t>EMP0159</t>
  </si>
  <si>
    <t>2000-10-11</t>
  </si>
  <si>
    <t>088492264330</t>
  </si>
  <si>
    <t>EMP0160</t>
  </si>
  <si>
    <t>2004-01-27</t>
  </si>
  <si>
    <t>086576856897</t>
  </si>
  <si>
    <t>EMP0161</t>
  </si>
  <si>
    <t>2003-10-02</t>
  </si>
  <si>
    <t>EMP0162</t>
  </si>
  <si>
    <t>1985-04-26</t>
  </si>
  <si>
    <t>80126343551</t>
  </si>
  <si>
    <t>EMP0163</t>
  </si>
  <si>
    <t>1991-10-03</t>
  </si>
  <si>
    <t>083563092361</t>
  </si>
  <si>
    <t>EMP0164</t>
  </si>
  <si>
    <t>1996-07-09</t>
  </si>
  <si>
    <t>089683657517</t>
  </si>
  <si>
    <t>EMP0165</t>
  </si>
  <si>
    <t>1998-01-17</t>
  </si>
  <si>
    <t>83254998230</t>
  </si>
  <si>
    <t>EMP0166</t>
  </si>
  <si>
    <t>1994-02-15</t>
  </si>
  <si>
    <t>085069327482</t>
  </si>
  <si>
    <t>EMP0167</t>
  </si>
  <si>
    <t>1996-06-11</t>
  </si>
  <si>
    <t>083968334425</t>
  </si>
  <si>
    <t>EMP0168</t>
  </si>
  <si>
    <t>2000-07-10</t>
  </si>
  <si>
    <t>EMP0169</t>
  </si>
  <si>
    <t>1995/03/20</t>
  </si>
  <si>
    <t>087316097167</t>
  </si>
  <si>
    <t>EMP0170</t>
  </si>
  <si>
    <t>1991-09-28</t>
  </si>
  <si>
    <t>083960626749</t>
  </si>
  <si>
    <t>EMP0171</t>
  </si>
  <si>
    <t>1997-08-28</t>
  </si>
  <si>
    <t>089677465415</t>
  </si>
  <si>
    <t>EMP0172</t>
  </si>
  <si>
    <t>1998-12-15</t>
  </si>
  <si>
    <t>082083313264</t>
  </si>
  <si>
    <t>EMP0173</t>
  </si>
  <si>
    <t>1986-04-03</t>
  </si>
  <si>
    <t>83317041046</t>
  </si>
  <si>
    <t>EMP0174</t>
  </si>
  <si>
    <t>1991-12-24</t>
  </si>
  <si>
    <t>083771735539</t>
  </si>
  <si>
    <t>EMP0175</t>
  </si>
  <si>
    <t>1999-08-16</t>
  </si>
  <si>
    <t>2002-08-07</t>
  </si>
  <si>
    <t>088192048658</t>
  </si>
  <si>
    <t>EMP0177</t>
  </si>
  <si>
    <t>1986-09-13</t>
  </si>
  <si>
    <t>082333826760</t>
  </si>
  <si>
    <t>EMP0178</t>
  </si>
  <si>
    <t>1997-12-28</t>
  </si>
  <si>
    <t>080904867517</t>
  </si>
  <si>
    <t>EMP0179</t>
  </si>
  <si>
    <t>1997-06-27</t>
  </si>
  <si>
    <t>085085830341</t>
  </si>
  <si>
    <t>EMP0180</t>
  </si>
  <si>
    <t>1996-12-24</t>
  </si>
  <si>
    <t>088926642021</t>
  </si>
  <si>
    <t>EMP0181</t>
  </si>
  <si>
    <t>1986-05-27</t>
  </si>
  <si>
    <t>087849737440</t>
  </si>
  <si>
    <t>EMP0182</t>
  </si>
  <si>
    <t>1985-08-13</t>
  </si>
  <si>
    <t>080327938947</t>
  </si>
  <si>
    <t>EMP0183</t>
  </si>
  <si>
    <t>2000-10-21</t>
  </si>
  <si>
    <t>082584753759</t>
  </si>
  <si>
    <t>EMP0184</t>
  </si>
  <si>
    <t>1992-11-14</t>
  </si>
  <si>
    <t>086353185776</t>
  </si>
  <si>
    <t>EMP0185</t>
  </si>
  <si>
    <t>1988/08/18</t>
  </si>
  <si>
    <t>083020293852</t>
  </si>
  <si>
    <t>EMP0186</t>
  </si>
  <si>
    <t>1993-05-10</t>
  </si>
  <si>
    <t>082376334892</t>
  </si>
  <si>
    <t>EMP0187</t>
  </si>
  <si>
    <t>1996-04-03</t>
  </si>
  <si>
    <t>86593252106</t>
  </si>
  <si>
    <t>EMP0188</t>
  </si>
  <si>
    <t>1994-05-23</t>
  </si>
  <si>
    <t>087640417872</t>
  </si>
  <si>
    <t>EMP0189</t>
  </si>
  <si>
    <t>1986-05-28</t>
  </si>
  <si>
    <t>080648538826</t>
  </si>
  <si>
    <t>EMP0190</t>
  </si>
  <si>
    <t>1994-06-07</t>
  </si>
  <si>
    <t>084444910257</t>
  </si>
  <si>
    <t>EMP0191</t>
  </si>
  <si>
    <t>1985-11-05</t>
  </si>
  <si>
    <t>086036752515</t>
  </si>
  <si>
    <t>EMP0192</t>
  </si>
  <si>
    <t>1989-05-24</t>
  </si>
  <si>
    <t>085941668963</t>
  </si>
  <si>
    <t>EMP0193</t>
  </si>
  <si>
    <t>1985-02-23</t>
  </si>
  <si>
    <t>082821076136</t>
  </si>
  <si>
    <t>EMP0194</t>
  </si>
  <si>
    <t>2001-05-15</t>
  </si>
  <si>
    <t>086276420087</t>
  </si>
  <si>
    <t>EMP0195</t>
  </si>
  <si>
    <t>1995-11-03</t>
  </si>
  <si>
    <t>088018470946</t>
  </si>
  <si>
    <t>EMP0196</t>
  </si>
  <si>
    <t>1988-07-06</t>
  </si>
  <si>
    <t>087849774444</t>
  </si>
  <si>
    <t>EMP0197</t>
  </si>
  <si>
    <t>1991-07-07</t>
  </si>
  <si>
    <t>087998291028</t>
  </si>
  <si>
    <t>EMP0198</t>
  </si>
  <si>
    <t>2001-01-24</t>
  </si>
  <si>
    <t>081391052764</t>
  </si>
  <si>
    <t>EMP0199</t>
  </si>
  <si>
    <t>1999-11-24</t>
  </si>
  <si>
    <t>087653690003</t>
  </si>
  <si>
    <t>EMP0200</t>
  </si>
  <si>
    <t>1998-11-05</t>
  </si>
  <si>
    <t>088087005974</t>
  </si>
  <si>
    <t>EMP0201</t>
  </si>
  <si>
    <t>1990-03-15</t>
  </si>
  <si>
    <t>81281889962</t>
  </si>
  <si>
    <t>EMP0202</t>
  </si>
  <si>
    <t>1996-10-26</t>
  </si>
  <si>
    <t>082513621873</t>
  </si>
  <si>
    <t>EMP0203</t>
  </si>
  <si>
    <t>1997-03-25</t>
  </si>
  <si>
    <t>083367478357</t>
  </si>
  <si>
    <t>EMP0204</t>
  </si>
  <si>
    <t>2003-03-03</t>
  </si>
  <si>
    <t>80493094292</t>
  </si>
  <si>
    <t>EMP0205</t>
  </si>
  <si>
    <t>1995/09/11</t>
  </si>
  <si>
    <t>083694878858</t>
  </si>
  <si>
    <t>EMP0206</t>
  </si>
  <si>
    <t>1987-08-24</t>
  </si>
  <si>
    <t>083401117691</t>
  </si>
  <si>
    <t>EMP0207</t>
  </si>
  <si>
    <t>2002-08-28</t>
  </si>
  <si>
    <t>085649407257</t>
  </si>
  <si>
    <t>EMP0208</t>
  </si>
  <si>
    <t>2001-10-31</t>
  </si>
  <si>
    <t>086639118590</t>
  </si>
  <si>
    <t>EMP0209</t>
  </si>
  <si>
    <t>1999-01-27</t>
  </si>
  <si>
    <t>089421192674</t>
  </si>
  <si>
    <t>EMP0210</t>
  </si>
  <si>
    <t>1995-02-10</t>
  </si>
  <si>
    <t>084640460500</t>
  </si>
  <si>
    <t>EMP0211</t>
  </si>
  <si>
    <t>1987-05-06</t>
  </si>
  <si>
    <t>080585238873</t>
  </si>
  <si>
    <t>EMP0212</t>
  </si>
  <si>
    <t>2001-01-09</t>
  </si>
  <si>
    <t>082648773684</t>
  </si>
  <si>
    <t>EMP0213</t>
  </si>
  <si>
    <t>1996-03-24</t>
  </si>
  <si>
    <t>085055845495</t>
  </si>
  <si>
    <t>EMP0214</t>
  </si>
  <si>
    <t>1995-07-01</t>
  </si>
  <si>
    <t>083299186976</t>
  </si>
  <si>
    <t>EMP0215</t>
  </si>
  <si>
    <t>2002-08-12</t>
  </si>
  <si>
    <t>085291245465</t>
  </si>
  <si>
    <t>EMP0216</t>
  </si>
  <si>
    <t>1990-07-15</t>
  </si>
  <si>
    <t>089548676531</t>
  </si>
  <si>
    <t>EMP0217</t>
  </si>
  <si>
    <t>2000-11-09</t>
  </si>
  <si>
    <t>089336842967</t>
  </si>
  <si>
    <t>EMP0218</t>
  </si>
  <si>
    <t>1992-11-15</t>
  </si>
  <si>
    <t>086236445006</t>
  </si>
  <si>
    <t>EMP0219</t>
  </si>
  <si>
    <t>1987-12-07</t>
  </si>
  <si>
    <t>082703604408</t>
  </si>
  <si>
    <t>EMP0220</t>
  </si>
  <si>
    <t>2001-07-12</t>
  </si>
  <si>
    <t>088210644596</t>
  </si>
  <si>
    <t>EMP0221</t>
  </si>
  <si>
    <t>1987-07-27</t>
  </si>
  <si>
    <t>089652083675</t>
  </si>
  <si>
    <t>1999-09-30</t>
  </si>
  <si>
    <t>089303531056</t>
  </si>
  <si>
    <t>EMP0223</t>
  </si>
  <si>
    <t>1997-01-06</t>
  </si>
  <si>
    <t>087002089046</t>
  </si>
  <si>
    <t>EMP0224</t>
  </si>
  <si>
    <t>2003-07-09</t>
  </si>
  <si>
    <t>087434160593</t>
  </si>
  <si>
    <t>EMP0225</t>
  </si>
  <si>
    <t>1997/03/19</t>
  </si>
  <si>
    <t>084665379821</t>
  </si>
  <si>
    <t>EMP0226</t>
  </si>
  <si>
    <t>1993-11-23</t>
  </si>
  <si>
    <t>088221674427</t>
  </si>
  <si>
    <t>EMP0227</t>
  </si>
  <si>
    <t>1999-01-05</t>
  </si>
  <si>
    <t>084893074751</t>
  </si>
  <si>
    <t>EMP0228</t>
  </si>
  <si>
    <t>1996-06-24</t>
  </si>
  <si>
    <t>EMP0229</t>
  </si>
  <si>
    <t>1990-10-24</t>
  </si>
  <si>
    <t>088036018550</t>
  </si>
  <si>
    <t>EMP0230</t>
  </si>
  <si>
    <t>1993-02-02</t>
  </si>
  <si>
    <t>086800942032</t>
  </si>
  <si>
    <t>EMP0231</t>
  </si>
  <si>
    <t>1991-09-15</t>
  </si>
  <si>
    <t>EMP0232</t>
  </si>
  <si>
    <t>2002-08-13</t>
  </si>
  <si>
    <t>085218842261</t>
  </si>
  <si>
    <t>EMP0233</t>
  </si>
  <si>
    <t>1987-04-14</t>
  </si>
  <si>
    <t>083865954360</t>
  </si>
  <si>
    <t>EMP0234</t>
  </si>
  <si>
    <t>1993-09-19</t>
  </si>
  <si>
    <t>085264729669</t>
  </si>
  <si>
    <t>EMP0235</t>
  </si>
  <si>
    <t>1990-08-10</t>
  </si>
  <si>
    <t>083523345025</t>
  </si>
  <si>
    <t>EMP0236</t>
  </si>
  <si>
    <t>1995-05-02</t>
  </si>
  <si>
    <t>086101911315</t>
  </si>
  <si>
    <t>EMP0237</t>
  </si>
  <si>
    <t>1996-04-11</t>
  </si>
  <si>
    <t>082238348604</t>
  </si>
  <si>
    <t>EMP0238</t>
  </si>
  <si>
    <t>1985-08-14</t>
  </si>
  <si>
    <t>085648720088</t>
  </si>
  <si>
    <t>EMP0239</t>
  </si>
  <si>
    <t>1995-08-01</t>
  </si>
  <si>
    <t>086080273171</t>
  </si>
  <si>
    <t>1992-07-13</t>
  </si>
  <si>
    <t>088322285591</t>
  </si>
  <si>
    <t>EMP0241</t>
  </si>
  <si>
    <t>1995-07-02</t>
  </si>
  <si>
    <t>EMP0242</t>
  </si>
  <si>
    <t>2003-08-11</t>
  </si>
  <si>
    <t>087402779797</t>
  </si>
  <si>
    <t>EMP0243</t>
  </si>
  <si>
    <t>1991-04-18</t>
  </si>
  <si>
    <t>081213507856</t>
  </si>
  <si>
    <t>EMP0244</t>
  </si>
  <si>
    <t>1994-01-13</t>
  </si>
  <si>
    <t>EMP0245</t>
  </si>
  <si>
    <t>1997-11-04</t>
  </si>
  <si>
    <t>EMP0246</t>
  </si>
  <si>
    <t>1988-02-06</t>
  </si>
  <si>
    <t>083286890319</t>
  </si>
  <si>
    <t>EMP0247</t>
  </si>
  <si>
    <t>2000/06/28</t>
  </si>
  <si>
    <t>083233185527</t>
  </si>
  <si>
    <t>EMP0248</t>
  </si>
  <si>
    <t>2002-03-09</t>
  </si>
  <si>
    <t>084897224253</t>
  </si>
  <si>
    <t>EMP0249</t>
  </si>
  <si>
    <t>1998-08-25</t>
  </si>
  <si>
    <t>082765562117</t>
  </si>
  <si>
    <t>1993-12-28</t>
  </si>
  <si>
    <t>83053952508</t>
  </si>
  <si>
    <t>EMP0251</t>
  </si>
  <si>
    <t>1986-05-17</t>
  </si>
  <si>
    <t>086256939975</t>
  </si>
  <si>
    <t>EMP0252</t>
  </si>
  <si>
    <t>1986-03-03</t>
  </si>
  <si>
    <t>88001255488</t>
  </si>
  <si>
    <t>1985-02-02</t>
  </si>
  <si>
    <t>081851884123</t>
  </si>
  <si>
    <t>EMP0254</t>
  </si>
  <si>
    <t>1998-07-31</t>
  </si>
  <si>
    <t>084908886008</t>
  </si>
  <si>
    <t>EMP0255</t>
  </si>
  <si>
    <t>1991-01-19</t>
  </si>
  <si>
    <t>083497465230</t>
  </si>
  <si>
    <t>EMP0256</t>
  </si>
  <si>
    <t>1991-04-27</t>
  </si>
  <si>
    <t>082519661747</t>
  </si>
  <si>
    <t>EMP0257</t>
  </si>
  <si>
    <t>1991-02-03</t>
  </si>
  <si>
    <t>086411890828</t>
  </si>
  <si>
    <t>EMP0258</t>
  </si>
  <si>
    <t>1988/12/19</t>
  </si>
  <si>
    <t>088836868762</t>
  </si>
  <si>
    <t>EMP0259</t>
  </si>
  <si>
    <t>1990-10-02</t>
  </si>
  <si>
    <t>086647919849</t>
  </si>
  <si>
    <t>EMP0260</t>
  </si>
  <si>
    <t>1999/10/01</t>
  </si>
  <si>
    <t>085344394675</t>
  </si>
  <si>
    <t>EMP0261</t>
  </si>
  <si>
    <t>1989-06-25</t>
  </si>
  <si>
    <t>088518586978</t>
  </si>
  <si>
    <t>EMP0262</t>
  </si>
  <si>
    <t>1999-09-21</t>
  </si>
  <si>
    <t>088941037927</t>
  </si>
  <si>
    <t>EMP0263</t>
  </si>
  <si>
    <t>1989-04-08</t>
  </si>
  <si>
    <t>085328871915</t>
  </si>
  <si>
    <t>EMP0264</t>
  </si>
  <si>
    <t>2002-11-15</t>
  </si>
  <si>
    <t>085812054669</t>
  </si>
  <si>
    <t>EMP0265</t>
  </si>
  <si>
    <t>2003-03-15</t>
  </si>
  <si>
    <t>083204613263</t>
  </si>
  <si>
    <t>EMP0266</t>
  </si>
  <si>
    <t>1989-12-05</t>
  </si>
  <si>
    <t>086777671457</t>
  </si>
  <si>
    <t>EMP0267</t>
  </si>
  <si>
    <t>1994-12-26</t>
  </si>
  <si>
    <t>081399632970</t>
  </si>
  <si>
    <t>EMP0268</t>
  </si>
  <si>
    <t>1992-01-25</t>
  </si>
  <si>
    <t>089219814415</t>
  </si>
  <si>
    <t>EMP0269</t>
  </si>
  <si>
    <t>1990/11/03</t>
  </si>
  <si>
    <t>82243536884</t>
  </si>
  <si>
    <t>EMP0270</t>
  </si>
  <si>
    <t>2000-07-18</t>
  </si>
  <si>
    <t>085556350458</t>
  </si>
  <si>
    <t>EMP0271</t>
  </si>
  <si>
    <t>2004/02/09</t>
  </si>
  <si>
    <t>083201761619</t>
  </si>
  <si>
    <t>EMP0272</t>
  </si>
  <si>
    <t>1993-12-27</t>
  </si>
  <si>
    <t>081572364090</t>
  </si>
  <si>
    <t>EMP0273</t>
  </si>
  <si>
    <t>2003-08-27</t>
  </si>
  <si>
    <t>086425188366</t>
  </si>
  <si>
    <t>EMP0274</t>
  </si>
  <si>
    <t>1994-05-18</t>
  </si>
  <si>
    <t>089264006078</t>
  </si>
  <si>
    <t>EMP0275</t>
  </si>
  <si>
    <t>2004-02-08</t>
  </si>
  <si>
    <t>082897937353</t>
  </si>
  <si>
    <t>EMP0276</t>
  </si>
  <si>
    <t>1990-06-08</t>
  </si>
  <si>
    <t>080681631711</t>
  </si>
  <si>
    <t>EMP0277</t>
  </si>
  <si>
    <t>1998-02-27</t>
  </si>
  <si>
    <t>084950636994</t>
  </si>
  <si>
    <t>EMP0278</t>
  </si>
  <si>
    <t>2000-12-20</t>
  </si>
  <si>
    <t>087995370073</t>
  </si>
  <si>
    <t>EMP0279</t>
  </si>
  <si>
    <t>2003-12-04</t>
  </si>
  <si>
    <t>084005949454</t>
  </si>
  <si>
    <t>EMP0280</t>
  </si>
  <si>
    <t>1998-04-24</t>
  </si>
  <si>
    <t>087395297678</t>
  </si>
  <si>
    <t>2002-09-18</t>
  </si>
  <si>
    <t>084792719755</t>
  </si>
  <si>
    <t>EMP0282</t>
  </si>
  <si>
    <t>2004-01-01</t>
  </si>
  <si>
    <t>085798893902</t>
  </si>
  <si>
    <t>EMP0283</t>
  </si>
  <si>
    <t>1997-08-12</t>
  </si>
  <si>
    <t>089680971831</t>
  </si>
  <si>
    <t>EMP0284</t>
  </si>
  <si>
    <t>2002-05-05</t>
  </si>
  <si>
    <t>82662492697</t>
  </si>
  <si>
    <t>EMP0285</t>
  </si>
  <si>
    <t>1999-08-05</t>
  </si>
  <si>
    <t>082344626681</t>
  </si>
  <si>
    <t>EMP0286</t>
  </si>
  <si>
    <t>1992-11-29</t>
  </si>
  <si>
    <t>080753601125</t>
  </si>
  <si>
    <t>EMP0287</t>
  </si>
  <si>
    <t>2001-09-30</t>
  </si>
  <si>
    <t>EMP0288</t>
  </si>
  <si>
    <t>1993-01-30</t>
  </si>
  <si>
    <t>081409073277</t>
  </si>
  <si>
    <t>EMP0289</t>
  </si>
  <si>
    <t>1987-09-12</t>
  </si>
  <si>
    <t>EMP0290</t>
  </si>
  <si>
    <t>1996-03-18</t>
  </si>
  <si>
    <t>081025454676</t>
  </si>
  <si>
    <t>EMP0291</t>
  </si>
  <si>
    <t>1987-02-21</t>
  </si>
  <si>
    <t>082722374650</t>
  </si>
  <si>
    <t>2002-09-28</t>
  </si>
  <si>
    <t>084154020880</t>
  </si>
  <si>
    <t>EMP0293</t>
  </si>
  <si>
    <t>1996-03-25</t>
  </si>
  <si>
    <t>086248609386</t>
  </si>
  <si>
    <t>EMP0294</t>
  </si>
  <si>
    <t>1993-08-16</t>
  </si>
  <si>
    <t>088967779287</t>
  </si>
  <si>
    <t>EMP0295</t>
  </si>
  <si>
    <t>2001-03-25</t>
  </si>
  <si>
    <t>082007649810</t>
  </si>
  <si>
    <t>EMP0296</t>
  </si>
  <si>
    <t>1999-03-05</t>
  </si>
  <si>
    <t>080981909684</t>
  </si>
  <si>
    <t>EMP0297</t>
  </si>
  <si>
    <t>1987-08-18</t>
  </si>
  <si>
    <t>083088039869</t>
  </si>
  <si>
    <t>EMP0298</t>
  </si>
  <si>
    <t>2000/02/24</t>
  </si>
  <si>
    <t>082989865263</t>
  </si>
  <si>
    <t>EMP0299</t>
  </si>
  <si>
    <t>1988/02/21</t>
  </si>
  <si>
    <t>085922605307</t>
  </si>
  <si>
    <t>EMP0300</t>
  </si>
  <si>
    <t>1992-04-27</t>
  </si>
  <si>
    <t>085696231658</t>
  </si>
  <si>
    <t>EMP0301</t>
  </si>
  <si>
    <t>2003-09-06</t>
  </si>
  <si>
    <t>EMP0302</t>
  </si>
  <si>
    <t>2002-08-19</t>
  </si>
  <si>
    <t>088558385853</t>
  </si>
  <si>
    <t>EMP0303</t>
  </si>
  <si>
    <t>1994-07-13</t>
  </si>
  <si>
    <t>081786251395</t>
  </si>
  <si>
    <t>EMP0304</t>
  </si>
  <si>
    <t>1989-04-03</t>
  </si>
  <si>
    <t>089577763289</t>
  </si>
  <si>
    <t>EMP0305</t>
  </si>
  <si>
    <t>1985-09-15</t>
  </si>
  <si>
    <t>EMP0306</t>
  </si>
  <si>
    <t>1996-03-27</t>
  </si>
  <si>
    <t>083996754666</t>
  </si>
  <si>
    <t>EMP0307</t>
  </si>
  <si>
    <t>1999-06-20</t>
  </si>
  <si>
    <t>089398376538</t>
  </si>
  <si>
    <t>EMP0308</t>
  </si>
  <si>
    <t>2001-07-07</t>
  </si>
  <si>
    <t>087708784322</t>
  </si>
  <si>
    <t>EMP0309</t>
  </si>
  <si>
    <t>1990-11-16</t>
  </si>
  <si>
    <t>EMP0310</t>
  </si>
  <si>
    <t>1989-06-30</t>
  </si>
  <si>
    <t>083946204559</t>
  </si>
  <si>
    <t>EMP0311</t>
  </si>
  <si>
    <t>1990-10-26</t>
  </si>
  <si>
    <t>EMP0312</t>
  </si>
  <si>
    <t>2002-02-08</t>
  </si>
  <si>
    <t>080466791537</t>
  </si>
  <si>
    <t>EMP0313</t>
  </si>
  <si>
    <t>1985-12-16</t>
  </si>
  <si>
    <t>085870363029</t>
  </si>
  <si>
    <t>EMP0314</t>
  </si>
  <si>
    <t>1997/04/15</t>
  </si>
  <si>
    <t>88617796296</t>
  </si>
  <si>
    <t>EMP0315</t>
  </si>
  <si>
    <t>2003-01-12</t>
  </si>
  <si>
    <t>86082286336</t>
  </si>
  <si>
    <t>EMP0316</t>
  </si>
  <si>
    <t>1990-04-07</t>
  </si>
  <si>
    <t>EMP0317</t>
  </si>
  <si>
    <t>1993-11-13</t>
  </si>
  <si>
    <t>086091454516</t>
  </si>
  <si>
    <t>EMP0318</t>
  </si>
  <si>
    <t>1998-11-25</t>
  </si>
  <si>
    <t>086237684454</t>
  </si>
  <si>
    <t>EMP0319</t>
  </si>
  <si>
    <t>1990-02-01</t>
  </si>
  <si>
    <t>080796687481</t>
  </si>
  <si>
    <t>EMP0320</t>
  </si>
  <si>
    <t>2000-02-23</t>
  </si>
  <si>
    <t>80346583259</t>
  </si>
  <si>
    <t>EMP0321</t>
  </si>
  <si>
    <t>2001-12-05</t>
  </si>
  <si>
    <t>086007418345</t>
  </si>
  <si>
    <t>EMP0322</t>
  </si>
  <si>
    <t>1988-07-07</t>
  </si>
  <si>
    <t>081827284029</t>
  </si>
  <si>
    <t>EMP0323</t>
  </si>
  <si>
    <t>1997-12-19</t>
  </si>
  <si>
    <t>088107698617</t>
  </si>
  <si>
    <t>EMP0324</t>
  </si>
  <si>
    <t>1996-04-30</t>
  </si>
  <si>
    <t>EMP0325</t>
  </si>
  <si>
    <t>084686121160</t>
  </si>
  <si>
    <t>EMP0326</t>
  </si>
  <si>
    <t>1994-05-19</t>
  </si>
  <si>
    <t>087594122128</t>
  </si>
  <si>
    <t>EMP0327</t>
  </si>
  <si>
    <t>1992-06-28</t>
  </si>
  <si>
    <t>83475679832</t>
  </si>
  <si>
    <t>EMP0328</t>
  </si>
  <si>
    <t>1989-02-09</t>
  </si>
  <si>
    <t>082332129248</t>
  </si>
  <si>
    <t>EMP0329</t>
  </si>
  <si>
    <t>1999-09-01</t>
  </si>
  <si>
    <t>89248227605</t>
  </si>
  <si>
    <t>EMP0330</t>
  </si>
  <si>
    <t>1986-03-07</t>
  </si>
  <si>
    <t>EMP0331</t>
  </si>
  <si>
    <t>1995-02-25</t>
  </si>
  <si>
    <t>087653411663</t>
  </si>
  <si>
    <t>EMP0332</t>
  </si>
  <si>
    <t>1995-10-05</t>
  </si>
  <si>
    <t>084407552396</t>
  </si>
  <si>
    <t>EMP0333</t>
  </si>
  <si>
    <t>1994-08-13</t>
  </si>
  <si>
    <t>083216024259</t>
  </si>
  <si>
    <t>EMP0334</t>
  </si>
  <si>
    <t>1989-07-12</t>
  </si>
  <si>
    <t>081537356619</t>
  </si>
  <si>
    <t>EMP0335</t>
  </si>
  <si>
    <t>086420973962</t>
  </si>
  <si>
    <t>EMP0336</t>
  </si>
  <si>
    <t>1993-06-16</t>
  </si>
  <si>
    <t>083970990654</t>
  </si>
  <si>
    <t>EMP0337</t>
  </si>
  <si>
    <t>1993-02-10</t>
  </si>
  <si>
    <t>080140650780</t>
  </si>
  <si>
    <t>EMP0338</t>
  </si>
  <si>
    <t>1996-05-02</t>
  </si>
  <si>
    <t>089527955623</t>
  </si>
  <si>
    <t>EMP0339</t>
  </si>
  <si>
    <t>1986-12-08</t>
  </si>
  <si>
    <t>085656836924</t>
  </si>
  <si>
    <t>EMP0340</t>
  </si>
  <si>
    <t>1986-05-03</t>
  </si>
  <si>
    <t>084738711905</t>
  </si>
  <si>
    <t>EMP0341</t>
  </si>
  <si>
    <t>1993-05-09</t>
  </si>
  <si>
    <t>083058890198</t>
  </si>
  <si>
    <t>EMP0342</t>
  </si>
  <si>
    <t>1999-11-23</t>
  </si>
  <si>
    <t>089653034442</t>
  </si>
  <si>
    <t>EMP0343</t>
  </si>
  <si>
    <t>1985-09-21</t>
  </si>
  <si>
    <t>085874761595</t>
  </si>
  <si>
    <t>EMP0344</t>
  </si>
  <si>
    <t>1993-11-02</t>
  </si>
  <si>
    <t>087235078131</t>
  </si>
  <si>
    <t>EMP0345</t>
  </si>
  <si>
    <t>1990-01-23</t>
  </si>
  <si>
    <t>86133931004</t>
  </si>
  <si>
    <t>EMP0346</t>
  </si>
  <si>
    <t>1985-11-14</t>
  </si>
  <si>
    <t>086751158565</t>
  </si>
  <si>
    <t>EMP0347</t>
  </si>
  <si>
    <t>1988-04-03</t>
  </si>
  <si>
    <t>083347099457</t>
  </si>
  <si>
    <t>EMP0348</t>
  </si>
  <si>
    <t>1991-04-30</t>
  </si>
  <si>
    <t>085013749216</t>
  </si>
  <si>
    <t>EMP0349</t>
  </si>
  <si>
    <t>2000-03-10</t>
  </si>
  <si>
    <t>88309660217</t>
  </si>
  <si>
    <t>EMP0350</t>
  </si>
  <si>
    <t>1996-07-01</t>
  </si>
  <si>
    <t>089026618380</t>
  </si>
  <si>
    <t>EMP0351</t>
  </si>
  <si>
    <t>1988-10-16</t>
  </si>
  <si>
    <t>EMP0352</t>
  </si>
  <si>
    <t>1996-12-19</t>
  </si>
  <si>
    <t>081723289079</t>
  </si>
  <si>
    <t>EMP0353</t>
  </si>
  <si>
    <t>2001-10-16</t>
  </si>
  <si>
    <t>82750533312</t>
  </si>
  <si>
    <t>EMP0354</t>
  </si>
  <si>
    <t>1987/08/25</t>
  </si>
  <si>
    <t>089757377708</t>
  </si>
  <si>
    <t>EMP0355</t>
  </si>
  <si>
    <t>1988-11-20</t>
  </si>
  <si>
    <t>087102861590</t>
  </si>
  <si>
    <t>EMP0356</t>
  </si>
  <si>
    <t>1996-10-06</t>
  </si>
  <si>
    <t>083952011033</t>
  </si>
  <si>
    <t>EMP0357</t>
  </si>
  <si>
    <t>2001-07-09</t>
  </si>
  <si>
    <t>085660540800</t>
  </si>
  <si>
    <t>EMP0358</t>
  </si>
  <si>
    <t>1998-03-02</t>
  </si>
  <si>
    <t>86295792466</t>
  </si>
  <si>
    <t>EMP0359</t>
  </si>
  <si>
    <t>1988-07-20</t>
  </si>
  <si>
    <t>083422123468</t>
  </si>
  <si>
    <t>EMP0360</t>
  </si>
  <si>
    <t>1993-03-23</t>
  </si>
  <si>
    <t>083123700238</t>
  </si>
  <si>
    <t>EMP0361</t>
  </si>
  <si>
    <t>1991-12-29</t>
  </si>
  <si>
    <t>085117795544</t>
  </si>
  <si>
    <t>EMP0362</t>
  </si>
  <si>
    <t>2002/10/25</t>
  </si>
  <si>
    <t>EMP0363</t>
  </si>
  <si>
    <t>1995-11-01</t>
  </si>
  <si>
    <t>089738012974</t>
  </si>
  <si>
    <t>EMP0364</t>
  </si>
  <si>
    <t>1997-07-14</t>
  </si>
  <si>
    <t>081554714676</t>
  </si>
  <si>
    <t>EMP0365</t>
  </si>
  <si>
    <t>1997-05-26</t>
  </si>
  <si>
    <t>087401604929</t>
  </si>
  <si>
    <t>EMP0366</t>
  </si>
  <si>
    <t>1996-04-22</t>
  </si>
  <si>
    <t>083566793547</t>
  </si>
  <si>
    <t>EMP0367</t>
  </si>
  <si>
    <t>1995-01-25</t>
  </si>
  <si>
    <t>088820214226</t>
  </si>
  <si>
    <t>EMP0368</t>
  </si>
  <si>
    <t>1996-09-09</t>
  </si>
  <si>
    <t>EMP0369</t>
  </si>
  <si>
    <t>1996-10-24</t>
  </si>
  <si>
    <t>EMP0370</t>
  </si>
  <si>
    <t>2000-08-25</t>
  </si>
  <si>
    <t>088993814078</t>
  </si>
  <si>
    <t>EMP0371</t>
  </si>
  <si>
    <t>1994-03-05</t>
  </si>
  <si>
    <t>083369794727</t>
  </si>
  <si>
    <t>EMP0372</t>
  </si>
  <si>
    <t>2001-01-11</t>
  </si>
  <si>
    <t>082786665325</t>
  </si>
  <si>
    <t>EMP0373</t>
  </si>
  <si>
    <t>1985-07-08</t>
  </si>
  <si>
    <t>086427932449</t>
  </si>
  <si>
    <t>EMP0374</t>
  </si>
  <si>
    <t>2000/04/17</t>
  </si>
  <si>
    <t>088633530638</t>
  </si>
  <si>
    <t>EMP0375</t>
  </si>
  <si>
    <t>1987-03-17</t>
  </si>
  <si>
    <t>84094513587</t>
  </si>
  <si>
    <t>EMP0376</t>
  </si>
  <si>
    <t>1986-03-20</t>
  </si>
  <si>
    <t>086528675973</t>
  </si>
  <si>
    <t>EMP0377</t>
  </si>
  <si>
    <t>2001-12-03</t>
  </si>
  <si>
    <t>081088704276</t>
  </si>
  <si>
    <t>EMP0378</t>
  </si>
  <si>
    <t>1993-12-22</t>
  </si>
  <si>
    <t>88141446335</t>
  </si>
  <si>
    <t>EMP0379</t>
  </si>
  <si>
    <t>1988/08/23</t>
  </si>
  <si>
    <t>083946464173</t>
  </si>
  <si>
    <t>EMP0380</t>
  </si>
  <si>
    <t>1993-07-22</t>
  </si>
  <si>
    <t>86534627973</t>
  </si>
  <si>
    <t>EMP0381</t>
  </si>
  <si>
    <t>1987-06-03</t>
  </si>
  <si>
    <t>082018120113</t>
  </si>
  <si>
    <t>EMP0382</t>
  </si>
  <si>
    <t>1999-08-31</t>
  </si>
  <si>
    <t>85373114400</t>
  </si>
  <si>
    <t>EMP0383</t>
  </si>
  <si>
    <t>1995-05-10</t>
  </si>
  <si>
    <t>080935754115</t>
  </si>
  <si>
    <t>EMP0384</t>
  </si>
  <si>
    <t>1996-10-08</t>
  </si>
  <si>
    <t>081131053693</t>
  </si>
  <si>
    <t>EMP0385</t>
  </si>
  <si>
    <t>1994/12/09</t>
  </si>
  <si>
    <t>088474509149</t>
  </si>
  <si>
    <t>EMP0386</t>
  </si>
  <si>
    <t>EMP0387</t>
  </si>
  <si>
    <t>1998-02-18</t>
  </si>
  <si>
    <t>089663630450</t>
  </si>
  <si>
    <t>EMP0388</t>
  </si>
  <si>
    <t>1985/04/01</t>
  </si>
  <si>
    <t>088070850806</t>
  </si>
  <si>
    <t>EMP0389</t>
  </si>
  <si>
    <t>1985-10-09</t>
  </si>
  <si>
    <t>089184440623</t>
  </si>
  <si>
    <t>EMP0390</t>
  </si>
  <si>
    <t>1996-09-21</t>
  </si>
  <si>
    <t>083064755925</t>
  </si>
  <si>
    <t>EMP0391</t>
  </si>
  <si>
    <t>1992-10-26</t>
  </si>
  <si>
    <t>089526174778</t>
  </si>
  <si>
    <t>EMP0392</t>
  </si>
  <si>
    <t>1991-09-26</t>
  </si>
  <si>
    <t>085838582660</t>
  </si>
  <si>
    <t>EMP0393</t>
  </si>
  <si>
    <t>2003-02-21</t>
  </si>
  <si>
    <t>087265315802</t>
  </si>
  <si>
    <t>EMP0394</t>
  </si>
  <si>
    <t>1990/01/07</t>
  </si>
  <si>
    <t>084766435999</t>
  </si>
  <si>
    <t>EMP0395</t>
  </si>
  <si>
    <t>1985-05-26</t>
  </si>
  <si>
    <t>080357162388</t>
  </si>
  <si>
    <t>EMP0396</t>
  </si>
  <si>
    <t>1985-07-17</t>
  </si>
  <si>
    <t>080749239991</t>
  </si>
  <si>
    <t>EMP0397</t>
  </si>
  <si>
    <t>2000/11/18</t>
  </si>
  <si>
    <t>88301397217</t>
  </si>
  <si>
    <t>EMP0398</t>
  </si>
  <si>
    <t>1993-12-31</t>
  </si>
  <si>
    <t>084129167959</t>
  </si>
  <si>
    <t>EMP0399</t>
  </si>
  <si>
    <t>2001-12-19</t>
  </si>
  <si>
    <t>085392121167</t>
  </si>
  <si>
    <t>EMP0400</t>
  </si>
  <si>
    <t>1986-12-14</t>
  </si>
  <si>
    <t>080952553681</t>
  </si>
  <si>
    <t>EMP0401</t>
  </si>
  <si>
    <t>1989-12-02</t>
  </si>
  <si>
    <t>81740583714</t>
  </si>
  <si>
    <t>EMP0402</t>
  </si>
  <si>
    <t>1988-01-07</t>
  </si>
  <si>
    <t>081971863183</t>
  </si>
  <si>
    <t>EMP0403</t>
  </si>
  <si>
    <t>1989-04-21</t>
  </si>
  <si>
    <t>88161096722</t>
  </si>
  <si>
    <t>EMP0404</t>
  </si>
  <si>
    <t>1991-10-10</t>
  </si>
  <si>
    <t>080691061455</t>
  </si>
  <si>
    <t>EMP0405</t>
  </si>
  <si>
    <t>2001-09-24</t>
  </si>
  <si>
    <t>084392969649</t>
  </si>
  <si>
    <t>EMP0406</t>
  </si>
  <si>
    <t>1987/08/03</t>
  </si>
  <si>
    <t>088201587001</t>
  </si>
  <si>
    <t>EMP0407</t>
  </si>
  <si>
    <t>1993-06-14</t>
  </si>
  <si>
    <t>088819496591</t>
  </si>
  <si>
    <t>EMP0408</t>
  </si>
  <si>
    <t>2000-05-03</t>
  </si>
  <si>
    <t>082665516299</t>
  </si>
  <si>
    <t>EMP0409</t>
  </si>
  <si>
    <t>1993-05-31</t>
  </si>
  <si>
    <t>84437059001</t>
  </si>
  <si>
    <t>EMP0410</t>
  </si>
  <si>
    <t>2002-06-01</t>
  </si>
  <si>
    <t>084364093953</t>
  </si>
  <si>
    <t>EMP0411</t>
  </si>
  <si>
    <t>1993-03-29</t>
  </si>
  <si>
    <t>084513293983</t>
  </si>
  <si>
    <t>EMP0412</t>
  </si>
  <si>
    <t>1997-02-16</t>
  </si>
  <si>
    <t>081835804669</t>
  </si>
  <si>
    <t>EMP0413</t>
  </si>
  <si>
    <t>1992-12-29</t>
  </si>
  <si>
    <t>081464784598</t>
  </si>
  <si>
    <t>EMP0414</t>
  </si>
  <si>
    <t>1999/11/13</t>
  </si>
  <si>
    <t>84079953414</t>
  </si>
  <si>
    <t>EMP0415</t>
  </si>
  <si>
    <t>2000-06-26</t>
  </si>
  <si>
    <t>085758037970</t>
  </si>
  <si>
    <t>EMP0416</t>
  </si>
  <si>
    <t>087823215351</t>
  </si>
  <si>
    <t>EMP0417</t>
  </si>
  <si>
    <t>1993/05/04</t>
  </si>
  <si>
    <t>083235117523</t>
  </si>
  <si>
    <t>EMP0418</t>
  </si>
  <si>
    <t>1992-09-04</t>
  </si>
  <si>
    <t>85945679125</t>
  </si>
  <si>
    <t>EMP0419</t>
  </si>
  <si>
    <t>1992-03-03</t>
  </si>
  <si>
    <t>083663535381</t>
  </si>
  <si>
    <t>EMP0420</t>
  </si>
  <si>
    <t>1990-04-26</t>
  </si>
  <si>
    <t>84063322044</t>
  </si>
  <si>
    <t>EMP0421</t>
  </si>
  <si>
    <t>2000-01-27</t>
  </si>
  <si>
    <t>085012657439</t>
  </si>
  <si>
    <t>EMP0422</t>
  </si>
  <si>
    <t>2003-02-06</t>
  </si>
  <si>
    <t>086393172214</t>
  </si>
  <si>
    <t>EMP0423</t>
  </si>
  <si>
    <t>2002-11-24</t>
  </si>
  <si>
    <t>083619832938</t>
  </si>
  <si>
    <t>EMP0424</t>
  </si>
  <si>
    <t>1994-07-15</t>
  </si>
  <si>
    <t>085197485417</t>
  </si>
  <si>
    <t>EMP0425</t>
  </si>
  <si>
    <t>2002/02/24</t>
  </si>
  <si>
    <t>084749644804</t>
  </si>
  <si>
    <t>EMP0426</t>
  </si>
  <si>
    <t>1992-03-06</t>
  </si>
  <si>
    <t>086971752690</t>
  </si>
  <si>
    <t>EMP0427</t>
  </si>
  <si>
    <t>2001-01-30</t>
  </si>
  <si>
    <t>089800600459</t>
  </si>
  <si>
    <t>EMP0428</t>
  </si>
  <si>
    <t>1993-01-27</t>
  </si>
  <si>
    <t>089286695706</t>
  </si>
  <si>
    <t>EMP0429</t>
  </si>
  <si>
    <t>2002-07-19</t>
  </si>
  <si>
    <t>EMP0430</t>
  </si>
  <si>
    <t>2003-03-10</t>
  </si>
  <si>
    <t>089685156181</t>
  </si>
  <si>
    <t>EMP0431</t>
  </si>
  <si>
    <t>1993-08-22</t>
  </si>
  <si>
    <t>084872907923</t>
  </si>
  <si>
    <t>EMP0432</t>
  </si>
  <si>
    <t>2003/01/23</t>
  </si>
  <si>
    <t>082791840799</t>
  </si>
  <si>
    <t>1986-06-28</t>
  </si>
  <si>
    <t>085150120961</t>
  </si>
  <si>
    <t>EMP0434</t>
  </si>
  <si>
    <t>1988-12-12</t>
  </si>
  <si>
    <t>EMP0435</t>
  </si>
  <si>
    <t>2003-04-25</t>
  </si>
  <si>
    <t>083337513984</t>
  </si>
  <si>
    <t>EMP0436</t>
  </si>
  <si>
    <t>2000-12-31</t>
  </si>
  <si>
    <t>EMP0437</t>
  </si>
  <si>
    <t>1990-08-15</t>
  </si>
  <si>
    <t>EMP0438</t>
  </si>
  <si>
    <t>1997-06-10</t>
  </si>
  <si>
    <t>087018498143</t>
  </si>
  <si>
    <t>EMP0439</t>
  </si>
  <si>
    <t>1989-06-08</t>
  </si>
  <si>
    <t>083283355951</t>
  </si>
  <si>
    <t>EMP0440</t>
  </si>
  <si>
    <t>1989/06/16</t>
  </si>
  <si>
    <t>083122715275</t>
  </si>
  <si>
    <t>EMP0441</t>
  </si>
  <si>
    <t>2000-08-07</t>
  </si>
  <si>
    <t>084251468868</t>
  </si>
  <si>
    <t>EMP0442</t>
  </si>
  <si>
    <t>1996-08-21</t>
  </si>
  <si>
    <t>088852377568</t>
  </si>
  <si>
    <t>EMP0443</t>
  </si>
  <si>
    <t>1997-07-08</t>
  </si>
  <si>
    <t>083295061498</t>
  </si>
  <si>
    <t>EMP0444</t>
  </si>
  <si>
    <t>1998-03-25</t>
  </si>
  <si>
    <t>084180062687</t>
  </si>
  <si>
    <t>EMP0445</t>
  </si>
  <si>
    <t>2002-11-20</t>
  </si>
  <si>
    <t>082757337945</t>
  </si>
  <si>
    <t>EMP0446</t>
  </si>
  <si>
    <t>1985-06-20</t>
  </si>
  <si>
    <t>081648293543</t>
  </si>
  <si>
    <t>EMP0447</t>
  </si>
  <si>
    <t>1995-02-22</t>
  </si>
  <si>
    <t>085555550687</t>
  </si>
  <si>
    <t>EMP0448</t>
  </si>
  <si>
    <t>2001-03-21</t>
  </si>
  <si>
    <t>088192118280</t>
  </si>
  <si>
    <t>EMP0449</t>
  </si>
  <si>
    <t>2000-10-16</t>
  </si>
  <si>
    <t>082188763539</t>
  </si>
  <si>
    <t>1996-01-11</t>
  </si>
  <si>
    <t>082012652583</t>
  </si>
  <si>
    <t>EMP0451</t>
  </si>
  <si>
    <t>1994-01-15</t>
  </si>
  <si>
    <t>89407141314</t>
  </si>
  <si>
    <t>EMP0452</t>
  </si>
  <si>
    <t>1986-08-14</t>
  </si>
  <si>
    <t>082272607516</t>
  </si>
  <si>
    <t>EMP0453</t>
  </si>
  <si>
    <t>1997/12/07</t>
  </si>
  <si>
    <t>084962843391</t>
  </si>
  <si>
    <t>EMP0454</t>
  </si>
  <si>
    <t>1997-04-22</t>
  </si>
  <si>
    <t>81036752167</t>
  </si>
  <si>
    <t>EMP0455</t>
  </si>
  <si>
    <t>1985-04-24</t>
  </si>
  <si>
    <t>086645579351</t>
  </si>
  <si>
    <t>EMP0456</t>
  </si>
  <si>
    <t>2002-11-02</t>
  </si>
  <si>
    <t>081924486991</t>
  </si>
  <si>
    <t>EMP0457</t>
  </si>
  <si>
    <t>1985-03-01</t>
  </si>
  <si>
    <t>087223884675</t>
  </si>
  <si>
    <t>EMP0458</t>
  </si>
  <si>
    <t>1985-04-01</t>
  </si>
  <si>
    <t>085107242062</t>
  </si>
  <si>
    <t>EMP0459</t>
  </si>
  <si>
    <t>1988-09-08</t>
  </si>
  <si>
    <t>087658332360</t>
  </si>
  <si>
    <t>EMP0460</t>
  </si>
  <si>
    <t>1992-01-06</t>
  </si>
  <si>
    <t>084560659443</t>
  </si>
  <si>
    <t>EMP0461</t>
  </si>
  <si>
    <t>2003-05-31</t>
  </si>
  <si>
    <t>088115308319</t>
  </si>
  <si>
    <t>EMP0462</t>
  </si>
  <si>
    <t>082122020984</t>
  </si>
  <si>
    <t>EMP0463</t>
  </si>
  <si>
    <t>2001-05-04</t>
  </si>
  <si>
    <t>087322803722</t>
  </si>
  <si>
    <t>1997-09-03</t>
  </si>
  <si>
    <t>080075415696</t>
  </si>
  <si>
    <t>EMP0465</t>
  </si>
  <si>
    <t>1993-08-03</t>
  </si>
  <si>
    <t>EMP0466</t>
  </si>
  <si>
    <t>1996-11-18</t>
  </si>
  <si>
    <t>80761136691</t>
  </si>
  <si>
    <t>EMP0467</t>
  </si>
  <si>
    <t>2003-01-10</t>
  </si>
  <si>
    <t>086131961314</t>
  </si>
  <si>
    <t>EMP0468</t>
  </si>
  <si>
    <t>1986-08-21</t>
  </si>
  <si>
    <t>081752313891</t>
  </si>
  <si>
    <t>EMP0469</t>
  </si>
  <si>
    <t>1996-01-20</t>
  </si>
  <si>
    <t>086685931732</t>
  </si>
  <si>
    <t>EMP0470</t>
  </si>
  <si>
    <t>1990-09-11</t>
  </si>
  <si>
    <t>88983019201</t>
  </si>
  <si>
    <t>EMP0471</t>
  </si>
  <si>
    <t>1995-06-21</t>
  </si>
  <si>
    <t>084742194829</t>
  </si>
  <si>
    <t>EMP0472</t>
  </si>
  <si>
    <t>1988-03-31</t>
  </si>
  <si>
    <t>083107325086</t>
  </si>
  <si>
    <t>EMP0473</t>
  </si>
  <si>
    <t>1992-06-29</t>
  </si>
  <si>
    <t>082113607021</t>
  </si>
  <si>
    <t>EMP0474</t>
  </si>
  <si>
    <t>1999-02-13</t>
  </si>
  <si>
    <t>085714942275</t>
  </si>
  <si>
    <t>EMP0475</t>
  </si>
  <si>
    <t>1992-06-16</t>
  </si>
  <si>
    <t>EMP0476</t>
  </si>
  <si>
    <t>2001/05/27</t>
  </si>
  <si>
    <t>86383658627</t>
  </si>
  <si>
    <t>EMP0477</t>
  </si>
  <si>
    <t>1990/10/19</t>
  </si>
  <si>
    <t>089265444515</t>
  </si>
  <si>
    <t>EMP0478</t>
  </si>
  <si>
    <t>1997-12-10</t>
  </si>
  <si>
    <t>089757269975</t>
  </si>
  <si>
    <t>EMP0479</t>
  </si>
  <si>
    <t>1985-06-04</t>
  </si>
  <si>
    <t>084704593996</t>
  </si>
  <si>
    <t>EMP0480</t>
  </si>
  <si>
    <t>1996-10-07</t>
  </si>
  <si>
    <t>088467694625</t>
  </si>
  <si>
    <t>EMP0481</t>
  </si>
  <si>
    <t>1993-04-18</t>
  </si>
  <si>
    <t>082911593881</t>
  </si>
  <si>
    <t>EMP0482</t>
  </si>
  <si>
    <t>1989-07-18</t>
  </si>
  <si>
    <t>089605330088</t>
  </si>
  <si>
    <t>EMP0483</t>
  </si>
  <si>
    <t>1995-06-13</t>
  </si>
  <si>
    <t>088673293292</t>
  </si>
  <si>
    <t>EMP0484</t>
  </si>
  <si>
    <t>2002-05-23</t>
  </si>
  <si>
    <t>088920057050</t>
  </si>
  <si>
    <t>EMP0485</t>
  </si>
  <si>
    <t>1985-04-08</t>
  </si>
  <si>
    <t>087432290926</t>
  </si>
  <si>
    <t>EMP0486</t>
  </si>
  <si>
    <t>2000-09-16</t>
  </si>
  <si>
    <t>080772594180</t>
  </si>
  <si>
    <t>EMP0487</t>
  </si>
  <si>
    <t>2000-08-31</t>
  </si>
  <si>
    <t>085176664552</t>
  </si>
  <si>
    <t>EMP0488</t>
  </si>
  <si>
    <t>1987-04-28</t>
  </si>
  <si>
    <t>081752023318</t>
  </si>
  <si>
    <t>EMP0489</t>
  </si>
  <si>
    <t>1992-04-08</t>
  </si>
  <si>
    <t>083790346750</t>
  </si>
  <si>
    <t>EMP0490</t>
  </si>
  <si>
    <t>1994-07-05</t>
  </si>
  <si>
    <t>085026983502</t>
  </si>
  <si>
    <t>EMP0491</t>
  </si>
  <si>
    <t>2003-03-14</t>
  </si>
  <si>
    <t>082928641412</t>
  </si>
  <si>
    <t>EMP0492</t>
  </si>
  <si>
    <t>1985/12/29</t>
  </si>
  <si>
    <t>85757663166</t>
  </si>
  <si>
    <t>EMP0493</t>
  </si>
  <si>
    <t>2001-02-24</t>
  </si>
  <si>
    <t>088157652794</t>
  </si>
  <si>
    <t>EMP0494</t>
  </si>
  <si>
    <t>1990-01-18</t>
  </si>
  <si>
    <t>81485690745</t>
  </si>
  <si>
    <t>EMP0495</t>
  </si>
  <si>
    <t>1988-01-15</t>
  </si>
  <si>
    <t>083620361356</t>
  </si>
  <si>
    <t>EMP0496</t>
  </si>
  <si>
    <t>1999-04-22</t>
  </si>
  <si>
    <t>089770695656</t>
  </si>
  <si>
    <t>EMP0497</t>
  </si>
  <si>
    <t>2000-01-29</t>
  </si>
  <si>
    <t>086097905534</t>
  </si>
  <si>
    <t>EMP0498</t>
  </si>
  <si>
    <t>1991-03-02</t>
  </si>
  <si>
    <t>083741639538</t>
  </si>
  <si>
    <t>EMP0499</t>
  </si>
  <si>
    <t>1986-08-12</t>
  </si>
  <si>
    <t>86406430813</t>
  </si>
  <si>
    <t>EMP0500</t>
  </si>
  <si>
    <t>083460195718</t>
  </si>
  <si>
    <t>EMP0501</t>
  </si>
  <si>
    <t>1994-09-01</t>
  </si>
  <si>
    <t>089975988796</t>
  </si>
  <si>
    <t>EMP0502</t>
  </si>
  <si>
    <t>085379671571</t>
  </si>
  <si>
    <t>EMP0503</t>
  </si>
  <si>
    <t>1999-06-14</t>
  </si>
  <si>
    <t>085296766717</t>
  </si>
  <si>
    <t>EMP0504</t>
  </si>
  <si>
    <t>1991-10-31</t>
  </si>
  <si>
    <t>88150443784</t>
  </si>
  <si>
    <t>EMP0505</t>
  </si>
  <si>
    <t>1996-12-01</t>
  </si>
  <si>
    <t>082760335747</t>
  </si>
  <si>
    <t>EMP0506</t>
  </si>
  <si>
    <t>083288992656</t>
  </si>
  <si>
    <t>EMP0507</t>
  </si>
  <si>
    <t>1987-01-09</t>
  </si>
  <si>
    <t>EMP0508</t>
  </si>
  <si>
    <t>1985-03-15</t>
  </si>
  <si>
    <t>088637490923</t>
  </si>
  <si>
    <t>EMP0509</t>
  </si>
  <si>
    <t>1999-10-23</t>
  </si>
  <si>
    <t>088858938059</t>
  </si>
  <si>
    <t>EMP0510</t>
  </si>
  <si>
    <t>1986-09-04</t>
  </si>
  <si>
    <t>089110084234</t>
  </si>
  <si>
    <t>EMP0511</t>
  </si>
  <si>
    <t>1999-07-22</t>
  </si>
  <si>
    <t>084418602455</t>
  </si>
  <si>
    <t>EMP0512</t>
  </si>
  <si>
    <t>2002-02-28</t>
  </si>
  <si>
    <t>088589883637</t>
  </si>
  <si>
    <t>EMP0513</t>
  </si>
  <si>
    <t>1992-07-14</t>
  </si>
  <si>
    <t>089917503261</t>
  </si>
  <si>
    <t>EMP0514</t>
  </si>
  <si>
    <t>085712958483</t>
  </si>
  <si>
    <t>EMP0515</t>
  </si>
  <si>
    <t>1991-09-24</t>
  </si>
  <si>
    <t>89118399473</t>
  </si>
  <si>
    <t>EMP0516</t>
  </si>
  <si>
    <t>2000-09-25</t>
  </si>
  <si>
    <t>085508160049</t>
  </si>
  <si>
    <t>EMP0517</t>
  </si>
  <si>
    <t>1985/02/04</t>
  </si>
  <si>
    <t>086701183462</t>
  </si>
  <si>
    <t>EMP0518</t>
  </si>
  <si>
    <t>1992-08-20</t>
  </si>
  <si>
    <t>82321084375</t>
  </si>
  <si>
    <t>EMP0519</t>
  </si>
  <si>
    <t>1999-06-23</t>
  </si>
  <si>
    <t>086174718910</t>
  </si>
  <si>
    <t>EMP0520</t>
  </si>
  <si>
    <t>2002-04-05</t>
  </si>
  <si>
    <t>084524318974</t>
  </si>
  <si>
    <t>EMP0521</t>
  </si>
  <si>
    <t>1986-10-10</t>
  </si>
  <si>
    <t>081162872131</t>
  </si>
  <si>
    <t>EMP0522</t>
  </si>
  <si>
    <t>1997-07-05</t>
  </si>
  <si>
    <t>082500168177</t>
  </si>
  <si>
    <t>EMP0523</t>
  </si>
  <si>
    <t>89756465583</t>
  </si>
  <si>
    <t>EMP0524</t>
  </si>
  <si>
    <t>1986-08-31</t>
  </si>
  <si>
    <t>EMP0525</t>
  </si>
  <si>
    <t>1996-03-30</t>
  </si>
  <si>
    <t>087180731757</t>
  </si>
  <si>
    <t>EMP0526</t>
  </si>
  <si>
    <t>1990-10-06</t>
  </si>
  <si>
    <t>85420223778</t>
  </si>
  <si>
    <t>EMP0527</t>
  </si>
  <si>
    <t>2002-05-13</t>
  </si>
  <si>
    <t>080495740524</t>
  </si>
  <si>
    <t>EMP0528</t>
  </si>
  <si>
    <t>1992-01-24</t>
  </si>
  <si>
    <t>081944817623</t>
  </si>
  <si>
    <t>EMP0529</t>
  </si>
  <si>
    <t>1993-08-23</t>
  </si>
  <si>
    <t>84456850575</t>
  </si>
  <si>
    <t>EMP0530</t>
  </si>
  <si>
    <t>1985-06-24</t>
  </si>
  <si>
    <t>080079506254</t>
  </si>
  <si>
    <t>EMP0531</t>
  </si>
  <si>
    <t>082122839887</t>
  </si>
  <si>
    <t>EMP0532</t>
  </si>
  <si>
    <t>1992-05-27</t>
  </si>
  <si>
    <t>EMP0533</t>
  </si>
  <si>
    <t>1997-01-05</t>
  </si>
  <si>
    <t>084959627219</t>
  </si>
  <si>
    <t>EMP0534</t>
  </si>
  <si>
    <t>080199116271</t>
  </si>
  <si>
    <t>EMP0535</t>
  </si>
  <si>
    <t>1988-03-07</t>
  </si>
  <si>
    <t>080982793435</t>
  </si>
  <si>
    <t>EMP0536</t>
  </si>
  <si>
    <t>1988-06-17</t>
  </si>
  <si>
    <t>085598801507</t>
  </si>
  <si>
    <t>EMP0537</t>
  </si>
  <si>
    <t>1998-01-30</t>
  </si>
  <si>
    <t>082783070908</t>
  </si>
  <si>
    <t>EMP0538</t>
  </si>
  <si>
    <t>1994-08-21</t>
  </si>
  <si>
    <t>088153524016</t>
  </si>
  <si>
    <t>EMP0539</t>
  </si>
  <si>
    <t>1994-09-28</t>
  </si>
  <si>
    <t>87156610419</t>
  </si>
  <si>
    <t>EMP0540</t>
  </si>
  <si>
    <t>1986-10-01</t>
  </si>
  <si>
    <t>082090943943</t>
  </si>
  <si>
    <t>EMP0541</t>
  </si>
  <si>
    <t>1994/05/05</t>
  </si>
  <si>
    <t>EMP0542</t>
  </si>
  <si>
    <t>1998-08-17</t>
  </si>
  <si>
    <t>081015536537</t>
  </si>
  <si>
    <t>EMP0543</t>
  </si>
  <si>
    <t>1990-06-04</t>
  </si>
  <si>
    <t>083842096016</t>
  </si>
  <si>
    <t>EMP0544</t>
  </si>
  <si>
    <t>088861164129</t>
  </si>
  <si>
    <t>EMP0545</t>
  </si>
  <si>
    <t>1985-07-05</t>
  </si>
  <si>
    <t>083181079957</t>
  </si>
  <si>
    <t>EMP0546</t>
  </si>
  <si>
    <t>2000-11-23</t>
  </si>
  <si>
    <t>085606787740</t>
  </si>
  <si>
    <t>EMP0547</t>
  </si>
  <si>
    <t>1993-04-25</t>
  </si>
  <si>
    <t>082635882159</t>
  </si>
  <si>
    <t>EMP0548</t>
  </si>
  <si>
    <t>1996-12-12</t>
  </si>
  <si>
    <t>082595663986</t>
  </si>
  <si>
    <t>EMP0549</t>
  </si>
  <si>
    <t>2003-03-20</t>
  </si>
  <si>
    <t>083490097725</t>
  </si>
  <si>
    <t>EMP0550</t>
  </si>
  <si>
    <t>1993-11-26</t>
  </si>
  <si>
    <t>85509683631</t>
  </si>
  <si>
    <t>EMP0551</t>
  </si>
  <si>
    <t>1985-04-13</t>
  </si>
  <si>
    <t>081417824590</t>
  </si>
  <si>
    <t>EMP0552</t>
  </si>
  <si>
    <t>1990-10-04</t>
  </si>
  <si>
    <t>085387540711</t>
  </si>
  <si>
    <t>EMP0553</t>
  </si>
  <si>
    <t>1989-11-28</t>
  </si>
  <si>
    <t>082933502810</t>
  </si>
  <si>
    <t>EMP0554</t>
  </si>
  <si>
    <t>1993-06-27</t>
  </si>
  <si>
    <t>080736563590</t>
  </si>
  <si>
    <t>EMP0555</t>
  </si>
  <si>
    <t>1995-09-25</t>
  </si>
  <si>
    <t>081134257765</t>
  </si>
  <si>
    <t>EMP0556</t>
  </si>
  <si>
    <t>1989-06-04</t>
  </si>
  <si>
    <t>083802734890</t>
  </si>
  <si>
    <t>EMP0557</t>
  </si>
  <si>
    <t>1998-08-01</t>
  </si>
  <si>
    <t>084314168765</t>
  </si>
  <si>
    <t>EMP0558</t>
  </si>
  <si>
    <t>1986-04-04</t>
  </si>
  <si>
    <t>085699118440</t>
  </si>
  <si>
    <t>EMP0559</t>
  </si>
  <si>
    <t>1990-12-15</t>
  </si>
  <si>
    <t>083512199179</t>
  </si>
  <si>
    <t>1991-10-01</t>
  </si>
  <si>
    <t>080404807742</t>
  </si>
  <si>
    <t>EMP0561</t>
  </si>
  <si>
    <t>1989-04-25</t>
  </si>
  <si>
    <t>082222573203</t>
  </si>
  <si>
    <t>EMP0562</t>
  </si>
  <si>
    <t>1990-12-18</t>
  </si>
  <si>
    <t>088011073434</t>
  </si>
  <si>
    <t>EMP0563</t>
  </si>
  <si>
    <t>1991/07/15</t>
  </si>
  <si>
    <t>080715372474</t>
  </si>
  <si>
    <t>EMP0564</t>
  </si>
  <si>
    <t>1997-02-06</t>
  </si>
  <si>
    <t>088995623253</t>
  </si>
  <si>
    <t>EMP0565</t>
  </si>
  <si>
    <t>2000-09-13</t>
  </si>
  <si>
    <t>087397320568</t>
  </si>
  <si>
    <t>EMP0566</t>
  </si>
  <si>
    <t>1989-10-25</t>
  </si>
  <si>
    <t>085817065286</t>
  </si>
  <si>
    <t>EMP0567</t>
  </si>
  <si>
    <t>1991-09-09</t>
  </si>
  <si>
    <t>084841699700</t>
  </si>
  <si>
    <t>EMP0568</t>
  </si>
  <si>
    <t>1987-04-19</t>
  </si>
  <si>
    <t>088297830730</t>
  </si>
  <si>
    <t>EMP0569</t>
  </si>
  <si>
    <t>2003-04-26</t>
  </si>
  <si>
    <t>085319060960</t>
  </si>
  <si>
    <t>EMP0570</t>
  </si>
  <si>
    <t>1998-09-06</t>
  </si>
  <si>
    <t>84231604196</t>
  </si>
  <si>
    <t>EMP0571</t>
  </si>
  <si>
    <t>1992-11-13</t>
  </si>
  <si>
    <t>087908247603</t>
  </si>
  <si>
    <t>EMP0572</t>
  </si>
  <si>
    <t>1999-09-25</t>
  </si>
  <si>
    <t>87996517078</t>
  </si>
  <si>
    <t>EMP0573</t>
  </si>
  <si>
    <t>1992-05-28</t>
  </si>
  <si>
    <t>081149004236</t>
  </si>
  <si>
    <t>EMP0574</t>
  </si>
  <si>
    <t>2002/11/02</t>
  </si>
  <si>
    <t>082416998598</t>
  </si>
  <si>
    <t>EMP0575</t>
  </si>
  <si>
    <t>1985-08-03</t>
  </si>
  <si>
    <t>081080639764</t>
  </si>
  <si>
    <t>EMP0576</t>
  </si>
  <si>
    <t>1993-11-11</t>
  </si>
  <si>
    <t>083776409704</t>
  </si>
  <si>
    <t>EMP0577</t>
  </si>
  <si>
    <t>1998-04-22</t>
  </si>
  <si>
    <t>084472733214</t>
  </si>
  <si>
    <t>EMP0578</t>
  </si>
  <si>
    <t>1996-09-29</t>
  </si>
  <si>
    <t>080782341909</t>
  </si>
  <si>
    <t>EMP0579</t>
  </si>
  <si>
    <t>1992-07-06</t>
  </si>
  <si>
    <t>083087491205</t>
  </si>
  <si>
    <t>EMP0580</t>
  </si>
  <si>
    <t>1991-01-27</t>
  </si>
  <si>
    <t>083719273778</t>
  </si>
  <si>
    <t>EMP0581</t>
  </si>
  <si>
    <t>2001-02-25</t>
  </si>
  <si>
    <t>086782050752</t>
  </si>
  <si>
    <t>EMP0582</t>
  </si>
  <si>
    <t>2002-12-25</t>
  </si>
  <si>
    <t>081043616487</t>
  </si>
  <si>
    <t>EMP0583</t>
  </si>
  <si>
    <t>1997-02-04</t>
  </si>
  <si>
    <t>085887582852</t>
  </si>
  <si>
    <t>EMP0584</t>
  </si>
  <si>
    <t>1990-03-26</t>
  </si>
  <si>
    <t>083861996460</t>
  </si>
  <si>
    <t>EMP0585</t>
  </si>
  <si>
    <t>1987/02/18</t>
  </si>
  <si>
    <t>80038064378</t>
  </si>
  <si>
    <t>EMP0586</t>
  </si>
  <si>
    <t>1991-08-10</t>
  </si>
  <si>
    <t>089948261902</t>
  </si>
  <si>
    <t>EMP0587</t>
  </si>
  <si>
    <t>1993-03-10</t>
  </si>
  <si>
    <t>082173250913</t>
  </si>
  <si>
    <t>EMP0588</t>
  </si>
  <si>
    <t>1993-02-07</t>
  </si>
  <si>
    <t>EMP0589</t>
  </si>
  <si>
    <t>1991-03-19</t>
  </si>
  <si>
    <t>EMP0590</t>
  </si>
  <si>
    <t>1996-12-30</t>
  </si>
  <si>
    <t>082769286450</t>
  </si>
  <si>
    <t>EMP0591</t>
  </si>
  <si>
    <t>1986/04/01</t>
  </si>
  <si>
    <t>EMP0592</t>
  </si>
  <si>
    <t>2001-02-04</t>
  </si>
  <si>
    <t>88854939439</t>
  </si>
  <si>
    <t>EMP0593</t>
  </si>
  <si>
    <t>1989-06-21</t>
  </si>
  <si>
    <t>089305776942</t>
  </si>
  <si>
    <t>EMP0594</t>
  </si>
  <si>
    <t>1995-11-05</t>
  </si>
  <si>
    <t>83799361690</t>
  </si>
  <si>
    <t>EMP0595</t>
  </si>
  <si>
    <t>1991-02-08</t>
  </si>
  <si>
    <t>81984769125</t>
  </si>
  <si>
    <t>EMP0596</t>
  </si>
  <si>
    <t>2002-09-14</t>
  </si>
  <si>
    <t>080472532595</t>
  </si>
  <si>
    <t>EMP0597</t>
  </si>
  <si>
    <t>1994-10-23</t>
  </si>
  <si>
    <t>085270177541</t>
  </si>
  <si>
    <t>EMP0598</t>
  </si>
  <si>
    <t>1995-02-05</t>
  </si>
  <si>
    <t>085202060964</t>
  </si>
  <si>
    <t>EMP0599</t>
  </si>
  <si>
    <t>1995-05-18</t>
  </si>
  <si>
    <t>085790657796</t>
  </si>
  <si>
    <t>EMP0600</t>
  </si>
  <si>
    <t>1993/07/01</t>
  </si>
  <si>
    <t>088366315066</t>
  </si>
  <si>
    <t>EMP0601</t>
  </si>
  <si>
    <t>1997-12-06</t>
  </si>
  <si>
    <t>089521059189</t>
  </si>
  <si>
    <t>1986/06/04</t>
  </si>
  <si>
    <t>083567378807</t>
  </si>
  <si>
    <t>EMP0603</t>
  </si>
  <si>
    <t>1997-12-02</t>
  </si>
  <si>
    <t>085990992811</t>
  </si>
  <si>
    <t>EMP0604</t>
  </si>
  <si>
    <t>1997-02-10</t>
  </si>
  <si>
    <t>085410978786</t>
  </si>
  <si>
    <t>EMP0605</t>
  </si>
  <si>
    <t>1999-01-15</t>
  </si>
  <si>
    <t>086279657892</t>
  </si>
  <si>
    <t>EMP0606</t>
  </si>
  <si>
    <t>1999-02-15</t>
  </si>
  <si>
    <t>088906323020</t>
  </si>
  <si>
    <t>EMP0607</t>
  </si>
  <si>
    <t>087549117184</t>
  </si>
  <si>
    <t>EMP0608</t>
  </si>
  <si>
    <t>1990-04-21</t>
  </si>
  <si>
    <t>084209331576</t>
  </si>
  <si>
    <t>EMP0609</t>
  </si>
  <si>
    <t>082713486459</t>
  </si>
  <si>
    <t>EMP0610</t>
  </si>
  <si>
    <t>1992/03/24</t>
  </si>
  <si>
    <t>081489647412</t>
  </si>
  <si>
    <t>EMP0611</t>
  </si>
  <si>
    <t>1991-01-21</t>
  </si>
  <si>
    <t>EMP0612</t>
  </si>
  <si>
    <t>1992-05-17</t>
  </si>
  <si>
    <t>85385066665</t>
  </si>
  <si>
    <t>EMP0613</t>
  </si>
  <si>
    <t>082933587127</t>
  </si>
  <si>
    <t>EMP0614</t>
  </si>
  <si>
    <t>1989-06-20</t>
  </si>
  <si>
    <t>EMP0615</t>
  </si>
  <si>
    <t>1988-08-02</t>
  </si>
  <si>
    <t>086091259501</t>
  </si>
  <si>
    <t>EMP0616</t>
  </si>
  <si>
    <t>1988-03-01</t>
  </si>
  <si>
    <t>085994492572</t>
  </si>
  <si>
    <t>EMP0617</t>
  </si>
  <si>
    <t>1992-10-20</t>
  </si>
  <si>
    <t>085423083012</t>
  </si>
  <si>
    <t>EMP0618</t>
  </si>
  <si>
    <t>2000-11-28</t>
  </si>
  <si>
    <t>082033875712</t>
  </si>
  <si>
    <t>EMP0619</t>
  </si>
  <si>
    <t>2001-11-22</t>
  </si>
  <si>
    <t>084907118729</t>
  </si>
  <si>
    <t>EMP0620</t>
  </si>
  <si>
    <t>1990-05-03</t>
  </si>
  <si>
    <t>087544520449</t>
  </si>
  <si>
    <t>EMP0621</t>
  </si>
  <si>
    <t>1986-11-02</t>
  </si>
  <si>
    <t>EMP0622</t>
  </si>
  <si>
    <t>1994-08-30</t>
  </si>
  <si>
    <t>086067102036</t>
  </si>
  <si>
    <t>080859889094</t>
  </si>
  <si>
    <t>EMP0624</t>
  </si>
  <si>
    <t>1997-01-02</t>
  </si>
  <si>
    <t>EMP0625</t>
  </si>
  <si>
    <t>1992/08/22</t>
  </si>
  <si>
    <t>086682960880</t>
  </si>
  <si>
    <t>EMP0626</t>
  </si>
  <si>
    <t>1989-09-25</t>
  </si>
  <si>
    <t>087263215799</t>
  </si>
  <si>
    <t>EMP0627</t>
  </si>
  <si>
    <t>1991-11-20</t>
  </si>
  <si>
    <t>080463687994</t>
  </si>
  <si>
    <t>EMP0628</t>
  </si>
  <si>
    <t>080527207988</t>
  </si>
  <si>
    <t>EMP0629</t>
  </si>
  <si>
    <t>1998-01-01</t>
  </si>
  <si>
    <t>088028721917</t>
  </si>
  <si>
    <t>EMP0630</t>
  </si>
  <si>
    <t>1989-10-07</t>
  </si>
  <si>
    <t>EMP0631</t>
  </si>
  <si>
    <t>1995/05/24</t>
  </si>
  <si>
    <t>081900828777</t>
  </si>
  <si>
    <t>EMP0632</t>
  </si>
  <si>
    <t>2003-10-01</t>
  </si>
  <si>
    <t>085177776128</t>
  </si>
  <si>
    <t>EMP0633</t>
  </si>
  <si>
    <t>1988-11-08</t>
  </si>
  <si>
    <t>080226766369</t>
  </si>
  <si>
    <t>EMP0634</t>
  </si>
  <si>
    <t>1994-02-04</t>
  </si>
  <si>
    <t>EMP0635</t>
  </si>
  <si>
    <t>2002-07-06</t>
  </si>
  <si>
    <t>081745907951</t>
  </si>
  <si>
    <t>EMP0636</t>
  </si>
  <si>
    <t>1992-09-30</t>
  </si>
  <si>
    <t>082892596366</t>
  </si>
  <si>
    <t>EMP0637</t>
  </si>
  <si>
    <t>1989-05-05</t>
  </si>
  <si>
    <t>080136223664</t>
  </si>
  <si>
    <t>EMP0638</t>
  </si>
  <si>
    <t>1989-01-21</t>
  </si>
  <si>
    <t>088833502465</t>
  </si>
  <si>
    <t>EMP0639</t>
  </si>
  <si>
    <t>1997-10-11</t>
  </si>
  <si>
    <t>081915826939</t>
  </si>
  <si>
    <t>EMP0640</t>
  </si>
  <si>
    <t>1996-07-03</t>
  </si>
  <si>
    <t>088384741605</t>
  </si>
  <si>
    <t>EMP0641</t>
  </si>
  <si>
    <t>1986-06-01</t>
  </si>
  <si>
    <t>087772408157</t>
  </si>
  <si>
    <t>EMP0642</t>
  </si>
  <si>
    <t>2002-03-05</t>
  </si>
  <si>
    <t>083075620150</t>
  </si>
  <si>
    <t>EMP0643</t>
  </si>
  <si>
    <t>2001-04-17</t>
  </si>
  <si>
    <t>083451065950</t>
  </si>
  <si>
    <t>2000-07-30</t>
  </si>
  <si>
    <t>081252290975</t>
  </si>
  <si>
    <t>EMP0645</t>
  </si>
  <si>
    <t>1986-03-28</t>
  </si>
  <si>
    <t>086367542511</t>
  </si>
  <si>
    <t>EMP0646</t>
  </si>
  <si>
    <t>1993-03-31</t>
  </si>
  <si>
    <t>082504790886</t>
  </si>
  <si>
    <t>EMP0647</t>
  </si>
  <si>
    <t>1989-12-30</t>
  </si>
  <si>
    <t>087180184557</t>
  </si>
  <si>
    <t>EMP0648</t>
  </si>
  <si>
    <t>1985-08-02</t>
  </si>
  <si>
    <t>089571223069</t>
  </si>
  <si>
    <t>EMP0649</t>
  </si>
  <si>
    <t>1991/08/19</t>
  </si>
  <si>
    <t>085696592016</t>
  </si>
  <si>
    <t>EMP0650</t>
  </si>
  <si>
    <t>1992-08-16</t>
  </si>
  <si>
    <t>087620918437</t>
  </si>
  <si>
    <t>EMP0651</t>
  </si>
  <si>
    <t>1995-12-03</t>
  </si>
  <si>
    <t>084251938118</t>
  </si>
  <si>
    <t>EMP0652</t>
  </si>
  <si>
    <t>1998-03-12</t>
  </si>
  <si>
    <t>085997886860</t>
  </si>
  <si>
    <t>EMP0653</t>
  </si>
  <si>
    <t>1991-04-26</t>
  </si>
  <si>
    <t>080565182867</t>
  </si>
  <si>
    <t>1995-12-04</t>
  </si>
  <si>
    <t>EMP0655</t>
  </si>
  <si>
    <t>1990-06-09</t>
  </si>
  <si>
    <t>084330173158</t>
  </si>
  <si>
    <t>EMP0656</t>
  </si>
  <si>
    <t>1994-10-13</t>
  </si>
  <si>
    <t>081426475941</t>
  </si>
  <si>
    <t>EMP0657</t>
  </si>
  <si>
    <t>1986/08/30</t>
  </si>
  <si>
    <t>085012249453</t>
  </si>
  <si>
    <t>EMP0658</t>
  </si>
  <si>
    <t>1999-10-08</t>
  </si>
  <si>
    <t>88725326276</t>
  </si>
  <si>
    <t>EMP0659</t>
  </si>
  <si>
    <t>2000-03-31</t>
  </si>
  <si>
    <t>087794239494</t>
  </si>
  <si>
    <t>EMP0660</t>
  </si>
  <si>
    <t>2001-04-20</t>
  </si>
  <si>
    <t>088250059507</t>
  </si>
  <si>
    <t>EMP0661</t>
  </si>
  <si>
    <t>1991-10-09</t>
  </si>
  <si>
    <t>89522138302</t>
  </si>
  <si>
    <t>EMP0662</t>
  </si>
  <si>
    <t>1988-03-30</t>
  </si>
  <si>
    <t>085010006191</t>
  </si>
  <si>
    <t>EMP0663</t>
  </si>
  <si>
    <t>1990-11-06</t>
  </si>
  <si>
    <t>081428911452</t>
  </si>
  <si>
    <t>EMP0664</t>
  </si>
  <si>
    <t>1993/11/22</t>
  </si>
  <si>
    <t>088901268946</t>
  </si>
  <si>
    <t>EMP0665</t>
  </si>
  <si>
    <t>2002-02-04</t>
  </si>
  <si>
    <t>086229488320</t>
  </si>
  <si>
    <t>EMP0666</t>
  </si>
  <si>
    <t>1996/02/25</t>
  </si>
  <si>
    <t>081220425000</t>
  </si>
  <si>
    <t>EMP0667</t>
  </si>
  <si>
    <t>1998-12-17</t>
  </si>
  <si>
    <t>080764459661</t>
  </si>
  <si>
    <t>EMP0668</t>
  </si>
  <si>
    <t>086465621089</t>
  </si>
  <si>
    <t>EMP0669</t>
  </si>
  <si>
    <t>1990-09-15</t>
  </si>
  <si>
    <t>089670270084</t>
  </si>
  <si>
    <t>EMP0670</t>
  </si>
  <si>
    <t>1992-04-19</t>
  </si>
  <si>
    <t>083385405147</t>
  </si>
  <si>
    <t>EMP0671</t>
  </si>
  <si>
    <t>2000-06-15</t>
  </si>
  <si>
    <t>081869996666</t>
  </si>
  <si>
    <t>EMP0672</t>
  </si>
  <si>
    <t>1993-08-17</t>
  </si>
  <si>
    <t>080969284658</t>
  </si>
  <si>
    <t>EMP0673</t>
  </si>
  <si>
    <t>1994-10-18</t>
  </si>
  <si>
    <t>084168168581</t>
  </si>
  <si>
    <t>2001-06-13</t>
  </si>
  <si>
    <t>084989273381</t>
  </si>
  <si>
    <t>EMP0675</t>
  </si>
  <si>
    <t>1995-10-17</t>
  </si>
  <si>
    <t>085524321937</t>
  </si>
  <si>
    <t>EMP0676</t>
  </si>
  <si>
    <t>1987-12-20</t>
  </si>
  <si>
    <t>084964369796</t>
  </si>
  <si>
    <t>EMP0677</t>
  </si>
  <si>
    <t>1997-04-21</t>
  </si>
  <si>
    <t>082519570748</t>
  </si>
  <si>
    <t>EMP0678</t>
  </si>
  <si>
    <t>1998-10-06</t>
  </si>
  <si>
    <t>089370577204</t>
  </si>
  <si>
    <t>EMP0080</t>
  </si>
  <si>
    <t>1999-04-03</t>
  </si>
  <si>
    <t>087630232627</t>
  </si>
  <si>
    <t>EMP0680</t>
  </si>
  <si>
    <t>1993-01-13</t>
  </si>
  <si>
    <t>089166253059</t>
  </si>
  <si>
    <t>EMP0681</t>
  </si>
  <si>
    <t>1997-11-27</t>
  </si>
  <si>
    <t>089007268461</t>
  </si>
  <si>
    <t>EMP0682</t>
  </si>
  <si>
    <t>087792279399</t>
  </si>
  <si>
    <t>EMP0683</t>
  </si>
  <si>
    <t>1999-09-11</t>
  </si>
  <si>
    <t>086975135300</t>
  </si>
  <si>
    <t>EMP0684</t>
  </si>
  <si>
    <t>2000-04-10</t>
  </si>
  <si>
    <t>085117034100</t>
  </si>
  <si>
    <t>EMP0685</t>
  </si>
  <si>
    <t>2003/07/18</t>
  </si>
  <si>
    <t>082766874802</t>
  </si>
  <si>
    <t>EMP0686</t>
  </si>
  <si>
    <t>1988-11-25</t>
  </si>
  <si>
    <t>87602467406</t>
  </si>
  <si>
    <t>EMP0687</t>
  </si>
  <si>
    <t>1998/05/18</t>
  </si>
  <si>
    <t>086287147779</t>
  </si>
  <si>
    <t>EMP0688</t>
  </si>
  <si>
    <t>2001/04/20</t>
  </si>
  <si>
    <t>80278355709</t>
  </si>
  <si>
    <t>EMP0689</t>
  </si>
  <si>
    <t>083767815102</t>
  </si>
  <si>
    <t>EMP0690</t>
  </si>
  <si>
    <t>2002-11-22</t>
  </si>
  <si>
    <t>83978501096</t>
  </si>
  <si>
    <t>EMP0691</t>
  </si>
  <si>
    <t>1994-01-19</t>
  </si>
  <si>
    <t>086044084785</t>
  </si>
  <si>
    <t>EMP0692</t>
  </si>
  <si>
    <t>2003-09-11</t>
  </si>
  <si>
    <t>086448278826</t>
  </si>
  <si>
    <t>EMP0693</t>
  </si>
  <si>
    <t>1990-01-17</t>
  </si>
  <si>
    <t>81933541228</t>
  </si>
  <si>
    <t>EMP0694</t>
  </si>
  <si>
    <t>1990/06/09</t>
  </si>
  <si>
    <t>88822974634</t>
  </si>
  <si>
    <t>EMP0695</t>
  </si>
  <si>
    <t>1985/02/22</t>
  </si>
  <si>
    <t>085522835894</t>
  </si>
  <si>
    <t>EMP0696</t>
  </si>
  <si>
    <t>1985-05-14</t>
  </si>
  <si>
    <t>086919187719</t>
  </si>
  <si>
    <t>EMP0697</t>
  </si>
  <si>
    <t>086530423843</t>
  </si>
  <si>
    <t>EMP0698</t>
  </si>
  <si>
    <t>1994-01-25</t>
  </si>
  <si>
    <t>086957774119</t>
  </si>
  <si>
    <t>EMP0699</t>
  </si>
  <si>
    <t>1985/07/26</t>
  </si>
  <si>
    <t>082462823309</t>
  </si>
  <si>
    <t>EMP0700</t>
  </si>
  <si>
    <t>085227776211</t>
  </si>
  <si>
    <t>EMP0701</t>
  </si>
  <si>
    <t>1994-01-02</t>
  </si>
  <si>
    <t>088421446157</t>
  </si>
  <si>
    <t>EMP0702</t>
  </si>
  <si>
    <t>080353758669</t>
  </si>
  <si>
    <t>EMP0703</t>
  </si>
  <si>
    <t>1994-01-22</t>
  </si>
  <si>
    <t>089315859775</t>
  </si>
  <si>
    <t>EMP0704</t>
  </si>
  <si>
    <t>1996-11-07</t>
  </si>
  <si>
    <t>086331222620</t>
  </si>
  <si>
    <t>EMP0705</t>
  </si>
  <si>
    <t>2000-02-18</t>
  </si>
  <si>
    <t>084873960178</t>
  </si>
  <si>
    <t>EMP0706</t>
  </si>
  <si>
    <t>1992-07-07</t>
  </si>
  <si>
    <t>089792842571</t>
  </si>
  <si>
    <t>EMP0707</t>
  </si>
  <si>
    <t>1990-04-27</t>
  </si>
  <si>
    <t>EMP0708</t>
  </si>
  <si>
    <t>1999-03-09</t>
  </si>
  <si>
    <t>83365586091</t>
  </si>
  <si>
    <t>EMP0709</t>
  </si>
  <si>
    <t>1996-03-04</t>
  </si>
  <si>
    <t>084092029667</t>
  </si>
  <si>
    <t>EMP0710</t>
  </si>
  <si>
    <t>2001-11-15</t>
  </si>
  <si>
    <t>085971757478</t>
  </si>
  <si>
    <t>EMP0711</t>
  </si>
  <si>
    <t>1986-02-05</t>
  </si>
  <si>
    <t>082190963754</t>
  </si>
  <si>
    <t>EMP0712</t>
  </si>
  <si>
    <t>2001/04/24</t>
  </si>
  <si>
    <t>084783070179</t>
  </si>
  <si>
    <t>2000-11-04</t>
  </si>
  <si>
    <t>84749585555</t>
  </si>
  <si>
    <t>EMP0714</t>
  </si>
  <si>
    <t>1989-05-27</t>
  </si>
  <si>
    <t>82778782829</t>
  </si>
  <si>
    <t>EMP0715</t>
  </si>
  <si>
    <t>2003-07-21</t>
  </si>
  <si>
    <t>081315680926</t>
  </si>
  <si>
    <t>EMP0716</t>
  </si>
  <si>
    <t>2001/11/27</t>
  </si>
  <si>
    <t>86832167419</t>
  </si>
  <si>
    <t>EMP0717</t>
  </si>
  <si>
    <t>1996-12-29</t>
  </si>
  <si>
    <t>084835927447</t>
  </si>
  <si>
    <t>EMP0718</t>
  </si>
  <si>
    <t>1986-10-06</t>
  </si>
  <si>
    <t>088042535289</t>
  </si>
  <si>
    <t>EMP0719</t>
  </si>
  <si>
    <t>1991-10-04</t>
  </si>
  <si>
    <t>083012940602</t>
  </si>
  <si>
    <t>EMP0720</t>
  </si>
  <si>
    <t>2002/11/12</t>
  </si>
  <si>
    <t>088050651892</t>
  </si>
  <si>
    <t>EMP0721</t>
  </si>
  <si>
    <t>087636128953</t>
  </si>
  <si>
    <t>EMP0722</t>
  </si>
  <si>
    <t>086502937151</t>
  </si>
  <si>
    <t>EMP0723</t>
  </si>
  <si>
    <t>RUDI HARTONO</t>
  </si>
  <si>
    <t>1991-01-18</t>
  </si>
  <si>
    <t>086610582139</t>
  </si>
  <si>
    <t>EMP0724</t>
  </si>
  <si>
    <t>1998-04-17</t>
  </si>
  <si>
    <t>81427575438</t>
  </si>
  <si>
    <t>EMP0725</t>
  </si>
  <si>
    <t>1990-06-21</t>
  </si>
  <si>
    <t>082161621810</t>
  </si>
  <si>
    <t>EMP0726</t>
  </si>
  <si>
    <t>1989/02/08</t>
  </si>
  <si>
    <t>086393922836</t>
  </si>
  <si>
    <t>EMP0727</t>
  </si>
  <si>
    <t>1988-02-02</t>
  </si>
  <si>
    <t>081734786785</t>
  </si>
  <si>
    <t>EMP0728</t>
  </si>
  <si>
    <t>1992-12-31</t>
  </si>
  <si>
    <t>085914240299</t>
  </si>
  <si>
    <t>EMP0729</t>
  </si>
  <si>
    <t>1992/10/15</t>
  </si>
  <si>
    <t>088330708706</t>
  </si>
  <si>
    <t>EMP0730</t>
  </si>
  <si>
    <t>1986-11-13</t>
  </si>
  <si>
    <t>086399295852</t>
  </si>
  <si>
    <t>EMP0731</t>
  </si>
  <si>
    <t>1987-05-28</t>
  </si>
  <si>
    <t>085069583115</t>
  </si>
  <si>
    <t>EMP0732</t>
  </si>
  <si>
    <t>089768668673</t>
  </si>
  <si>
    <t>EMP0733</t>
  </si>
  <si>
    <t>2002-11-14</t>
  </si>
  <si>
    <t>82972304350</t>
  </si>
  <si>
    <t>EMP0734</t>
  </si>
  <si>
    <t>1990-06-23</t>
  </si>
  <si>
    <t>083831431288</t>
  </si>
  <si>
    <t>EMP0735</t>
  </si>
  <si>
    <t>1989-01-31</t>
  </si>
  <si>
    <t>85692847875</t>
  </si>
  <si>
    <t>EMP0736</t>
  </si>
  <si>
    <t>1985-09-11</t>
  </si>
  <si>
    <t>083111946356</t>
  </si>
  <si>
    <t>EMP0737</t>
  </si>
  <si>
    <t>2001-01-18</t>
  </si>
  <si>
    <t>088231997414</t>
  </si>
  <si>
    <t>EMP0738</t>
  </si>
  <si>
    <t>1993-12-02</t>
  </si>
  <si>
    <t>EMP0739</t>
  </si>
  <si>
    <t>2001-01-25</t>
  </si>
  <si>
    <t>80155839865</t>
  </si>
  <si>
    <t>EMP0740</t>
  </si>
  <si>
    <t>1989-04-07</t>
  </si>
  <si>
    <t>081263935211</t>
  </si>
  <si>
    <t>EMP0741</t>
  </si>
  <si>
    <t>1999-03-06</t>
  </si>
  <si>
    <t>85707950094</t>
  </si>
  <si>
    <t>EMP0742</t>
  </si>
  <si>
    <t>2002-10-18</t>
  </si>
  <si>
    <t>083799900612</t>
  </si>
  <si>
    <t>EMP0743</t>
  </si>
  <si>
    <t>1994-02-09</t>
  </si>
  <si>
    <t>089175443271</t>
  </si>
  <si>
    <t>EMP0744</t>
  </si>
  <si>
    <t>2000-09-26</t>
  </si>
  <si>
    <t>083776181949</t>
  </si>
  <si>
    <t>EMP0745</t>
  </si>
  <si>
    <t>2001/03/03</t>
  </si>
  <si>
    <t>086937607001</t>
  </si>
  <si>
    <t>EMP0746</t>
  </si>
  <si>
    <t>080611655455</t>
  </si>
  <si>
    <t>EMP0747</t>
  </si>
  <si>
    <t>1994-02-16</t>
  </si>
  <si>
    <t>084341468404</t>
  </si>
  <si>
    <t>EMP0748</t>
  </si>
  <si>
    <t>1998-01-24</t>
  </si>
  <si>
    <t>089445063072</t>
  </si>
  <si>
    <t>EMP0749</t>
  </si>
  <si>
    <t>1996-08-19</t>
  </si>
  <si>
    <t>082366461020</t>
  </si>
  <si>
    <t>1986-05-25</t>
  </si>
  <si>
    <t>EMP0751</t>
  </si>
  <si>
    <t>2001-06-02</t>
  </si>
  <si>
    <t>087387319886</t>
  </si>
  <si>
    <t>EMP0752</t>
  </si>
  <si>
    <t>1985-12-08</t>
  </si>
  <si>
    <t>082295799759</t>
  </si>
  <si>
    <t>EMP0753</t>
  </si>
  <si>
    <t>2001-07-18</t>
  </si>
  <si>
    <t>081286734415</t>
  </si>
  <si>
    <t>EMP0754</t>
  </si>
  <si>
    <t>1996/12/05</t>
  </si>
  <si>
    <t>083693091122</t>
  </si>
  <si>
    <t>EMP0755</t>
  </si>
  <si>
    <t>089711459795</t>
  </si>
  <si>
    <t>EMP0756</t>
  </si>
  <si>
    <t>1986-10-28</t>
  </si>
  <si>
    <t>082142633724</t>
  </si>
  <si>
    <t>EMP0757</t>
  </si>
  <si>
    <t>1986-09-10</t>
  </si>
  <si>
    <t>EMP0758</t>
  </si>
  <si>
    <t>1985-04-15</t>
  </si>
  <si>
    <t>085872131135</t>
  </si>
  <si>
    <t>EMP0759</t>
  </si>
  <si>
    <t>2002-12-20</t>
  </si>
  <si>
    <t>086627119509</t>
  </si>
  <si>
    <t>EMP0760</t>
  </si>
  <si>
    <t>1992-07-08</t>
  </si>
  <si>
    <t>087518958393</t>
  </si>
  <si>
    <t>EMP0761</t>
  </si>
  <si>
    <t>1994-07-06</t>
  </si>
  <si>
    <t>EMP0762</t>
  </si>
  <si>
    <t>2003-01-01</t>
  </si>
  <si>
    <t>080603111419</t>
  </si>
  <si>
    <t>EMP0763</t>
  </si>
  <si>
    <t>1988-04-08</t>
  </si>
  <si>
    <t>081151079228</t>
  </si>
  <si>
    <t>EMP0764</t>
  </si>
  <si>
    <t>2001-12-21</t>
  </si>
  <si>
    <t>083967607331</t>
  </si>
  <si>
    <t>EMP0765</t>
  </si>
  <si>
    <t>081518712465</t>
  </si>
  <si>
    <t>EMP0766</t>
  </si>
  <si>
    <t>1990/12/27</t>
  </si>
  <si>
    <t>089426330358</t>
  </si>
  <si>
    <t>EMP0767</t>
  </si>
  <si>
    <t>1996-09-15</t>
  </si>
  <si>
    <t>080189204227</t>
  </si>
  <si>
    <t>EMP0768</t>
  </si>
  <si>
    <t>1988-07-08</t>
  </si>
  <si>
    <t>085871673551</t>
  </si>
  <si>
    <t>EMP0769</t>
  </si>
  <si>
    <t>1992-05-08</t>
  </si>
  <si>
    <t>084401045040</t>
  </si>
  <si>
    <t>EMP0770</t>
  </si>
  <si>
    <t>1992-12-04</t>
  </si>
  <si>
    <t>087363770041</t>
  </si>
  <si>
    <t>EMP0771</t>
  </si>
  <si>
    <t>083765215375</t>
  </si>
  <si>
    <t>EMP0772</t>
  </si>
  <si>
    <t>1991-06-01</t>
  </si>
  <si>
    <t>EMP0773</t>
  </si>
  <si>
    <t>85924162695</t>
  </si>
  <si>
    <t>EMP0774</t>
  </si>
  <si>
    <t>1985-08-26</t>
  </si>
  <si>
    <t>086611669756</t>
  </si>
  <si>
    <t>EMP0775</t>
  </si>
  <si>
    <t>2002-12-29</t>
  </si>
  <si>
    <t>083150606102</t>
  </si>
  <si>
    <t>EMP0776</t>
  </si>
  <si>
    <t>1989-08-14</t>
  </si>
  <si>
    <t>86285927375</t>
  </si>
  <si>
    <t>EMP0777</t>
  </si>
  <si>
    <t>1996-11-12</t>
  </si>
  <si>
    <t>081392372510</t>
  </si>
  <si>
    <t>EMP0778</t>
  </si>
  <si>
    <t>088784291518</t>
  </si>
  <si>
    <t>EMP0779</t>
  </si>
  <si>
    <t>1989-07-02</t>
  </si>
  <si>
    <t>088641721445</t>
  </si>
  <si>
    <t>EMP0780</t>
  </si>
  <si>
    <t>2003-01-23</t>
  </si>
  <si>
    <t>086842366223</t>
  </si>
  <si>
    <t>EMP0781</t>
  </si>
  <si>
    <t>1996-06-10</t>
  </si>
  <si>
    <t>087546433572</t>
  </si>
  <si>
    <t>EMP0782</t>
  </si>
  <si>
    <t>2000-02-16</t>
  </si>
  <si>
    <t>088243795283</t>
  </si>
  <si>
    <t>EMP0783</t>
  </si>
  <si>
    <t>1994-12-14</t>
  </si>
  <si>
    <t>EMP0784</t>
  </si>
  <si>
    <t>2001-10-19</t>
  </si>
  <si>
    <t>087789538097</t>
  </si>
  <si>
    <t>EMP0785</t>
  </si>
  <si>
    <t>2001-06-10</t>
  </si>
  <si>
    <t>089831631973</t>
  </si>
  <si>
    <t>EMP0786</t>
  </si>
  <si>
    <t>1992-03-15</t>
  </si>
  <si>
    <t>82196413954</t>
  </si>
  <si>
    <t>1995-09-27</t>
  </si>
  <si>
    <t>087090652115</t>
  </si>
  <si>
    <t>EMP0788</t>
  </si>
  <si>
    <t>1987-10-21</t>
  </si>
  <si>
    <t>084491423037</t>
  </si>
  <si>
    <t>EMP0789</t>
  </si>
  <si>
    <t>2003-10-27</t>
  </si>
  <si>
    <t>83668972205</t>
  </si>
  <si>
    <t>EMP0790</t>
  </si>
  <si>
    <t>1991-11-11</t>
  </si>
  <si>
    <t>084535635192</t>
  </si>
  <si>
    <t>EMP0250</t>
  </si>
  <si>
    <t>2000-10-25</t>
  </si>
  <si>
    <t>080641714767</t>
  </si>
  <si>
    <t>EMP0792</t>
  </si>
  <si>
    <t>1993-09-23</t>
  </si>
  <si>
    <t>082837715585</t>
  </si>
  <si>
    <t>EMP0793</t>
  </si>
  <si>
    <t>2002-10-10</t>
  </si>
  <si>
    <t>80005924241</t>
  </si>
  <si>
    <t>EMP0794</t>
  </si>
  <si>
    <t>1985-09-16</t>
  </si>
  <si>
    <t>81679253988</t>
  </si>
  <si>
    <t>EMP0795</t>
  </si>
  <si>
    <t>1990-07-23</t>
  </si>
  <si>
    <t>082859719126</t>
  </si>
  <si>
    <t>EMP0796</t>
  </si>
  <si>
    <t>1989-02-03</t>
  </si>
  <si>
    <t>082258816413</t>
  </si>
  <si>
    <t>EMP0797</t>
  </si>
  <si>
    <t>1994-08-11</t>
  </si>
  <si>
    <t>EMP0798</t>
  </si>
  <si>
    <t>2002/07/01</t>
  </si>
  <si>
    <t>080335624841</t>
  </si>
  <si>
    <t>EMP0799</t>
  </si>
  <si>
    <t>2001-07-19</t>
  </si>
  <si>
    <t>081253284127</t>
  </si>
  <si>
    <t>EMP0800</t>
  </si>
  <si>
    <t>1989-08-26</t>
  </si>
  <si>
    <t>089252887013</t>
  </si>
  <si>
    <t>EMP0801</t>
  </si>
  <si>
    <t>1997-06-03</t>
  </si>
  <si>
    <t>087224630843</t>
  </si>
  <si>
    <t>EMP0802</t>
  </si>
  <si>
    <t>2000-09-21</t>
  </si>
  <si>
    <t>86654855544</t>
  </si>
  <si>
    <t>EMP0803</t>
  </si>
  <si>
    <t>082672744945</t>
  </si>
  <si>
    <t>EMP0804</t>
  </si>
  <si>
    <t>1999/04/25</t>
  </si>
  <si>
    <t>086355770262</t>
  </si>
  <si>
    <t>EMP0805</t>
  </si>
  <si>
    <t>1999/09/18</t>
  </si>
  <si>
    <t>088440791021</t>
  </si>
  <si>
    <t>1993-05-22</t>
  </si>
  <si>
    <t>082499611384</t>
  </si>
  <si>
    <t>EMP0807</t>
  </si>
  <si>
    <t>1985-09-20</t>
  </si>
  <si>
    <t>081557217253</t>
  </si>
  <si>
    <t>EMP0808</t>
  </si>
  <si>
    <t>1999-08-28</t>
  </si>
  <si>
    <t>084212761517</t>
  </si>
  <si>
    <t>EMP0809</t>
  </si>
  <si>
    <t>1998-08-31</t>
  </si>
  <si>
    <t>086090414168</t>
  </si>
  <si>
    <t>EMP0810</t>
  </si>
  <si>
    <t>1992-04-16</t>
  </si>
  <si>
    <t>080707845649</t>
  </si>
  <si>
    <t>EMP0811</t>
  </si>
  <si>
    <t>081195139025</t>
  </si>
  <si>
    <t>EMP0812</t>
  </si>
  <si>
    <t>1991-05-24</t>
  </si>
  <si>
    <t>086825679003</t>
  </si>
  <si>
    <t>EMP0813</t>
  </si>
  <si>
    <t>1996-07-19</t>
  </si>
  <si>
    <t>086171846983</t>
  </si>
  <si>
    <t>EMP0814</t>
  </si>
  <si>
    <t>1991-07-04</t>
  </si>
  <si>
    <t>086780954050</t>
  </si>
  <si>
    <t>EMP0815</t>
  </si>
  <si>
    <t>1994-06-10</t>
  </si>
  <si>
    <t>081660861609</t>
  </si>
  <si>
    <t>EMP0816</t>
  </si>
  <si>
    <t>1992-04-12</t>
  </si>
  <si>
    <t>EMP0817</t>
  </si>
  <si>
    <t>1987-02-23</t>
  </si>
  <si>
    <t>080145236809</t>
  </si>
  <si>
    <t>EMP0818</t>
  </si>
  <si>
    <t>080678724476</t>
  </si>
  <si>
    <t>1993-05-01</t>
  </si>
  <si>
    <t>083267069301</t>
  </si>
  <si>
    <t>EMP0820</t>
  </si>
  <si>
    <t>1995-04-05</t>
  </si>
  <si>
    <t>085395294016</t>
  </si>
  <si>
    <t>EMP0821</t>
  </si>
  <si>
    <t>1989-08-18</t>
  </si>
  <si>
    <t>089740363114</t>
  </si>
  <si>
    <t>EMP0822</t>
  </si>
  <si>
    <t>1988-06-02</t>
  </si>
  <si>
    <t>089096151816</t>
  </si>
  <si>
    <t>EMP0823</t>
  </si>
  <si>
    <t>1995-02-28</t>
  </si>
  <si>
    <t>089052007184</t>
  </si>
  <si>
    <t>EMP0824</t>
  </si>
  <si>
    <t>2001-02-14</t>
  </si>
  <si>
    <t>088029718888</t>
  </si>
  <si>
    <t>EMP0825</t>
  </si>
  <si>
    <t>1998-11-04</t>
  </si>
  <si>
    <t>081672360257</t>
  </si>
  <si>
    <t>EMP0826</t>
  </si>
  <si>
    <t>1991-05-27</t>
  </si>
  <si>
    <t>084300032608</t>
  </si>
  <si>
    <t>EMP0827</t>
  </si>
  <si>
    <t>1995-12-28</t>
  </si>
  <si>
    <t>081056663439</t>
  </si>
  <si>
    <t>EMP0828</t>
  </si>
  <si>
    <t>1985-12-10</t>
  </si>
  <si>
    <t>EMP0829</t>
  </si>
  <si>
    <t>1988-04-15</t>
  </si>
  <si>
    <t>086732218135</t>
  </si>
  <si>
    <t>EMP0830</t>
  </si>
  <si>
    <t>2002-07-02</t>
  </si>
  <si>
    <t>082435249800</t>
  </si>
  <si>
    <t>EMP0831</t>
  </si>
  <si>
    <t>1995-05-11</t>
  </si>
  <si>
    <t>080893911663</t>
  </si>
  <si>
    <t>EMP0832</t>
  </si>
  <si>
    <t>1997/11/01</t>
  </si>
  <si>
    <t>083385209331</t>
  </si>
  <si>
    <t>EMP0833</t>
  </si>
  <si>
    <t>1987-10-26</t>
  </si>
  <si>
    <t>86694471437</t>
  </si>
  <si>
    <t>EMP0834</t>
  </si>
  <si>
    <t>1990-05-29</t>
  </si>
  <si>
    <t>81530529908</t>
  </si>
  <si>
    <t>EMP0835</t>
  </si>
  <si>
    <t>1994-10-19</t>
  </si>
  <si>
    <t>082561217357</t>
  </si>
  <si>
    <t>EMP0836</t>
  </si>
  <si>
    <t>1995-04-30</t>
  </si>
  <si>
    <t>086637438729</t>
  </si>
  <si>
    <t>EMP0837</t>
  </si>
  <si>
    <t>087699020589</t>
  </si>
  <si>
    <t>EMP0838</t>
  </si>
  <si>
    <t>1994-03-02</t>
  </si>
  <si>
    <t>083161943505</t>
  </si>
  <si>
    <t>EMP0839</t>
  </si>
  <si>
    <t>1985-04-03</t>
  </si>
  <si>
    <t>088699945767</t>
  </si>
  <si>
    <t>EMP0840</t>
  </si>
  <si>
    <t>1992-08-12</t>
  </si>
  <si>
    <t>082606044455</t>
  </si>
  <si>
    <t>EMP0841</t>
  </si>
  <si>
    <t>1986-06-08</t>
  </si>
  <si>
    <t>080455655407</t>
  </si>
  <si>
    <t>EMP0842</t>
  </si>
  <si>
    <t>1995-03-17</t>
  </si>
  <si>
    <t>81450363687</t>
  </si>
  <si>
    <t>EMP0843</t>
  </si>
  <si>
    <t>1994-05-14</t>
  </si>
  <si>
    <t>085455880579</t>
  </si>
  <si>
    <t>EMP0844</t>
  </si>
  <si>
    <t>1991-02-13</t>
  </si>
  <si>
    <t>084268093345</t>
  </si>
  <si>
    <t>EMP0845</t>
  </si>
  <si>
    <t>080205676462</t>
  </si>
  <si>
    <t>EMP0846</t>
  </si>
  <si>
    <t>1992-12-15</t>
  </si>
  <si>
    <t>082717928531</t>
  </si>
  <si>
    <t>EMP0847</t>
  </si>
  <si>
    <t>1996-06-25</t>
  </si>
  <si>
    <t>086049772537</t>
  </si>
  <si>
    <t>EMP0848</t>
  </si>
  <si>
    <t>080130993519</t>
  </si>
  <si>
    <t>EMP0849</t>
  </si>
  <si>
    <t>1986-06-22</t>
  </si>
  <si>
    <t>089884620818</t>
  </si>
  <si>
    <t>EMP0850</t>
  </si>
  <si>
    <t>1996-04-26</t>
  </si>
  <si>
    <t>084171620394</t>
  </si>
  <si>
    <t>EMP0851</t>
  </si>
  <si>
    <t>1997-05-18</t>
  </si>
  <si>
    <t>088787504189</t>
  </si>
  <si>
    <t>EMP0852</t>
  </si>
  <si>
    <t>1985-11-30</t>
  </si>
  <si>
    <t>080415094760</t>
  </si>
  <si>
    <t>EMP0853</t>
  </si>
  <si>
    <t>085948616714</t>
  </si>
  <si>
    <t>EMP0854</t>
  </si>
  <si>
    <t>1991/06/30</t>
  </si>
  <si>
    <t>086253043173</t>
  </si>
  <si>
    <t>EMP0855</t>
  </si>
  <si>
    <t>2002-01-23</t>
  </si>
  <si>
    <t>85022718738</t>
  </si>
  <si>
    <t>EMP0856</t>
  </si>
  <si>
    <t>1999-10-07</t>
  </si>
  <si>
    <t>081791753082</t>
  </si>
  <si>
    <t>EMP0857</t>
  </si>
  <si>
    <t>1989-12-18</t>
  </si>
  <si>
    <t>084118125233</t>
  </si>
  <si>
    <t>EMP0858</t>
  </si>
  <si>
    <t>080907941297</t>
  </si>
  <si>
    <t>EMP0859</t>
  </si>
  <si>
    <t>1991-03-04</t>
  </si>
  <si>
    <t>082010963559</t>
  </si>
  <si>
    <t>EMP0860</t>
  </si>
  <si>
    <t>084494157377</t>
  </si>
  <si>
    <t>EMP0861</t>
  </si>
  <si>
    <t>1998-04-20</t>
  </si>
  <si>
    <t>EMP0862</t>
  </si>
  <si>
    <t>2001-05-10</t>
  </si>
  <si>
    <t>083163845429</t>
  </si>
  <si>
    <t>EMP0863</t>
  </si>
  <si>
    <t>2000-04-17</t>
  </si>
  <si>
    <t>080076977662</t>
  </si>
  <si>
    <t>EMP0864</t>
  </si>
  <si>
    <t>1991/08/28</t>
  </si>
  <si>
    <t>83114791904</t>
  </si>
  <si>
    <t>EMP0865</t>
  </si>
  <si>
    <t>1995-12-12</t>
  </si>
  <si>
    <t>080067762244</t>
  </si>
  <si>
    <t>EMP0866</t>
  </si>
  <si>
    <t>1994-12-07</t>
  </si>
  <si>
    <t>084229518342</t>
  </si>
  <si>
    <t>EMP0867</t>
  </si>
  <si>
    <t>1990-12-08</t>
  </si>
  <si>
    <t>85938020244</t>
  </si>
  <si>
    <t>EMP0868</t>
  </si>
  <si>
    <t>1995-09-23</t>
  </si>
  <si>
    <t>081873421984</t>
  </si>
  <si>
    <t>EMP0869</t>
  </si>
  <si>
    <t>1986-01-25</t>
  </si>
  <si>
    <t>086463724626</t>
  </si>
  <si>
    <t>EMP0870</t>
  </si>
  <si>
    <t>1993-05-28</t>
  </si>
  <si>
    <t>80182924127</t>
  </si>
  <si>
    <t>EMP0871</t>
  </si>
  <si>
    <t>84071023431</t>
  </si>
  <si>
    <t>EMP0872</t>
  </si>
  <si>
    <t>1992-10-05</t>
  </si>
  <si>
    <t>083129443074</t>
  </si>
  <si>
    <t>EMP0873</t>
  </si>
  <si>
    <t>1993-01-22</t>
  </si>
  <si>
    <t>EMP0874</t>
  </si>
  <si>
    <t>2000-02-24</t>
  </si>
  <si>
    <t>081443677422</t>
  </si>
  <si>
    <t>EMP0875</t>
  </si>
  <si>
    <t>087492165744</t>
  </si>
  <si>
    <t>EMP0876</t>
  </si>
  <si>
    <t>1989-01-04</t>
  </si>
  <si>
    <t>EMP0877</t>
  </si>
  <si>
    <t>1991-10-07</t>
  </si>
  <si>
    <t>086449742214</t>
  </si>
  <si>
    <t>EMP0878</t>
  </si>
  <si>
    <t>1987/10/19</t>
  </si>
  <si>
    <t>088921321424</t>
  </si>
  <si>
    <t>EMP0879</t>
  </si>
  <si>
    <t>1991-08-21</t>
  </si>
  <si>
    <t>088524669915</t>
  </si>
  <si>
    <t>EMP0880</t>
  </si>
  <si>
    <t>1989-06-05</t>
  </si>
  <si>
    <t>088746309334</t>
  </si>
  <si>
    <t>EMP0881</t>
  </si>
  <si>
    <t>1992-12-17</t>
  </si>
  <si>
    <t>080670679597</t>
  </si>
  <si>
    <t>EMP0882</t>
  </si>
  <si>
    <t>1998-05-04</t>
  </si>
  <si>
    <t>081991739615</t>
  </si>
  <si>
    <t>EMP0883</t>
  </si>
  <si>
    <t>1995-08-23</t>
  </si>
  <si>
    <t>089611777616</t>
  </si>
  <si>
    <t>1996-06-05</t>
  </si>
  <si>
    <t>083526432468</t>
  </si>
  <si>
    <t>EMP0885</t>
  </si>
  <si>
    <t>1998-08-26</t>
  </si>
  <si>
    <t>086997389383</t>
  </si>
  <si>
    <t>EMP0886</t>
  </si>
  <si>
    <t>1989-09-17</t>
  </si>
  <si>
    <t>086991946612</t>
  </si>
  <si>
    <t>EMP0887</t>
  </si>
  <si>
    <t>1994-10-21</t>
  </si>
  <si>
    <t>081771412876</t>
  </si>
  <si>
    <t>EMP0888</t>
  </si>
  <si>
    <t>1991-11-26</t>
  </si>
  <si>
    <t>088237604736</t>
  </si>
  <si>
    <t>EMP0889</t>
  </si>
  <si>
    <t>1996-11-27</t>
  </si>
  <si>
    <t>87540799368</t>
  </si>
  <si>
    <t>EMP0890</t>
  </si>
  <si>
    <t>1989-07-11</t>
  </si>
  <si>
    <t>083148511753</t>
  </si>
  <si>
    <t>EMP0891</t>
  </si>
  <si>
    <t>1990-09-17</t>
  </si>
  <si>
    <t>084991699117</t>
  </si>
  <si>
    <t>EMP0892</t>
  </si>
  <si>
    <t>087200134087</t>
  </si>
  <si>
    <t>EMP0893</t>
  </si>
  <si>
    <t>1987-12-30</t>
  </si>
  <si>
    <t>080769092686</t>
  </si>
  <si>
    <t>EMP0894</t>
  </si>
  <si>
    <t>1992-04-07</t>
  </si>
  <si>
    <t>081567405598</t>
  </si>
  <si>
    <t>EMP0895</t>
  </si>
  <si>
    <t>1999-09-28</t>
  </si>
  <si>
    <t>080407705348</t>
  </si>
  <si>
    <t>EMP0896</t>
  </si>
  <si>
    <t>1998-07-15</t>
  </si>
  <si>
    <t>087652335284</t>
  </si>
  <si>
    <t>EMP0897</t>
  </si>
  <si>
    <t>1989-03-09</t>
  </si>
  <si>
    <t>088982370471</t>
  </si>
  <si>
    <t>EMP0898</t>
  </si>
  <si>
    <t>1994-12-03</t>
  </si>
  <si>
    <t>084617679641</t>
  </si>
  <si>
    <t>EMP0899</t>
  </si>
  <si>
    <t>1988-05-08</t>
  </si>
  <si>
    <t>087371572741</t>
  </si>
  <si>
    <t>EMP0900</t>
  </si>
  <si>
    <t>2001-06-25</t>
  </si>
  <si>
    <t>089534178034</t>
  </si>
  <si>
    <t>EMP0901</t>
  </si>
  <si>
    <t>2001-09-16</t>
  </si>
  <si>
    <t>80379359649</t>
  </si>
  <si>
    <t>EMP0902</t>
  </si>
  <si>
    <t>2001-06-06</t>
  </si>
  <si>
    <t>087738782567</t>
  </si>
  <si>
    <t>EMP0903</t>
  </si>
  <si>
    <t>1993-12-10</t>
  </si>
  <si>
    <t>082834012492</t>
  </si>
  <si>
    <t>EMP0904</t>
  </si>
  <si>
    <t>2003-08-18</t>
  </si>
  <si>
    <t>089454868569</t>
  </si>
  <si>
    <t>EMP0905</t>
  </si>
  <si>
    <t>1998-01-09</t>
  </si>
  <si>
    <t>080813710089</t>
  </si>
  <si>
    <t>EMP0906</t>
  </si>
  <si>
    <t>086166647381</t>
  </si>
  <si>
    <t>EMP0907</t>
  </si>
  <si>
    <t>2003-01-17</t>
  </si>
  <si>
    <t>087117325080</t>
  </si>
  <si>
    <t>EMP0908</t>
  </si>
  <si>
    <t>2000-05-01</t>
  </si>
  <si>
    <t>081051593739</t>
  </si>
  <si>
    <t>EMP0909</t>
  </si>
  <si>
    <t>2001-07-10</t>
  </si>
  <si>
    <t>088135231233</t>
  </si>
  <si>
    <t>EMP0910</t>
  </si>
  <si>
    <t>1993/03/24</t>
  </si>
  <si>
    <t>089789036673</t>
  </si>
  <si>
    <t>EMP0911</t>
  </si>
  <si>
    <t>1986-09-23</t>
  </si>
  <si>
    <t>084807586853</t>
  </si>
  <si>
    <t>EMP0912</t>
  </si>
  <si>
    <t>2001-06-24</t>
  </si>
  <si>
    <t>EMP0913</t>
  </si>
  <si>
    <t>2003-05-30</t>
  </si>
  <si>
    <t>087996399891</t>
  </si>
  <si>
    <t>EMP0914</t>
  </si>
  <si>
    <t>1993-05-06</t>
  </si>
  <si>
    <t>86867747442</t>
  </si>
  <si>
    <t>EMP0915</t>
  </si>
  <si>
    <t>1993-01-03</t>
  </si>
  <si>
    <t>084763852738</t>
  </si>
  <si>
    <t>EMP0916</t>
  </si>
  <si>
    <t>1987-07-08</t>
  </si>
  <si>
    <t>081851137347</t>
  </si>
  <si>
    <t>EMP0917</t>
  </si>
  <si>
    <t>1987-10-19</t>
  </si>
  <si>
    <t>081374137386</t>
  </si>
  <si>
    <t>EMP0918</t>
  </si>
  <si>
    <t>1989-12-20</t>
  </si>
  <si>
    <t>083351651340</t>
  </si>
  <si>
    <t>EMP0919</t>
  </si>
  <si>
    <t>1993-05-30</t>
  </si>
  <si>
    <t>082365140681</t>
  </si>
  <si>
    <t>EMP0920</t>
  </si>
  <si>
    <t>1988-11-26</t>
  </si>
  <si>
    <t>EMP0921</t>
  </si>
  <si>
    <t>1985-03-14</t>
  </si>
  <si>
    <t>082476942557</t>
  </si>
  <si>
    <t>EMP0922</t>
  </si>
  <si>
    <t>1987/04/10</t>
  </si>
  <si>
    <t>085747497818</t>
  </si>
  <si>
    <t>EMP0923</t>
  </si>
  <si>
    <t>081106662859</t>
  </si>
  <si>
    <t>EMP0924</t>
  </si>
  <si>
    <t>2000-07-01</t>
  </si>
  <si>
    <t>082817677380</t>
  </si>
  <si>
    <t>EMP0925</t>
  </si>
  <si>
    <t>2003-07-13</t>
  </si>
  <si>
    <t>081776544634</t>
  </si>
  <si>
    <t>EMP0926</t>
  </si>
  <si>
    <t>1997-04-28</t>
  </si>
  <si>
    <t>084646440343</t>
  </si>
  <si>
    <t>EMP0927</t>
  </si>
  <si>
    <t>1994-05-24</t>
  </si>
  <si>
    <t>080009097676</t>
  </si>
  <si>
    <t>EMP0928</t>
  </si>
  <si>
    <t>1988-08-13</t>
  </si>
  <si>
    <t>084461386351</t>
  </si>
  <si>
    <t>EMP0929</t>
  </si>
  <si>
    <t>1988-03-22</t>
  </si>
  <si>
    <t>087193966281</t>
  </si>
  <si>
    <t>EMP0930</t>
  </si>
  <si>
    <t>2002-02-10</t>
  </si>
  <si>
    <t>088116037976</t>
  </si>
  <si>
    <t>EMP0931</t>
  </si>
  <si>
    <t>1985-09-07</t>
  </si>
  <si>
    <t>89435623256</t>
  </si>
  <si>
    <t>EMP0932</t>
  </si>
  <si>
    <t>1993/10/05</t>
  </si>
  <si>
    <t>84750734962</t>
  </si>
  <si>
    <t>EMP0933</t>
  </si>
  <si>
    <t>1992-04-25</t>
  </si>
  <si>
    <t>084922746817</t>
  </si>
  <si>
    <t>1997-06-29</t>
  </si>
  <si>
    <t>86528464507</t>
  </si>
  <si>
    <t>EMP0935</t>
  </si>
  <si>
    <t>2002-08-11</t>
  </si>
  <si>
    <t>081591159457</t>
  </si>
  <si>
    <t>EMP0936</t>
  </si>
  <si>
    <t>1994-02-08</t>
  </si>
  <si>
    <t>084212887512</t>
  </si>
  <si>
    <t>EMP0937</t>
  </si>
  <si>
    <t>1996/10/22</t>
  </si>
  <si>
    <t>086459808620</t>
  </si>
  <si>
    <t>EMP0938</t>
  </si>
  <si>
    <t>1987-06-28</t>
  </si>
  <si>
    <t>087563794039</t>
  </si>
  <si>
    <t>EMP0939</t>
  </si>
  <si>
    <t>2000-07-04</t>
  </si>
  <si>
    <t>086653794424</t>
  </si>
  <si>
    <t>EMP0940</t>
  </si>
  <si>
    <t>1988/04/21</t>
  </si>
  <si>
    <t>086004121213</t>
  </si>
  <si>
    <t>EMP0941</t>
  </si>
  <si>
    <t>1995-09-14</t>
  </si>
  <si>
    <t>087473184218</t>
  </si>
  <si>
    <t>EMP0942</t>
  </si>
  <si>
    <t>2002/08/04</t>
  </si>
  <si>
    <t>080341736488</t>
  </si>
  <si>
    <t>EMP0943</t>
  </si>
  <si>
    <t>1986-12-27</t>
  </si>
  <si>
    <t>080659841178</t>
  </si>
  <si>
    <t>EMP0944</t>
  </si>
  <si>
    <t>083978091134</t>
  </si>
  <si>
    <t>EMP0945</t>
  </si>
  <si>
    <t>1993-07-21</t>
  </si>
  <si>
    <t>EMP0946</t>
  </si>
  <si>
    <t>2001-11-02</t>
  </si>
  <si>
    <t>083747490452</t>
  </si>
  <si>
    <t>EMP0947</t>
  </si>
  <si>
    <t>1990-07-12</t>
  </si>
  <si>
    <t>088730686511</t>
  </si>
  <si>
    <t>EMP0948</t>
  </si>
  <si>
    <t>2000-12-04</t>
  </si>
  <si>
    <t>089126738005</t>
  </si>
  <si>
    <t>EMP0949</t>
  </si>
  <si>
    <t>1988-10-02</t>
  </si>
  <si>
    <t>083642778632</t>
  </si>
  <si>
    <t>EMP0950</t>
  </si>
  <si>
    <t>1990-04-04</t>
  </si>
  <si>
    <t>082106666687</t>
  </si>
  <si>
    <t>EMP0951</t>
  </si>
  <si>
    <t>1985-06-12</t>
  </si>
  <si>
    <t>082099615996</t>
  </si>
  <si>
    <t>EMP0952</t>
  </si>
  <si>
    <t>1999/11/19</t>
  </si>
  <si>
    <t>089202847345</t>
  </si>
  <si>
    <t>EMP0953</t>
  </si>
  <si>
    <t>1995-09-22</t>
  </si>
  <si>
    <t>086388016472</t>
  </si>
  <si>
    <t>EMP0954</t>
  </si>
  <si>
    <t>1990-12-27</t>
  </si>
  <si>
    <t>087353644802</t>
  </si>
  <si>
    <t>EMP0955</t>
  </si>
  <si>
    <t>1999-07-31</t>
  </si>
  <si>
    <t>085621050012</t>
  </si>
  <si>
    <t>EMP0956</t>
  </si>
  <si>
    <t>1987-05-19</t>
  </si>
  <si>
    <t>EMP0957</t>
  </si>
  <si>
    <t>086021635838</t>
  </si>
  <si>
    <t>EMP0958</t>
  </si>
  <si>
    <t>1993-09-18</t>
  </si>
  <si>
    <t>083840040297</t>
  </si>
  <si>
    <t>EMP0959</t>
  </si>
  <si>
    <t>1988-06-21</t>
  </si>
  <si>
    <t>087693186090</t>
  </si>
  <si>
    <t>EMP0960</t>
  </si>
  <si>
    <t>1996-07-07</t>
  </si>
  <si>
    <t>088270535993</t>
  </si>
  <si>
    <t>EMP0961</t>
  </si>
  <si>
    <t>1997-12-21</t>
  </si>
  <si>
    <t>089962940202</t>
  </si>
  <si>
    <t>EMP0962</t>
  </si>
  <si>
    <t>1991-05-11</t>
  </si>
  <si>
    <t>085159060688</t>
  </si>
  <si>
    <t>EMP0963</t>
  </si>
  <si>
    <t>EMP0964</t>
  </si>
  <si>
    <t>1999-05-20</t>
  </si>
  <si>
    <t>080133781655</t>
  </si>
  <si>
    <t>EMP0965</t>
  </si>
  <si>
    <t>085701952824</t>
  </si>
  <si>
    <t>EMP0966</t>
  </si>
  <si>
    <t>084465349874</t>
  </si>
  <si>
    <t>EMP0967</t>
  </si>
  <si>
    <t>2002-07-30</t>
  </si>
  <si>
    <t>083078868289</t>
  </si>
  <si>
    <t>EMP0968</t>
  </si>
  <si>
    <t>1997-03-13</t>
  </si>
  <si>
    <t>082853575321</t>
  </si>
  <si>
    <t>EMP0969</t>
  </si>
  <si>
    <t>2002-06-04</t>
  </si>
  <si>
    <t>087784513113</t>
  </si>
  <si>
    <t>EMP0970</t>
  </si>
  <si>
    <t>1994-04-02</t>
  </si>
  <si>
    <t>EMP0971</t>
  </si>
  <si>
    <t>EMP0972</t>
  </si>
  <si>
    <t>2003-05-28</t>
  </si>
  <si>
    <t>086879954276</t>
  </si>
  <si>
    <t>EMP0973</t>
  </si>
  <si>
    <t>1990-12-31</t>
  </si>
  <si>
    <t>082420697140</t>
  </si>
  <si>
    <t>EMP0974</t>
  </si>
  <si>
    <t>1988-07-21</t>
  </si>
  <si>
    <t>083886026810</t>
  </si>
  <si>
    <t>EMP0975</t>
  </si>
  <si>
    <t>2000-11-07</t>
  </si>
  <si>
    <t>084517881174</t>
  </si>
  <si>
    <t>EMP0976</t>
  </si>
  <si>
    <t>1998/04/02</t>
  </si>
  <si>
    <t>089661071266</t>
  </si>
  <si>
    <t>EMP0977</t>
  </si>
  <si>
    <t>1987-06-20</t>
  </si>
  <si>
    <t>086408473676</t>
  </si>
  <si>
    <t>EMP0978</t>
  </si>
  <si>
    <t>1988-08-04</t>
  </si>
  <si>
    <t>084196267016</t>
  </si>
  <si>
    <t>EMP0979</t>
  </si>
  <si>
    <t>1989-11-03</t>
  </si>
  <si>
    <t>085217172399</t>
  </si>
  <si>
    <t>EMP0980</t>
  </si>
  <si>
    <t>1989-08-25</t>
  </si>
  <si>
    <t>087924154610</t>
  </si>
  <si>
    <t>EMP0981</t>
  </si>
  <si>
    <t>1997-11-15</t>
  </si>
  <si>
    <t>80104259563</t>
  </si>
  <si>
    <t>EMP0982</t>
  </si>
  <si>
    <t>1991/05/08</t>
  </si>
  <si>
    <t>085114117220</t>
  </si>
  <si>
    <t>EMP0983</t>
  </si>
  <si>
    <t>087622799503</t>
  </si>
  <si>
    <t>EMP0984</t>
  </si>
  <si>
    <t>1998/07/08</t>
  </si>
  <si>
    <t>088112210410</t>
  </si>
  <si>
    <t>EMP0985</t>
  </si>
  <si>
    <t>1997-12-29</t>
  </si>
  <si>
    <t>087818136582</t>
  </si>
  <si>
    <t>EMP0986</t>
  </si>
  <si>
    <t>1998/09/26</t>
  </si>
  <si>
    <t>086623360749</t>
  </si>
  <si>
    <t>EMP0987</t>
  </si>
  <si>
    <t>2003/01/30</t>
  </si>
  <si>
    <t>88180124354</t>
  </si>
  <si>
    <t>EMP0988</t>
  </si>
  <si>
    <t>1996-01-02</t>
  </si>
  <si>
    <t>088509455541</t>
  </si>
  <si>
    <t>EMP0989</t>
  </si>
  <si>
    <t>2003-08-26</t>
  </si>
  <si>
    <t>087847255094</t>
  </si>
  <si>
    <t>EMP0990</t>
  </si>
  <si>
    <t>1994-07-17</t>
  </si>
  <si>
    <t>EMP0991</t>
  </si>
  <si>
    <t>084824617496</t>
  </si>
  <si>
    <t>EMP0992</t>
  </si>
  <si>
    <t>1988-04-21</t>
  </si>
  <si>
    <t>084425023722</t>
  </si>
  <si>
    <t>EMP0993</t>
  </si>
  <si>
    <t>2001-10-04</t>
  </si>
  <si>
    <t>083797924561</t>
  </si>
  <si>
    <t>EMP0994</t>
  </si>
  <si>
    <t>2000-05-02</t>
  </si>
  <si>
    <t>80574143487</t>
  </si>
  <si>
    <t>EMP0995</t>
  </si>
  <si>
    <t>2001-06-09</t>
  </si>
  <si>
    <t>87740801043</t>
  </si>
  <si>
    <t>EMP0996</t>
  </si>
  <si>
    <t>2000-08-18</t>
  </si>
  <si>
    <t>085446242211</t>
  </si>
  <si>
    <t>EMP0997</t>
  </si>
  <si>
    <t>1987-07-22</t>
  </si>
  <si>
    <t>085291159736</t>
  </si>
  <si>
    <t>EMP0998</t>
  </si>
  <si>
    <t>1995-05-25</t>
  </si>
  <si>
    <t>084966504762</t>
  </si>
  <si>
    <t>EMP0999</t>
  </si>
  <si>
    <t>080817906233</t>
  </si>
  <si>
    <t>EMP1000</t>
  </si>
  <si>
    <t>1988-07-16</t>
  </si>
  <si>
    <t>080019026420</t>
  </si>
  <si>
    <t>Category</t>
  </si>
  <si>
    <t>Rule</t>
  </si>
  <si>
    <t>Must be unique</t>
  </si>
  <si>
    <t>Fixed</t>
  </si>
  <si>
    <t>Proper Case</t>
  </si>
  <si>
    <t>Male/Female only</t>
  </si>
  <si>
    <t>Match Position Master</t>
  </si>
  <si>
    <t>Valid email format</t>
  </si>
  <si>
    <t>Numeric only, starts with 08</t>
  </si>
  <si>
    <t>Valid date</t>
  </si>
  <si>
    <t>Validation Rules</t>
  </si>
  <si>
    <t>Field</t>
  </si>
  <si>
    <t>Validation Rule</t>
  </si>
  <si>
    <t>Male or Female only</t>
  </si>
  <si>
    <t>Active, Probation, Resigned</t>
  </si>
  <si>
    <t>Numeric only</t>
  </si>
  <si>
    <t>Valid date format (DD-MM-YYYY)</t>
  </si>
  <si>
    <t xml:space="preserve">DOB </t>
  </si>
  <si>
    <t>Data Standards</t>
  </si>
  <si>
    <t>Validation Check</t>
  </si>
  <si>
    <t xml:space="preserve">Employee ID Check </t>
  </si>
  <si>
    <t>Full Name Check</t>
  </si>
  <si>
    <t>Gender Check</t>
  </si>
  <si>
    <t>DOB Check</t>
  </si>
  <si>
    <t>Join Date Check</t>
  </si>
  <si>
    <t>Department Check</t>
  </si>
  <si>
    <t>Position Check</t>
  </si>
  <si>
    <t>Status Check</t>
  </si>
  <si>
    <t>Email Check</t>
  </si>
  <si>
    <t>Phone Check</t>
  </si>
  <si>
    <t>Employee Master Database Management</t>
  </si>
  <si>
    <t>=EXACT(G3,PROPER(G3))</t>
  </si>
  <si>
    <t>=EXACT(H3,PROPER(H3))</t>
  </si>
  <si>
    <t>Must contain "@email.com"</t>
  </si>
  <si>
    <t xml:space="preserve">Ok </t>
  </si>
  <si>
    <t xml:space="preserve">Total </t>
  </si>
  <si>
    <t>=IF(ISNUMBER(E3),"TRUE","FALSE")</t>
  </si>
  <si>
    <t xml:space="preserve">No </t>
  </si>
  <si>
    <t>Date of Birth</t>
  </si>
  <si>
    <t>JOKO SATRIA WIBOWO</t>
  </si>
  <si>
    <t>RIO ADI SAPUTRA</t>
  </si>
  <si>
    <t>KHAFIDURROFIQ</t>
  </si>
  <si>
    <t>RAHMADITYA CHANDRA</t>
  </si>
  <si>
    <t>ILHAM AMARULLOH</t>
  </si>
  <si>
    <t>SULTON FADILAH</t>
  </si>
  <si>
    <t>SYAHRUL RAHMAT</t>
  </si>
  <si>
    <t>AGUS PRIYADI</t>
  </si>
  <si>
    <t>TEDDI MAULANA</t>
  </si>
  <si>
    <t>MUH RASYA NUR RIZKI</t>
  </si>
  <si>
    <t>FADLI HAKIM</t>
  </si>
  <si>
    <t>MOCHAMAD ULINUHA</t>
  </si>
  <si>
    <t>URIP FATAHILAH</t>
  </si>
  <si>
    <t>SUJIMIN</t>
  </si>
  <si>
    <t>YANTO</t>
  </si>
  <si>
    <t>YUNUS PRASETYO</t>
  </si>
  <si>
    <t>TOMY GILANG BUDI UTAMA</t>
  </si>
  <si>
    <t>WALIYUL MUSTOFA</t>
  </si>
  <si>
    <t>ADANG SUPARMAN</t>
  </si>
  <si>
    <t>DASEP ADI HARDIYANSAH</t>
  </si>
  <si>
    <t>YOSTI YATIN ROMADHONI</t>
  </si>
  <si>
    <t>AGUS SOPIAN</t>
  </si>
  <si>
    <t>REZA PANGESTU</t>
  </si>
  <si>
    <t>MUHAMMAD ADITYA</t>
  </si>
  <si>
    <t>MUHAMAD ALI ROHIDIN</t>
  </si>
  <si>
    <t>DONI SETIAWAN</t>
  </si>
  <si>
    <t>FERI GUNAWAN</t>
  </si>
  <si>
    <t>DWI ARFIANSYAH</t>
  </si>
  <si>
    <t>ALI SODIKIN</t>
  </si>
  <si>
    <t>SATRIA MUKHLIS</t>
  </si>
  <si>
    <t>M KHOERUL AMIN</t>
  </si>
  <si>
    <t>AKHMAD AKHUL MISJAN</t>
  </si>
  <si>
    <t>HILAL MUBAROK</t>
  </si>
  <si>
    <t>LATIF ANDRIANSYAH</t>
  </si>
  <si>
    <t>KHAFIT KHAERUL FATIKHIN</t>
  </si>
  <si>
    <t>DIDIT ALNUR</t>
  </si>
  <si>
    <t>AHMAD NURFAUZI</t>
  </si>
  <si>
    <t>AHMAD IGHNAIL MARZUK</t>
  </si>
  <si>
    <t>PANDE MADE VIKKY GUNADARMA</t>
  </si>
  <si>
    <t>DIVA TRI HERIANTO</t>
  </si>
  <si>
    <t>RAHMAT MAULANA SUKRI</t>
  </si>
  <si>
    <t>ferri riyanto</t>
  </si>
  <si>
    <t>dian nur ardilla</t>
  </si>
  <si>
    <t>lutfi ardiansyah</t>
  </si>
  <si>
    <t>abdul aziz</t>
  </si>
  <si>
    <t>ozi priyanto</t>
  </si>
  <si>
    <t>rohmat</t>
  </si>
  <si>
    <t>samsul bahri</t>
  </si>
  <si>
    <t>muhammad nur iskandar</t>
  </si>
  <si>
    <t>sasti frayoga</t>
  </si>
  <si>
    <t>nur fadilah</t>
  </si>
  <si>
    <t>syafik mirza</t>
  </si>
  <si>
    <t>topari</t>
  </si>
  <si>
    <t>reza pratama</t>
  </si>
  <si>
    <t>adi ratno</t>
  </si>
  <si>
    <t>wahyu umar said</t>
  </si>
  <si>
    <t>imam widiyanto</t>
  </si>
  <si>
    <t>akhmad faozi saputra</t>
  </si>
  <si>
    <t>davit hendriansyah</t>
  </si>
  <si>
    <t>rizki baehaqi</t>
  </si>
  <si>
    <t>wandi ardiansyah putra</t>
  </si>
  <si>
    <t>anugrah nur fristian</t>
  </si>
  <si>
    <t>saeful iman</t>
  </si>
  <si>
    <t>toto iskandar</t>
  </si>
  <si>
    <t>muhamad tedi ramadan</t>
  </si>
  <si>
    <t>maulani</t>
  </si>
  <si>
    <t>faisol komari zamwn</t>
  </si>
  <si>
    <t>hekel badrusalam</t>
  </si>
  <si>
    <t>gofar ismail</t>
  </si>
  <si>
    <t>ikhlasul amal</t>
  </si>
  <si>
    <t>samsul maarip</t>
  </si>
  <si>
    <t>gugun gunawan</t>
  </si>
  <si>
    <t>muhammad afwan munir maulana</t>
  </si>
  <si>
    <t>singgih dwi pangestu</t>
  </si>
  <si>
    <t>muhammad alwi alrizky</t>
  </si>
  <si>
    <t>azaz alfa rizqi</t>
  </si>
  <si>
    <t>arif ulin nuha</t>
  </si>
  <si>
    <t>ishaq ramadani</t>
  </si>
  <si>
    <t>enden muhamad hilman</t>
  </si>
  <si>
    <t>suherman</t>
  </si>
  <si>
    <t>martin feri</t>
  </si>
  <si>
    <t>budi priyono</t>
  </si>
  <si>
    <t>andri satio</t>
  </si>
  <si>
    <t>ruslani</t>
  </si>
  <si>
    <t>bambang didi mulyono</t>
  </si>
  <si>
    <t>andien ramadhani</t>
  </si>
  <si>
    <t>aldy prayoga</t>
  </si>
  <si>
    <t>ahmad trustianto</t>
  </si>
  <si>
    <t>achmad wijaya kusuma</t>
  </si>
  <si>
    <t>abdul ghofur</t>
  </si>
  <si>
    <t>james martin</t>
  </si>
  <si>
    <t>ananda putra nugraha</t>
  </si>
  <si>
    <t>isna rijal mukti</t>
  </si>
  <si>
    <t>unsi dharma agensi</t>
  </si>
  <si>
    <t>joni purba</t>
  </si>
  <si>
    <t>saeful arifin</t>
  </si>
  <si>
    <t>ari maulana yudha pratama</t>
  </si>
  <si>
    <t>ari munandar</t>
  </si>
  <si>
    <t>khoeril husyain al hanif</t>
  </si>
  <si>
    <t>bilal dwi pangestu</t>
  </si>
  <si>
    <t>usni basofi</t>
  </si>
  <si>
    <t>muhammad kurniadi</t>
  </si>
  <si>
    <t>widiyanto</t>
  </si>
  <si>
    <t>muhammad ridwan al asyari</t>
  </si>
  <si>
    <t>mochamad ridwan</t>
  </si>
  <si>
    <t>mukhammad ibrohim akbar</t>
  </si>
  <si>
    <t>mohamad arya alhabib</t>
  </si>
  <si>
    <t>zulfi maula khikami</t>
  </si>
  <si>
    <t>andi sumitro</t>
  </si>
  <si>
    <t>dio nurois</t>
  </si>
  <si>
    <t>fariz maulana</t>
  </si>
  <si>
    <t>angga</t>
  </si>
  <si>
    <t>akhmad umar rizki</t>
  </si>
  <si>
    <t>delvin bagus setiawan</t>
  </si>
  <si>
    <t>ujang sopian</t>
  </si>
  <si>
    <t>decky putra aprilliany</t>
  </si>
  <si>
    <t>wigi hendrian m</t>
  </si>
  <si>
    <t>tedi priyatno</t>
  </si>
  <si>
    <t>moh farhanudin</t>
  </si>
  <si>
    <t>abdul imam maolana</t>
  </si>
  <si>
    <t>leo elang oktafecristo</t>
  </si>
  <si>
    <t>mohammad fahmi rizqi</t>
  </si>
  <si>
    <t>sihabudin mafi</t>
  </si>
  <si>
    <t>m hanif maulana pasya</t>
  </si>
  <si>
    <t>aat sukma wijaya</t>
  </si>
  <si>
    <t>akhmad jazuli</t>
  </si>
  <si>
    <t>e cecep ian firmansyah</t>
  </si>
  <si>
    <t>malik mustofa</t>
  </si>
  <si>
    <t>m arif fahturohman</t>
  </si>
  <si>
    <t>akhmad bakhtiar</t>
  </si>
  <si>
    <t>dinal mustaqim</t>
  </si>
  <si>
    <t>kiki mufaizin</t>
  </si>
  <si>
    <t>moch dava rifai</t>
  </si>
  <si>
    <t>m. aulia ardi</t>
  </si>
  <si>
    <t>muhammad arya saputra</t>
  </si>
  <si>
    <t>eka handayono</t>
  </si>
  <si>
    <t>zaenun najib</t>
  </si>
  <si>
    <t>eka rahmat riyanto</t>
  </si>
  <si>
    <t>siti maghfiroh</t>
  </si>
  <si>
    <t>rahmayanti</t>
  </si>
  <si>
    <t>nur aisyah</t>
  </si>
  <si>
    <t>hendri setiawan</t>
  </si>
  <si>
    <t>rismayana sahira</t>
  </si>
  <si>
    <t>nur khasanah</t>
  </si>
  <si>
    <t>wawas setiawati</t>
  </si>
  <si>
    <t>dea putri amelia</t>
  </si>
  <si>
    <t>erni suherni</t>
  </si>
  <si>
    <t>fitriya wijayanti</t>
  </si>
  <si>
    <t>fasikha</t>
  </si>
  <si>
    <t>egi ardhanariswati</t>
  </si>
  <si>
    <t>sri rahayu wanti</t>
  </si>
  <si>
    <t>windy septiani</t>
  </si>
  <si>
    <t>marizka tracyana</t>
  </si>
  <si>
    <t>abdulah ikhsanudin</t>
  </si>
  <si>
    <t>elsa</t>
  </si>
  <si>
    <t>uswatun khasanah</t>
  </si>
  <si>
    <t>nur lita dwi purnamasari</t>
  </si>
  <si>
    <t>septia wijiana</t>
  </si>
  <si>
    <t>ameliyah</t>
  </si>
  <si>
    <t>nur baeti</t>
  </si>
  <si>
    <t>indah lestari</t>
  </si>
  <si>
    <t>diinah</t>
  </si>
  <si>
    <t>auliatu zahroh</t>
  </si>
  <si>
    <t>juwita amelia</t>
  </si>
  <si>
    <t>riskhon kholikul faizin</t>
  </si>
  <si>
    <t>tamara amalia</t>
  </si>
  <si>
    <t>luthfian akmaldhani sumartono</t>
  </si>
  <si>
    <t>indah nurul aeni</t>
  </si>
  <si>
    <t>salma karima pranata</t>
  </si>
  <si>
    <t>mayang silviana putri</t>
  </si>
  <si>
    <t>nur sapitriyani</t>
  </si>
  <si>
    <t>nining fauziyah</t>
  </si>
  <si>
    <t>suherni</t>
  </si>
  <si>
    <t>sarinih</t>
  </si>
  <si>
    <t>ani rosidah</t>
  </si>
  <si>
    <t>devi rahmawati</t>
  </si>
  <si>
    <t>a khoirurroziqin</t>
  </si>
  <si>
    <t>feni khoeru nisa</t>
  </si>
  <si>
    <t>nur laela pitriyana</t>
  </si>
  <si>
    <t>umiyati salamiyah</t>
  </si>
  <si>
    <t>wulan ariska</t>
  </si>
  <si>
    <t>kholifatun khasanah</t>
  </si>
  <si>
    <t>catur difta kahantoro</t>
  </si>
  <si>
    <t>idris nurfauzi</t>
  </si>
  <si>
    <t>ulil hidayati</t>
  </si>
  <si>
    <t>krisna juni pamungkas</t>
  </si>
  <si>
    <t>dian elga prastika</t>
  </si>
  <si>
    <t>siti mutiara nikmah</t>
  </si>
  <si>
    <t>suprihana</t>
  </si>
  <si>
    <t>ridwan</t>
  </si>
  <si>
    <t>affan bagas arokhman</t>
  </si>
  <si>
    <t>khuswatun khasanah</t>
  </si>
  <si>
    <t>gina rosdiana</t>
  </si>
  <si>
    <t>nur oktavia</t>
  </si>
  <si>
    <t>hikmatul maula</t>
  </si>
  <si>
    <t>selvi astriani</t>
  </si>
  <si>
    <t>nur armala putri</t>
  </si>
  <si>
    <t>nur mahmudah</t>
  </si>
  <si>
    <t>wasifatul hidayah</t>
  </si>
  <si>
    <t>tri yuli yanti</t>
  </si>
  <si>
    <t>selvi hindiyani</t>
  </si>
  <si>
    <t>syahril maulana al falah</t>
  </si>
  <si>
    <t>shakhilah nurur rohmah</t>
  </si>
  <si>
    <t>riyanti</t>
  </si>
  <si>
    <t>dwi marti astuti</t>
  </si>
  <si>
    <t>rahmah azizah</t>
  </si>
  <si>
    <t>m piki purnama</t>
  </si>
  <si>
    <t>novi kusuma wardani</t>
  </si>
  <si>
    <t>seli apriliyani putri</t>
  </si>
  <si>
    <t>nafrotin</t>
  </si>
  <si>
    <t>sheril aurellia</t>
  </si>
  <si>
    <t>aam warnisah</t>
  </si>
  <si>
    <t>lisnawati</t>
  </si>
  <si>
    <t>luluk sholihatin</t>
  </si>
  <si>
    <t>siti mubarokah</t>
  </si>
  <si>
    <t>dina rizki amelia</t>
  </si>
  <si>
    <t>risma trihandayani</t>
  </si>
  <si>
    <t>iis istikomah</t>
  </si>
  <si>
    <t>umi mayada</t>
  </si>
  <si>
    <t>muhamad yunus</t>
  </si>
  <si>
    <t>nabilatun munawaroh</t>
  </si>
  <si>
    <t>fransisca lidya ningrum</t>
  </si>
  <si>
    <t>tri winda sulistia asih</t>
  </si>
  <si>
    <t>riandika pramudya</t>
  </si>
  <si>
    <t>citra ayu tifani</t>
  </si>
  <si>
    <t>tina</t>
  </si>
  <si>
    <t>arif wakhyudin</t>
  </si>
  <si>
    <t>winda ayuningtiyas</t>
  </si>
  <si>
    <t>lilis utami</t>
  </si>
  <si>
    <t>faidatun nufus</t>
  </si>
  <si>
    <t>dewi qomariyah</t>
  </si>
  <si>
    <t>renata febrian</t>
  </si>
  <si>
    <t>evy nur aprilia</t>
  </si>
  <si>
    <t>aqila maulidia sauzan</t>
  </si>
  <si>
    <t>irtakhal aniqoh</t>
  </si>
  <si>
    <t>syifa ayu nabila</t>
  </si>
  <si>
    <t>desi ratnasari</t>
  </si>
  <si>
    <t>tian luki prasetia</t>
  </si>
  <si>
    <t>wafir faiz</t>
  </si>
  <si>
    <t>dian ayu khoirunnisa</t>
  </si>
  <si>
    <t>achmad muchkroni</t>
  </si>
  <si>
    <t>yunisa ayu meliyana</t>
  </si>
  <si>
    <t>nopariyah</t>
  </si>
  <si>
    <t>saskia aprilia adisti</t>
  </si>
  <si>
    <t>Nofa Agustin</t>
  </si>
  <si>
    <t>Mei Divi Asiyah</t>
  </si>
  <si>
    <t>Nabila Sabrina</t>
  </si>
  <si>
    <t>Yuni Setia Ningsih</t>
  </si>
  <si>
    <t>Ajeng Wulan Amelia</t>
  </si>
  <si>
    <t>Tri Oktaviana</t>
  </si>
  <si>
    <t>Inez Anastasya Agustin</t>
  </si>
  <si>
    <t>Nur Hikmah</t>
  </si>
  <si>
    <t>Zahrotun Marshita</t>
  </si>
  <si>
    <t>Aniki Keyla Gusti Safitri</t>
  </si>
  <si>
    <t>Siti Nurkhasanah</t>
  </si>
  <si>
    <t>Kifani Arifiah</t>
  </si>
  <si>
    <t>Istikomah Mariana</t>
  </si>
  <si>
    <t>Nur Afni Fauziyah</t>
  </si>
  <si>
    <t>Meisya Ajeng Artika Sari</t>
  </si>
  <si>
    <t>Rahma Yuliana</t>
  </si>
  <si>
    <t>Tiyo Aryo</t>
  </si>
  <si>
    <t>Aditya Rohmatika</t>
  </si>
  <si>
    <t>Vitriya Amanda Putri</t>
  </si>
  <si>
    <t>Fika Suci Sanawaliyah</t>
  </si>
  <si>
    <t>Riski Ayu Fahrun Nisa</t>
  </si>
  <si>
    <t>Aghnia Maghfiroh</t>
  </si>
  <si>
    <t>Santi Widiastuti</t>
  </si>
  <si>
    <t>Hermawati</t>
  </si>
  <si>
    <t>Gandhis Sekar Taji</t>
  </si>
  <si>
    <t>Nimas Serli Purwanti</t>
  </si>
  <si>
    <t>Cintiya Meilina</t>
  </si>
  <si>
    <t>Atika Putri Dhiniarie</t>
  </si>
  <si>
    <t>Irma Elfiana</t>
  </si>
  <si>
    <t>Misbah Syahru Ramadhan</t>
  </si>
  <si>
    <t>Ody Bambang Supriadi</t>
  </si>
  <si>
    <t>Ragil Baehaqy Hidayat</t>
  </si>
  <si>
    <t>Agus Lukiana</t>
  </si>
  <si>
    <t>Siti Mulyati</t>
  </si>
  <si>
    <t>Kadinda Nur Agustin</t>
  </si>
  <si>
    <t>Galuh Fitri Ningrum</t>
  </si>
  <si>
    <t>Defi Restu Anandari</t>
  </si>
  <si>
    <t>Rizky Artolariek Syah</t>
  </si>
  <si>
    <t>Windi Apriliyani</t>
  </si>
  <si>
    <t>Nur Amaliyah</t>
  </si>
  <si>
    <t>Umar Syaifulloh</t>
  </si>
  <si>
    <t>Koisah</t>
  </si>
  <si>
    <t>Realita Febri</t>
  </si>
  <si>
    <t>Imtiya Zul Ilmi</t>
  </si>
  <si>
    <t>Andini Khoirun Nisa</t>
  </si>
  <si>
    <t>Muhamad Fiqih Abdul Ghoni</t>
  </si>
  <si>
    <t>Ayuni Dini Guniawati</t>
  </si>
  <si>
    <t>Siti Khopipah</t>
  </si>
  <si>
    <t>Annisa Fauziah Agustin</t>
  </si>
  <si>
    <t>Friska Adhela</t>
  </si>
  <si>
    <t>Hakiki</t>
  </si>
  <si>
    <t>Fatma Nurlaela</t>
  </si>
  <si>
    <t>Tiara Silviani</t>
  </si>
  <si>
    <t>Siti Chodijah Agustin</t>
  </si>
  <si>
    <t>Salsa Agustin</t>
  </si>
  <si>
    <t>Erni Mardian</t>
  </si>
  <si>
    <t>Tri Utami</t>
  </si>
  <si>
    <t>Alda Monika</t>
  </si>
  <si>
    <t>Cahya Nof Fitri</t>
  </si>
  <si>
    <t>Mutiara</t>
  </si>
  <si>
    <t>Eliyah</t>
  </si>
  <si>
    <t>Koriah</t>
  </si>
  <si>
    <t>Sri Rahyu Maharani</t>
  </si>
  <si>
    <t>Baety Nurjanah</t>
  </si>
  <si>
    <t>Shanti</t>
  </si>
  <si>
    <t>Marshada Hidayah</t>
  </si>
  <si>
    <t>Novia Eka Safitri</t>
  </si>
  <si>
    <t>Siti Laela Ranita</t>
  </si>
  <si>
    <t>Silfi Ismatul Khasanah</t>
  </si>
  <si>
    <t>Nur Alfinatussadiyah</t>
  </si>
  <si>
    <t>Khofifatul Maula</t>
  </si>
  <si>
    <t>Mas Ayu Setyawati</t>
  </si>
  <si>
    <t>Siti Amalia</t>
  </si>
  <si>
    <t>Intan Meilani</t>
  </si>
  <si>
    <t>Siti Komariyah</t>
  </si>
  <si>
    <t>Ade Nurul Khofifah</t>
  </si>
  <si>
    <t>Noviani</t>
  </si>
  <si>
    <t>Karisma Permata Putri</t>
  </si>
  <si>
    <t>Ayu Zaskiyatul Azizah</t>
  </si>
  <si>
    <t>Fustaatul Syaharah</t>
  </si>
  <si>
    <t>Indri Lestari</t>
  </si>
  <si>
    <t>Puji Lestari</t>
  </si>
  <si>
    <t>Serra Kirana Septriacha</t>
  </si>
  <si>
    <t>Lulu Nurafiyah</t>
  </si>
  <si>
    <t>Anis Fitri</t>
  </si>
  <si>
    <t>Indah Lestari</t>
  </si>
  <si>
    <t>Khusnul Khotimah</t>
  </si>
  <si>
    <t>Nizar Puspita Permata Abdi</t>
  </si>
  <si>
    <t>Windi Astuti</t>
  </si>
  <si>
    <t>Leni Sepiyani</t>
  </si>
  <si>
    <t>Siti Umatul Khaeriyah</t>
  </si>
  <si>
    <t>Adhiya Dzikra Afrinda</t>
  </si>
  <si>
    <t>Yuli Fitriawati</t>
  </si>
  <si>
    <t>Feli Yulianti</t>
  </si>
  <si>
    <t>Aqila Fadia Haya</t>
  </si>
  <si>
    <t>Najwa Alifiyyah</t>
  </si>
  <si>
    <t>Desti Rusdiyanti</t>
  </si>
  <si>
    <t>Erni Wulandari</t>
  </si>
  <si>
    <t>Cantika Indah</t>
  </si>
  <si>
    <t>Sri Wahyuni</t>
  </si>
  <si>
    <t>Novi Oktavia Ramadani</t>
  </si>
  <si>
    <t>Khoirul Husna</t>
  </si>
  <si>
    <t>Novi Puspita Dewi</t>
  </si>
  <si>
    <t>Indriyani Rahayu</t>
  </si>
  <si>
    <t>Veby Astriani</t>
  </si>
  <si>
    <t>Ika Risyifa Khaerunissa</t>
  </si>
  <si>
    <t>Khofiatus Syukur Pratama</t>
  </si>
  <si>
    <t>M Niki Cahaya Purnomo</t>
  </si>
  <si>
    <t>Juweriyah Anggrek Suryani</t>
  </si>
  <si>
    <t>Triyoso</t>
  </si>
  <si>
    <t>Ruri Septiana</t>
  </si>
  <si>
    <t>Tia Atikah</t>
  </si>
  <si>
    <t>Dalpa Nakia</t>
  </si>
  <si>
    <t>Anisa Izaki</t>
  </si>
  <si>
    <t>Sri Surya Suganda</t>
  </si>
  <si>
    <t>Adira Noviya Ardani</t>
  </si>
  <si>
    <t>Dian Ayu Rizqianah</t>
  </si>
  <si>
    <t>Linda Dwi Pertiwi</t>
  </si>
  <si>
    <t>Yono Cahyono</t>
  </si>
  <si>
    <t>Dina Rizqiani</t>
  </si>
  <si>
    <t>Dwi Prasetyani</t>
  </si>
  <si>
    <t>Siti Mike Febiyanti</t>
  </si>
  <si>
    <t>Tiara Ninda Apriliany</t>
  </si>
  <si>
    <t>Meli Krisnawati</t>
  </si>
  <si>
    <t>Ikhtiyar</t>
  </si>
  <si>
    <t>Ratini</t>
  </si>
  <si>
    <t>Ratih Kemala Dewi</t>
  </si>
  <si>
    <t>Eka Nurmala Sari</t>
  </si>
  <si>
    <t>Sintia</t>
  </si>
  <si>
    <t>Liya Lestari</t>
  </si>
  <si>
    <t>Sri Wulan Agustina</t>
  </si>
  <si>
    <t>Siti Hartini</t>
  </si>
  <si>
    <t>Salwa Nur Fauziah</t>
  </si>
  <si>
    <t>Gita Anjani</t>
  </si>
  <si>
    <t>Erlangga Primansyah</t>
  </si>
  <si>
    <t>Liyanti Widi Astuti</t>
  </si>
  <si>
    <t>Isti Farulhawa</t>
  </si>
  <si>
    <t>Naelatus Saadah</t>
  </si>
  <si>
    <t>Trimo</t>
  </si>
  <si>
    <t>Khalda Dwi Fauziyah</t>
  </si>
  <si>
    <t>Qolbiyatun Azizah</t>
  </si>
  <si>
    <t>Ken Ajeng Puspita Sari</t>
  </si>
  <si>
    <t>Siti Khoirunisa</t>
  </si>
  <si>
    <t>Nur Fatikha</t>
  </si>
  <si>
    <t>Muh Eldin Asadillah</t>
  </si>
  <si>
    <t>Muhammad Rifal Ilyas</t>
  </si>
  <si>
    <t>Dian Prastiana</t>
  </si>
  <si>
    <t>Dwi Feri Susanto</t>
  </si>
  <si>
    <t>Egi Retno Faluqi</t>
  </si>
  <si>
    <t>Asep Maulana</t>
  </si>
  <si>
    <t>Galang Dimas Aditya</t>
  </si>
  <si>
    <t>Nur Ahmad Riski</t>
  </si>
  <si>
    <t>Moh Arham Samudro</t>
  </si>
  <si>
    <t>Muhamad Mahatier</t>
  </si>
  <si>
    <t>Didi Agus Setiawan</t>
  </si>
  <si>
    <t>Aditya Eka Saputra</t>
  </si>
  <si>
    <t>Oki Feri Nursandi</t>
  </si>
  <si>
    <t>Muhamad Parikhi</t>
  </si>
  <si>
    <t>Ahmad Rafi Rifkyansyah</t>
  </si>
  <si>
    <t>Raafi Naafiu Ghaniy</t>
  </si>
  <si>
    <t>Ikhfa Ghouzaly Gymnastiar</t>
  </si>
  <si>
    <t>Nughni Al Gauran</t>
  </si>
  <si>
    <t>Ahmal Ardianto</t>
  </si>
  <si>
    <t>Nugi Rangga Rantausia</t>
  </si>
  <si>
    <t>Resgiyan Trenanda</t>
  </si>
  <si>
    <t>Aji Sanjaya</t>
  </si>
  <si>
    <t>Dimas Aditya B. R</t>
  </si>
  <si>
    <t>Nur Adi Pramono</t>
  </si>
  <si>
    <t>Riyan Fauzi</t>
  </si>
  <si>
    <t>Sandi Sopandi</t>
  </si>
  <si>
    <t>Sahrul Aripin</t>
  </si>
  <si>
    <t>Teguh Pradesa</t>
  </si>
  <si>
    <t>Tomi Purnomo</t>
  </si>
  <si>
    <t>Sukma Alam</t>
  </si>
  <si>
    <t>Aldo Eka Saputra</t>
  </si>
  <si>
    <t>Zlatan Ibrahim Yusup</t>
  </si>
  <si>
    <t>Syahidullah Muhammad Al Qawi</t>
  </si>
  <si>
    <t>Mohamad Adam Prasetyo</t>
  </si>
  <si>
    <t>Diya Mahdiya</t>
  </si>
  <si>
    <t>Irza Prassetiyo</t>
  </si>
  <si>
    <t>Mohamad Farid Alamul Hudi</t>
  </si>
  <si>
    <t>Tomy Supriyadi</t>
  </si>
  <si>
    <t>Tri Laksana Andrian</t>
  </si>
  <si>
    <t>Syahrul Anan</t>
  </si>
  <si>
    <t>Mohammad Levi Junian</t>
  </si>
  <si>
    <t>Trisnawan</t>
  </si>
  <si>
    <t>Ucu Sahroni</t>
  </si>
  <si>
    <t>Junaedi</t>
  </si>
  <si>
    <t>Rakhman Maulana</t>
  </si>
  <si>
    <t>Bayu Bahrudin</t>
  </si>
  <si>
    <t>Ardhi Wahyu Saputra</t>
  </si>
  <si>
    <t>Abdul Fatahillah</t>
  </si>
  <si>
    <t>Rokhimin</t>
  </si>
  <si>
    <t>Muhamad Al Imron Sah</t>
  </si>
  <si>
    <t>Muh Zaidan Mubarok Al Faqih</t>
  </si>
  <si>
    <t>Wiwit Aji Pamungkas</t>
  </si>
  <si>
    <t>Abdul Fattah Azzam</t>
  </si>
  <si>
    <t>Ferdi Gustavano</t>
  </si>
  <si>
    <t>Dito Alifsyah</t>
  </si>
  <si>
    <t>Akhmad Bayu Erlangga</t>
  </si>
  <si>
    <t>Sahrul Sepryawan</t>
  </si>
  <si>
    <t>Rizal Fadli</t>
  </si>
  <si>
    <t>Renaldo Ernowo</t>
  </si>
  <si>
    <t>Muhamad Amshori</t>
  </si>
  <si>
    <t>Dicky Wijaya</t>
  </si>
  <si>
    <t>Dhika Nanda Al Fiqri</t>
  </si>
  <si>
    <t>Fitranto Adi Nugroho</t>
  </si>
  <si>
    <t>Dedi Jaya</t>
  </si>
  <si>
    <t>Ichsan Faturachman</t>
  </si>
  <si>
    <t>Muhamad Zaki Zam Zami</t>
  </si>
  <si>
    <t>Muhammad Aqiel Baehaqie</t>
  </si>
  <si>
    <t>Awangga Dida Putranto</t>
  </si>
  <si>
    <t>Indra Valendra</t>
  </si>
  <si>
    <t>Arip Saripudin</t>
  </si>
  <si>
    <t>Ari Putra Utama</t>
  </si>
  <si>
    <t>Kemal Arida Ghani</t>
  </si>
  <si>
    <t>Mohamad Fahiq Maulana</t>
  </si>
  <si>
    <t>Daryono</t>
  </si>
  <si>
    <t>Suwandi</t>
  </si>
  <si>
    <t>Muhamad Muhyi Habib</t>
  </si>
  <si>
    <t>Fadly Nurcholik</t>
  </si>
  <si>
    <t>Mualfi Fahrul Fanani</t>
  </si>
  <si>
    <t>M Rizki Maulana</t>
  </si>
  <si>
    <t>Muhammad Nur Ikhsanudin Riziq</t>
  </si>
  <si>
    <t>Muhammad Raihan Bintang Pratama</t>
  </si>
  <si>
    <t>Junaidi</t>
  </si>
  <si>
    <t>Khoerul Anwar</t>
  </si>
  <si>
    <t>Abdul Rozak</t>
  </si>
  <si>
    <t>Muhammad Farid Faturrahman</t>
  </si>
  <si>
    <t>Ahmad Waluyo</t>
  </si>
  <si>
    <t>Muhammad Sigit Aliq Saputra</t>
  </si>
  <si>
    <t>Syaeful Nurhasan Koharudin</t>
  </si>
  <si>
    <t>Syahrul Miftakhoeri Amrilla H</t>
  </si>
  <si>
    <t>Abu Hasan</t>
  </si>
  <si>
    <t>Guntur Eka Yusuf</t>
  </si>
  <si>
    <t>Asep Usman</t>
  </si>
  <si>
    <t>Aji Maulana Rizqi</t>
  </si>
  <si>
    <t>Dimas Putra Nanda</t>
  </si>
  <si>
    <t>Rukhiyanto</t>
  </si>
  <si>
    <t>Saprudin Hidayat</t>
  </si>
  <si>
    <t>Ivan Endri Haryanto</t>
  </si>
  <si>
    <t>Ibnu Mimbar Maulana</t>
  </si>
  <si>
    <t>M Syamsul Ma Arif</t>
  </si>
  <si>
    <t>Arya Sanjaya</t>
  </si>
  <si>
    <t>Mohammad Irsan Gustiroh</t>
  </si>
  <si>
    <t>Sholihin Nirza</t>
  </si>
  <si>
    <t>Mohamad Erik Maulana</t>
  </si>
  <si>
    <t>Herman</t>
  </si>
  <si>
    <t>Muhamad Syeh Malik Priana</t>
  </si>
  <si>
    <t>Mohammad Jami Al Fawaid</t>
  </si>
  <si>
    <t>Muhammad Irwan</t>
  </si>
  <si>
    <t>Andi Yoessianto</t>
  </si>
  <si>
    <t>Mujizat Allamin</t>
  </si>
  <si>
    <t>Muhammad Pasha Nur Rifki</t>
  </si>
  <si>
    <t>Anggi Pangestu</t>
  </si>
  <si>
    <t>Irfan Hibatullah</t>
  </si>
  <si>
    <t>Fajar B Pratama</t>
  </si>
  <si>
    <t>Aditya Nugraha</t>
  </si>
  <si>
    <t>M Aditya Mumin Ansori</t>
  </si>
  <si>
    <t>Nur Laeli Isna Marziatun</t>
  </si>
  <si>
    <t>Adinda Ayu Ramadhani</t>
  </si>
  <si>
    <t>Wina Cahaya</t>
  </si>
  <si>
    <t>Bayu Eman Setiawan</t>
  </si>
  <si>
    <t>Izatul Khayati</t>
  </si>
  <si>
    <t>Eka Saputra Ramadhan</t>
  </si>
  <si>
    <t>Nurmala Destriana</t>
  </si>
  <si>
    <t>Reva</t>
  </si>
  <si>
    <t>Rian Adi Saputra</t>
  </si>
  <si>
    <t>Azzahra Mulyaningtyas</t>
  </si>
  <si>
    <t>Nisaul Fatimah</t>
  </si>
  <si>
    <t>Nur Oftavia</t>
  </si>
  <si>
    <t>Wika Dwi Nopelia</t>
  </si>
  <si>
    <t>Rifky Agustian Dwi Putra</t>
  </si>
  <si>
    <t>Riski Ikhbal Afdani</t>
  </si>
  <si>
    <t>Wawan Gunawan</t>
  </si>
  <si>
    <t>Indah Astrianingsih</t>
  </si>
  <si>
    <t>Muhammad Izzun Azhar</t>
  </si>
  <si>
    <t>Lasmaria Sihombing</t>
  </si>
  <si>
    <t>Sumiyati</t>
  </si>
  <si>
    <t>Revalina Ramadhani</t>
  </si>
  <si>
    <t>Dika Aditiyani</t>
  </si>
  <si>
    <t>Tarmidi Tahir</t>
  </si>
  <si>
    <t>Neng Rika Nuraeni</t>
  </si>
  <si>
    <t>Hana Apriana</t>
  </si>
  <si>
    <t>Lia Mulyati</t>
  </si>
  <si>
    <t>Tedi Surahman</t>
  </si>
  <si>
    <t>Eva Indriyani</t>
  </si>
  <si>
    <t>Mety Elvira Dwi Zahra</t>
  </si>
  <si>
    <t>Rahda Sayrella Yolanda</t>
  </si>
  <si>
    <t>Sugeng Alvin Nanda</t>
  </si>
  <si>
    <t>Yeni Widayanti</t>
  </si>
  <si>
    <t>Leni</t>
  </si>
  <si>
    <t>Deva Silvana</t>
  </si>
  <si>
    <t>Nur Hakiki Puji Lestari</t>
  </si>
  <si>
    <t>Mutia Azzahra</t>
  </si>
  <si>
    <t>Irnawati</t>
  </si>
  <si>
    <t>Gayuh Rakasiwi</t>
  </si>
  <si>
    <t>Zaenal Arifin</t>
  </si>
  <si>
    <t>Sri Rejeki</t>
  </si>
  <si>
    <t>Melati Handayani</t>
  </si>
  <si>
    <t>Sarya Prasetio</t>
  </si>
  <si>
    <t>Tuti Alawiyah</t>
  </si>
  <si>
    <t>Devita Nur Aeni</t>
  </si>
  <si>
    <t>Mega Mulyawati</t>
  </si>
  <si>
    <t>Riana Gita Febrianti</t>
  </si>
  <si>
    <t>Maslamah Herawati</t>
  </si>
  <si>
    <t>Siti Nurjanah</t>
  </si>
  <si>
    <t>Dewi Sahara</t>
  </si>
  <si>
    <t>Diyana Astuti</t>
  </si>
  <si>
    <t>Elva Amalia Putri</t>
  </si>
  <si>
    <t>Tri Adinda Dewi</t>
  </si>
  <si>
    <t>Ramadhan Alfin Gimnastiar</t>
  </si>
  <si>
    <t>Melan Fitriyani</t>
  </si>
  <si>
    <t>Lia</t>
  </si>
  <si>
    <t>Novita Sari</t>
  </si>
  <si>
    <t>Wahyuni</t>
  </si>
  <si>
    <t>Dede Ica Seftiani</t>
  </si>
  <si>
    <t>Nur Saibah</t>
  </si>
  <si>
    <t>Nola Mutiara Sagita</t>
  </si>
  <si>
    <t>Amalia Novitasari</t>
  </si>
  <si>
    <t>Lia Purwati</t>
  </si>
  <si>
    <t>Anita Agustin</t>
  </si>
  <si>
    <t>Khoiriya</t>
  </si>
  <si>
    <t>Dea Rahmadani</t>
  </si>
  <si>
    <t>Cahhayu Agustin</t>
  </si>
  <si>
    <t>Siska Vigiastuti</t>
  </si>
  <si>
    <t>Friska Dwinova</t>
  </si>
  <si>
    <t>Ummu Lailatussyifa</t>
  </si>
  <si>
    <t>Aulia Khusna Cahyaningtyas</t>
  </si>
  <si>
    <t>Siti Khumaeroh</t>
  </si>
  <si>
    <t>Eka Dwi Purwanti</t>
  </si>
  <si>
    <t>Suswati</t>
  </si>
  <si>
    <t>Fadia Nur Amalia</t>
  </si>
  <si>
    <t>Diva Puja Yanti</t>
  </si>
  <si>
    <t>Masayu</t>
  </si>
  <si>
    <t>Umroh Atun</t>
  </si>
  <si>
    <t>Lilis Riyanti</t>
  </si>
  <si>
    <t>Iffana Kholisoh</t>
  </si>
  <si>
    <t>Ananda Riyadi</t>
  </si>
  <si>
    <t>Anisah</t>
  </si>
  <si>
    <t>Winda Wulandari</t>
  </si>
  <si>
    <t>Windi Safitri</t>
  </si>
  <si>
    <t>Wulandari</t>
  </si>
  <si>
    <t>Miah Karmelia</t>
  </si>
  <si>
    <t>Rangga Darma Wijaya</t>
  </si>
  <si>
    <t>Nanda Hani Safitri</t>
  </si>
  <si>
    <t>Juwita Dwi Lestari</t>
  </si>
  <si>
    <t>Dewinta Umami</t>
  </si>
  <si>
    <t>Dewi Sri Yuli Kartini</t>
  </si>
  <si>
    <t>Sri Khunaenah</t>
  </si>
  <si>
    <t>Rahma Maulidia</t>
  </si>
  <si>
    <t>Siti Zafira</t>
  </si>
  <si>
    <t>Nani Setiani</t>
  </si>
  <si>
    <t>Lyon Syahila</t>
  </si>
  <si>
    <t>Aulia Zahra Ramadhani</t>
  </si>
  <si>
    <t>Nurrachma Isdiyanti</t>
  </si>
  <si>
    <t>Dinda Kristina Oktavia</t>
  </si>
  <si>
    <t>Kiki Kurnia</t>
  </si>
  <si>
    <t>Putri Agustina</t>
  </si>
  <si>
    <t>Nur Imannudin</t>
  </si>
  <si>
    <t>Resma Saputri</t>
  </si>
  <si>
    <t>Usi Sulistiawati</t>
  </si>
  <si>
    <t>Ridwan Akmaluddin</t>
  </si>
  <si>
    <t>Dede Mulyaningsih</t>
  </si>
  <si>
    <t>Novi Wulandari</t>
  </si>
  <si>
    <t>Beni</t>
  </si>
  <si>
    <t>Dinda Permata Mariza</t>
  </si>
  <si>
    <t>Nita Nurlita</t>
  </si>
  <si>
    <t>Jihan Maulina</t>
  </si>
  <si>
    <t>Pipit Slamet Sugiarti Irawan</t>
  </si>
  <si>
    <t>Witriyah</t>
  </si>
  <si>
    <t>Iin Tanisah</t>
  </si>
  <si>
    <t>Santi</t>
  </si>
  <si>
    <t>Elen Amelia</t>
  </si>
  <si>
    <t>Reva Kharisma Berlian Kosasih</t>
  </si>
  <si>
    <t>Ika Nurjanah</t>
  </si>
  <si>
    <t>Vivi Indriantika</t>
  </si>
  <si>
    <t>Erniati</t>
  </si>
  <si>
    <t>Diva Ainiyyah Febriyansyah</t>
  </si>
  <si>
    <t>Lean Aulia</t>
  </si>
  <si>
    <t>Fitri Nurjanah</t>
  </si>
  <si>
    <t>Misbakhudin</t>
  </si>
  <si>
    <t>Tyas Anggreini Widyawati</t>
  </si>
  <si>
    <t>Kartika Komalasari</t>
  </si>
  <si>
    <t>Mita Amelia Salvina</t>
  </si>
  <si>
    <t>Sri Hartati</t>
  </si>
  <si>
    <t>Ananda Anis Pratama</t>
  </si>
  <si>
    <t>Nasya Isna Saadah</t>
  </si>
  <si>
    <t>Neli Asmarani</t>
  </si>
  <si>
    <t>Ratna Sulastri</t>
  </si>
  <si>
    <t>Siti Anisyah</t>
  </si>
  <si>
    <t>Ikhda Masruroh</t>
  </si>
  <si>
    <t>Caroline Agustina</t>
  </si>
  <si>
    <t>Aminah Juliyana</t>
  </si>
  <si>
    <t>Yusti Rahma Saputri</t>
  </si>
  <si>
    <t>Amellia</t>
  </si>
  <si>
    <t>Rizqi Amalia</t>
  </si>
  <si>
    <t>Sahrul Faizal Ramadhon</t>
  </si>
  <si>
    <t>Uswatun Khasanah</t>
  </si>
  <si>
    <t>Ayu Pratmawati</t>
  </si>
  <si>
    <t>Marsa Dwi Widodo</t>
  </si>
  <si>
    <t>Lulu Syarifatul Ulum</t>
  </si>
  <si>
    <t>Adinda Kuni Zakiyah</t>
  </si>
  <si>
    <t>Silvia Ayu Nurhasanah</t>
  </si>
  <si>
    <t>Rosi Anggraeni</t>
  </si>
  <si>
    <t>Evi Latifah</t>
  </si>
  <si>
    <t>Siti Nur Aeni</t>
  </si>
  <si>
    <t>Nurul Mulyaningsih</t>
  </si>
  <si>
    <t>Mochamad Erwin Rois</t>
  </si>
  <si>
    <t>Diah Safitri</t>
  </si>
  <si>
    <t>Wiwik Juniarsih</t>
  </si>
  <si>
    <t>Juwita Atika Putri</t>
  </si>
  <si>
    <t>Rahma Elsantanawati</t>
  </si>
  <si>
    <t>Anis Alfiyati</t>
  </si>
  <si>
    <t>Khanina Lestary</t>
  </si>
  <si>
    <t>Yunita Budiman</t>
  </si>
  <si>
    <t>Laelatul Azizah</t>
  </si>
  <si>
    <t>Shilvia Saputri</t>
  </si>
  <si>
    <t>Citra Ayu Saputri</t>
  </si>
  <si>
    <t>Aisyah Ummu Latifah</t>
  </si>
  <si>
    <t>Misbahul Anam</t>
  </si>
  <si>
    <t>Dwi Arum Muyita</t>
  </si>
  <si>
    <t>Riyanto</t>
  </si>
  <si>
    <t>Riska Kurniasih</t>
  </si>
  <si>
    <t>Hanika Amanda</t>
  </si>
  <si>
    <t>Hasmi Ari Pinayung</t>
  </si>
  <si>
    <t>Zidan Alfarizi</t>
  </si>
  <si>
    <t>Naira Eksa Nita</t>
  </si>
  <si>
    <t>Wini Siti Nuraeni</t>
  </si>
  <si>
    <t>Cindy Apriliyana</t>
  </si>
  <si>
    <t>Teguh Adi Prayogi</t>
  </si>
  <si>
    <t>Yuana Giraldien</t>
  </si>
  <si>
    <t>Widianingrum</t>
  </si>
  <si>
    <t>Ani Wahyuni</t>
  </si>
  <si>
    <t>Naza Rahma Putrian</t>
  </si>
  <si>
    <t>Yuniar Tri Lestari</t>
  </si>
  <si>
    <t>Devi Asti Andika</t>
  </si>
  <si>
    <t>Rina Nur Rani</t>
  </si>
  <si>
    <t>Devi Novitasari</t>
  </si>
  <si>
    <t>Shefira Agustina</t>
  </si>
  <si>
    <t>Nita Vianata</t>
  </si>
  <si>
    <t>Nabira Bunga Azhahra</t>
  </si>
  <si>
    <t>Sherli Nur Oktapiani</t>
  </si>
  <si>
    <t>Wike Astiyani Putri</t>
  </si>
  <si>
    <t>Siti Nur Khodizah</t>
  </si>
  <si>
    <t>Sonya Selviyani Inkiriwang</t>
  </si>
  <si>
    <t>Diana Pertiwi</t>
  </si>
  <si>
    <t>Nurochmah</t>
  </si>
  <si>
    <t>Windiya Hastuti</t>
  </si>
  <si>
    <t>Dede Andriani</t>
  </si>
  <si>
    <t>Nur Halizah</t>
  </si>
  <si>
    <t>Feni Wardatus Solikha</t>
  </si>
  <si>
    <t>Lutfia Fitriyani</t>
  </si>
  <si>
    <t>Anggie Nur Cahyani</t>
  </si>
  <si>
    <t>Safrina Aulia Ghiffari</t>
  </si>
  <si>
    <t>Tati Kusmiati</t>
  </si>
  <si>
    <t>Salwa Oktavia</t>
  </si>
  <si>
    <t>Salsabilla Nur Aurora</t>
  </si>
  <si>
    <t>Siti Nurfadillah</t>
  </si>
  <si>
    <t>Tri Windarti Rahayu</t>
  </si>
  <si>
    <t>Okta Nur Rohmah</t>
  </si>
  <si>
    <t>Viola Adynata</t>
  </si>
  <si>
    <t>Winda Umi Setiyani</t>
  </si>
  <si>
    <t>Ade Santi Ismawati</t>
  </si>
  <si>
    <t>Siska Nurmila Diah</t>
  </si>
  <si>
    <t>Depti Rosinta Wati</t>
  </si>
  <si>
    <t>Nova Linda Azhari</t>
  </si>
  <si>
    <t>Arofah</t>
  </si>
  <si>
    <t>Lia Irsa Lina</t>
  </si>
  <si>
    <t>Tri Mulyaningsih</t>
  </si>
  <si>
    <t>Lela</t>
  </si>
  <si>
    <t>Rani Nabila Putri</t>
  </si>
  <si>
    <t>Fitriyani</t>
  </si>
  <si>
    <t>Kiki Amelia</t>
  </si>
  <si>
    <t>Mita Astriyani</t>
  </si>
  <si>
    <t>Ayu Faliyani</t>
  </si>
  <si>
    <t>Labibah Uswatun Khasanah</t>
  </si>
  <si>
    <t>Avielva Zhelviany</t>
  </si>
  <si>
    <t>Latif Ainur Rokhmah</t>
  </si>
  <si>
    <t>Siti Rochanah</t>
  </si>
  <si>
    <t>Alda Surya Wijaya</t>
  </si>
  <si>
    <t>Bagus Wiranto</t>
  </si>
  <si>
    <t>Artania Putri Purniawan</t>
  </si>
  <si>
    <t>Nur Royanah</t>
  </si>
  <si>
    <t>David Erlangga</t>
  </si>
  <si>
    <t>Lutfatul Latifah</t>
  </si>
  <si>
    <t>Ina Rotul Koni</t>
  </si>
  <si>
    <t>Alaysh Awaliyah</t>
  </si>
  <si>
    <t>Siti Amisa</t>
  </si>
  <si>
    <t>Naya Meisya Fiantika</t>
  </si>
  <si>
    <t>Ragil Amalia Az Zahrah</t>
  </si>
  <si>
    <t>Khayrunisha Salsabila</t>
  </si>
  <si>
    <t>Ismiatun Maghfiroh</t>
  </si>
  <si>
    <t>Siti Rahayu</t>
  </si>
  <si>
    <t>Yuliasih</t>
  </si>
  <si>
    <t>Sri Aidah</t>
  </si>
  <si>
    <t>Siti Masito</t>
  </si>
  <si>
    <t>Nurjahidin</t>
  </si>
  <si>
    <t>Putikha</t>
  </si>
  <si>
    <t>Nizar Abiyadin Nafis</t>
  </si>
  <si>
    <t>Umi Satun Munawaroh</t>
  </si>
  <si>
    <t>Tri Apriani Utami</t>
  </si>
  <si>
    <t>nayla maylanti</t>
  </si>
  <si>
    <t>nida ul umaim</t>
  </si>
  <si>
    <t>eka fitriyani</t>
  </si>
  <si>
    <t>sepira nurmalasari</t>
  </si>
  <si>
    <t>hilda nova aprilia</t>
  </si>
  <si>
    <t>nur afifah</t>
  </si>
  <si>
    <t>anggih sulistyono</t>
  </si>
  <si>
    <t>sri diana</t>
  </si>
  <si>
    <t>isnin irnia analia</t>
  </si>
  <si>
    <t>siska triputri</t>
  </si>
  <si>
    <t>fika amala</t>
  </si>
  <si>
    <t>sakila rahmawati</t>
  </si>
  <si>
    <t>nabilla nurul asyifa</t>
  </si>
  <si>
    <t>ashlih abidah</t>
  </si>
  <si>
    <t>ratih tri nuraeni</t>
  </si>
  <si>
    <t>putri anjani</t>
  </si>
  <si>
    <t>sita nurkhasanah azzahra</t>
  </si>
  <si>
    <t>nazwa amalia</t>
  </si>
  <si>
    <t>nani diana</t>
  </si>
  <si>
    <t>alvi wulandari</t>
  </si>
  <si>
    <t>aji pangestu</t>
  </si>
  <si>
    <t>dini nur anjani</t>
  </si>
  <si>
    <t>ahmad safrudin</t>
  </si>
  <si>
    <t>umu ainur rohmah</t>
  </si>
  <si>
    <t>cindy khristia</t>
  </si>
  <si>
    <t>rezza agustin</t>
  </si>
  <si>
    <t>indah yuli hidayati</t>
  </si>
  <si>
    <t>rafika septiani</t>
  </si>
  <si>
    <t>leni suciati</t>
  </si>
  <si>
    <t>anisah</t>
  </si>
  <si>
    <t>wahyu ningsih</t>
  </si>
  <si>
    <t>sri wulandari</t>
  </si>
  <si>
    <t>meisya anggi lizayanti</t>
  </si>
  <si>
    <t>indah tawakalni</t>
  </si>
  <si>
    <t>wakhidah nova annisa</t>
  </si>
  <si>
    <t>eka widia astuti</t>
  </si>
  <si>
    <t>lilis lisnawati</t>
  </si>
  <si>
    <t>aulita lasya anggreani</t>
  </si>
  <si>
    <t>fasikhatun</t>
  </si>
  <si>
    <t>akhmad hamzah</t>
  </si>
  <si>
    <t>naelu saadah</t>
  </si>
  <si>
    <t>khalimatul sadiyah</t>
  </si>
  <si>
    <t>raisya chelseana</t>
  </si>
  <si>
    <t>anisa arviyana</t>
  </si>
  <si>
    <t>anah mariyah rosalia</t>
  </si>
  <si>
    <t>euis septia ningrum</t>
  </si>
  <si>
    <t>riska riantika</t>
  </si>
  <si>
    <t>titin elfiani</t>
  </si>
  <si>
    <t>andi mulya jaya</t>
  </si>
  <si>
    <t>tanisah</t>
  </si>
  <si>
    <t>rinaaudyh</t>
  </si>
  <si>
    <t>avmi rara melani</t>
  </si>
  <si>
    <t>heliza amelia</t>
  </si>
  <si>
    <t>meisya naswa afiyah</t>
  </si>
  <si>
    <t>santika</t>
  </si>
  <si>
    <t>nabila khoerunisa</t>
  </si>
  <si>
    <t>asa niatun nur afifa</t>
  </si>
  <si>
    <t>sundari muarifah</t>
  </si>
  <si>
    <t>revina mariska</t>
  </si>
  <si>
    <t>dinnia nurjanah</t>
  </si>
  <si>
    <t>neli puji astuti</t>
  </si>
  <si>
    <t>dessi rahayu</t>
  </si>
  <si>
    <t>nadya nur afifah</t>
  </si>
  <si>
    <t>wasilatul inayah</t>
  </si>
  <si>
    <t>siti nurhabibah</t>
  </si>
  <si>
    <t>anisatun rochmah</t>
  </si>
  <si>
    <t>tati puspita sari</t>
  </si>
  <si>
    <t>wulandari kristianingsih</t>
  </si>
  <si>
    <t>ya shifa rumaisha</t>
  </si>
  <si>
    <t>esa tiara</t>
  </si>
  <si>
    <t>asri wulandari</t>
  </si>
  <si>
    <t>aziematunikmah</t>
  </si>
  <si>
    <t>putry lia oktaviani</t>
  </si>
  <si>
    <t>rifki amalia desta karimatun</t>
  </si>
  <si>
    <t>ossy octaviola setiawan</t>
  </si>
  <si>
    <t>murni sarojah</t>
  </si>
  <si>
    <t>wiwin indriyani</t>
  </si>
  <si>
    <t>dwi febri valentin</t>
  </si>
  <si>
    <t>novita</t>
  </si>
  <si>
    <t>delan nurmala</t>
  </si>
  <si>
    <t>anastasya astri muzalfah</t>
  </si>
  <si>
    <t>diyah rhodhotul avivah</t>
  </si>
  <si>
    <t>alfi nur fadilah</t>
  </si>
  <si>
    <t>cucu sahari</t>
  </si>
  <si>
    <t>septi wulandari</t>
  </si>
  <si>
    <t>hendra nur priharto</t>
  </si>
  <si>
    <t>iqmah faiqoh</t>
  </si>
  <si>
    <t>amellia putri</t>
  </si>
  <si>
    <t>imelia</t>
  </si>
  <si>
    <t>rahel riyandi</t>
  </si>
  <si>
    <t>windi santia andrayani</t>
  </si>
  <si>
    <t>mukhamad ilham basuki</t>
  </si>
  <si>
    <t>aulia putri nuraini</t>
  </si>
  <si>
    <t>latifatun nisa</t>
  </si>
  <si>
    <t>widya aminur alifah</t>
  </si>
  <si>
    <t>akhmad an nur fachri</t>
  </si>
  <si>
    <t>revi reviyanti</t>
  </si>
  <si>
    <t>dina apriliani</t>
  </si>
  <si>
    <t>nur febrianti</t>
  </si>
  <si>
    <t>andina ferdinand</t>
  </si>
  <si>
    <t>ela winarsih</t>
  </si>
  <si>
    <t>fajar bayu aji d d</t>
  </si>
  <si>
    <t>rahma anjalina</t>
  </si>
  <si>
    <t>nuraisyah</t>
  </si>
  <si>
    <t>noviana kusuma wardani</t>
  </si>
  <si>
    <t>suci amalia indah sari</t>
  </si>
  <si>
    <t>fandi akhmad</t>
  </si>
  <si>
    <t>reni setya wati</t>
  </si>
  <si>
    <t>faradila hendra yunita</t>
  </si>
  <si>
    <t>nurul oktaviani</t>
  </si>
  <si>
    <t>uswatun hasanah</t>
  </si>
  <si>
    <t>wiwi ardiani</t>
  </si>
  <si>
    <t>bintang ramadhani</t>
  </si>
  <si>
    <t>puput aprilia</t>
  </si>
  <si>
    <t>ayyesa dyah pusparini</t>
  </si>
  <si>
    <t>nisa astiya ramadhani</t>
  </si>
  <si>
    <t>lina widiya sari</t>
  </si>
  <si>
    <t>faizatul hidayah</t>
  </si>
  <si>
    <t>andri setiawan</t>
  </si>
  <si>
    <t>lintang ade winasih</t>
  </si>
  <si>
    <t>husnah</t>
  </si>
  <si>
    <t>sri hayati</t>
  </si>
  <si>
    <t>nurul khasanah</t>
  </si>
  <si>
    <t>ismaul khusna aenur</t>
  </si>
  <si>
    <t>revi tri yuliana</t>
  </si>
  <si>
    <t>nara juniar arbaniah</t>
  </si>
  <si>
    <t>ahmad fariz maulana</t>
  </si>
  <si>
    <t>nisa latifatul hana</t>
  </si>
  <si>
    <t>tri windari</t>
  </si>
  <si>
    <t>nur azizah</t>
  </si>
  <si>
    <t>yolanda ayu ningtias</t>
  </si>
  <si>
    <t>sopiatun</t>
  </si>
  <si>
    <t>amelia</t>
  </si>
  <si>
    <t>dewi tri asih</t>
  </si>
  <si>
    <t>shinanda saraswati</t>
  </si>
  <si>
    <t>afidah</t>
  </si>
  <si>
    <t>ranti livia sari</t>
  </si>
  <si>
    <t>hadi setiadi</t>
  </si>
  <si>
    <t>hasriyah</t>
  </si>
  <si>
    <t>cindy aulia</t>
  </si>
  <si>
    <t>nur isnaaeni</t>
  </si>
  <si>
    <t>ulfianah</t>
  </si>
  <si>
    <t>lailatunnadipah</t>
  </si>
  <si>
    <t>dea kartika sari</t>
  </si>
  <si>
    <t>maula nurul arifah</t>
  </si>
  <si>
    <t>anisah nurhidayah</t>
  </si>
  <si>
    <t>widianingrum</t>
  </si>
  <si>
    <t>anandita zahra talita</t>
  </si>
  <si>
    <t>melina siska</t>
  </si>
  <si>
    <t>erina dwi yuni setyaningrum</t>
  </si>
  <si>
    <t>denita tri hapsari</t>
  </si>
  <si>
    <t>ananda mei saputri</t>
  </si>
  <si>
    <t>dea yulia</t>
  </si>
  <si>
    <t>laelatun nafiah</t>
  </si>
  <si>
    <t>siti nur azizah</t>
  </si>
  <si>
    <t>nurhajijah</t>
  </si>
  <si>
    <t>aliyah nurfaizah</t>
  </si>
  <si>
    <t>rini rukmini</t>
  </si>
  <si>
    <t>rifa atul ghonimah</t>
  </si>
  <si>
    <t>desi listiani</t>
  </si>
  <si>
    <t>shindy meizy</t>
  </si>
  <si>
    <t>nursanti</t>
  </si>
  <si>
    <t>elza rahastri</t>
  </si>
  <si>
    <t>zuhriyah adzra zharifah</t>
  </si>
  <si>
    <t>mega sulis setiawati</t>
  </si>
  <si>
    <t>rizki listiawati</t>
  </si>
  <si>
    <t>nurade fitrianasari</t>
  </si>
  <si>
    <t>vivi oktovia</t>
  </si>
  <si>
    <t>nadiva niken fadila</t>
  </si>
  <si>
    <t>irna rosita</t>
  </si>
  <si>
    <t>shella sulistyani</t>
  </si>
  <si>
    <t>sinta indriana</t>
  </si>
  <si>
    <t>ferdy alfianur</t>
  </si>
  <si>
    <t>erna wati</t>
  </si>
  <si>
    <t>syifa hayatun nufus</t>
  </si>
  <si>
    <t>indah mutiara nur aeni</t>
  </si>
  <si>
    <t>winda lestari</t>
  </si>
  <si>
    <t>ikrima adillah denia</t>
  </si>
  <si>
    <t>marisa estiana</t>
  </si>
  <si>
    <t>sherla sallusi</t>
  </si>
  <si>
    <t>mutiara rahma fadilah</t>
  </si>
  <si>
    <t>siti aisyah</t>
  </si>
  <si>
    <t>wawan setiawan wandi</t>
  </si>
  <si>
    <t>miske nur agustina</t>
  </si>
  <si>
    <t>ilman nafiuddin</t>
  </si>
  <si>
    <t>robi alfandi</t>
  </si>
  <si>
    <t>ashar sabiila</t>
  </si>
  <si>
    <t>dafid silva</t>
  </si>
  <si>
    <t>adi sepriono</t>
  </si>
  <si>
    <t>soni haryanto</t>
  </si>
  <si>
    <t>muhammad syahrul ahnan</t>
  </si>
  <si>
    <t>sepria adimulya</t>
  </si>
  <si>
    <t>muhammad nur asfa fuadi</t>
  </si>
  <si>
    <t>wilda islami</t>
  </si>
  <si>
    <t>syamsudin</t>
  </si>
  <si>
    <t>izza fredata endarto</t>
  </si>
  <si>
    <t>yudha rizki wibowo</t>
  </si>
  <si>
    <t>muhamad ainun umam</t>
  </si>
  <si>
    <t>aditya prasetyo</t>
  </si>
  <si>
    <t>abdul wahab</t>
  </si>
  <si>
    <t>moh dava rangga febrian</t>
  </si>
  <si>
    <t>muhamad teguh arissianto</t>
  </si>
  <si>
    <t>irfan maulana</t>
  </si>
  <si>
    <t>ade irfan</t>
  </si>
  <si>
    <t>dzaki taufiqul hakim</t>
  </si>
  <si>
    <t>muchamad luthfi</t>
  </si>
  <si>
    <t>yudhistira afriezal priyono</t>
  </si>
  <si>
    <t>zidni ilman al hakim</t>
  </si>
  <si>
    <t>ona suryana</t>
  </si>
  <si>
    <t>muhamad irfan</t>
  </si>
  <si>
    <t>irfan junaedi</t>
  </si>
  <si>
    <t>teguh prianto</t>
  </si>
  <si>
    <t>muhammad alif wisnu murti</t>
  </si>
  <si>
    <t>petrus bayu setya wibawa</t>
  </si>
  <si>
    <t>reza setiawan</t>
  </si>
  <si>
    <t>anwar fuadi</t>
  </si>
  <si>
    <t>ahmad riziq maulana</t>
  </si>
  <si>
    <t>william morghani agustin</t>
  </si>
  <si>
    <t>wahyu lutfiyadi</t>
  </si>
  <si>
    <t>moh sayid arief</t>
  </si>
  <si>
    <t>muhammad haryz iqbal hendrawan</t>
  </si>
  <si>
    <t>diandra bayu aji</t>
  </si>
  <si>
    <t>adi kamelani</t>
  </si>
  <si>
    <t>helpry andriyan</t>
  </si>
  <si>
    <t>peri irawan</t>
  </si>
  <si>
    <t>rafael ilham ananta</t>
  </si>
  <si>
    <t>afif fiqri alfaqih</t>
  </si>
  <si>
    <t>ade bagas saputra</t>
  </si>
  <si>
    <t>nita nurahmawati</t>
  </si>
  <si>
    <t>khaerul ivando</t>
  </si>
  <si>
    <t>muh edi suswanto</t>
  </si>
  <si>
    <t>sandy kurniawan</t>
  </si>
  <si>
    <t>muhammad hisyam adnan</t>
  </si>
  <si>
    <t>andi syaefulloh</t>
  </si>
  <si>
    <t>beni murgita pratama</t>
  </si>
  <si>
    <t>nugroho adi wicaksono</t>
  </si>
  <si>
    <t>idan sultan valentina</t>
  </si>
  <si>
    <t>bujana maulana pangestu</t>
  </si>
  <si>
    <t>dandi pujiyono</t>
  </si>
  <si>
    <t>gus hafit</t>
  </si>
  <si>
    <t>muhamad adi ajiyanto</t>
  </si>
  <si>
    <t>muji purnomo</t>
  </si>
  <si>
    <t>riski nur fadilah</t>
  </si>
  <si>
    <t>dimas khoerul imam</t>
  </si>
  <si>
    <t>m fatkhurohman</t>
  </si>
  <si>
    <t>ibnu jurjani</t>
  </si>
  <si>
    <t>m hamam alfikri</t>
  </si>
  <si>
    <t>bani ghesit prasetya</t>
  </si>
  <si>
    <t>sandi syah zena</t>
  </si>
  <si>
    <t>Row Labels</t>
  </si>
  <si>
    <t>Grand Total</t>
  </si>
  <si>
    <t xml:space="preserve">operator </t>
  </si>
  <si>
    <t xml:space="preserve">prodution </t>
  </si>
  <si>
    <t xml:space="preserve">production </t>
  </si>
  <si>
    <t>EMP0052</t>
  </si>
  <si>
    <t>EMP0054</t>
  </si>
  <si>
    <t>EMP0056</t>
  </si>
  <si>
    <t>EMP0089</t>
  </si>
  <si>
    <t>EMP0116</t>
  </si>
  <si>
    <t>EMP0127</t>
  </si>
  <si>
    <t>EMP0129</t>
  </si>
  <si>
    <t>EMP0176</t>
  </si>
  <si>
    <t>EMP0222</t>
  </si>
  <si>
    <t>EMP0240</t>
  </si>
  <si>
    <t>EMP0253</t>
  </si>
  <si>
    <t>EMP0281</t>
  </si>
  <si>
    <t>EMP0292</t>
  </si>
  <si>
    <t>EMP0433</t>
  </si>
  <si>
    <t>EMP0450</t>
  </si>
  <si>
    <t>EMP0464</t>
  </si>
  <si>
    <t>EMP0560</t>
  </si>
  <si>
    <t>EMP0602</t>
  </si>
  <si>
    <t>EMP0623</t>
  </si>
  <si>
    <t>EMP0644</t>
  </si>
  <si>
    <t>EMP0654</t>
  </si>
  <si>
    <t>EMP0674</t>
  </si>
  <si>
    <t>EMP0679</t>
  </si>
  <si>
    <t>EMP0713</t>
  </si>
  <si>
    <t>EMP0750</t>
  </si>
  <si>
    <t>EMP0787</t>
  </si>
  <si>
    <t>EMP0791</t>
  </si>
  <si>
    <t>EMP0806</t>
  </si>
  <si>
    <t>EMP0819</t>
  </si>
  <si>
    <t>EMP0884</t>
  </si>
  <si>
    <t>EMP0934</t>
  </si>
  <si>
    <t>=IF(COUNTIF($B$3:$B$1002,B3)&gt;1,"Duplicate","Ok")</t>
  </si>
  <si>
    <t>=EXACT(C3,PROPER(C3))</t>
  </si>
  <si>
    <t>=EXACT(D3,PROPER(D3))</t>
  </si>
  <si>
    <t>=IF(ISNUMBER(F3),"TRUE","FALSE")</t>
  </si>
  <si>
    <t>=EXACT(I3,PROPER(I3))</t>
  </si>
  <si>
    <t>=IF(RIGHT(J3,10)="@email.com","TRUE","FALSE")</t>
  </si>
  <si>
    <t>=IF(LEFT(K3,2)="08","TRUE","FALSE")</t>
  </si>
  <si>
    <t>Siti Maghfiroh</t>
  </si>
  <si>
    <t>Diyah Rhodhotul Avivah</t>
  </si>
  <si>
    <t>Ferri Riyanto</t>
  </si>
  <si>
    <t>Alfi Nur Fadilah</t>
  </si>
  <si>
    <t>A Khoirurroziqin</t>
  </si>
  <si>
    <t>Dian Nur Ardilla</t>
  </si>
  <si>
    <t>Lutfi Ardiansyah</t>
  </si>
  <si>
    <t>Rahmayanti</t>
  </si>
  <si>
    <t>Wawan Setiawan Wandi</t>
  </si>
  <si>
    <t>Nur Aisyah</t>
  </si>
  <si>
    <t>Abdul Aziz</t>
  </si>
  <si>
    <t>Ozi Priyanto</t>
  </si>
  <si>
    <t>Miske Nur Agustina</t>
  </si>
  <si>
    <t>Rohmat</t>
  </si>
  <si>
    <t>Feni Khoeru Nisa</t>
  </si>
  <si>
    <t>Hendri Setiawan</t>
  </si>
  <si>
    <t>Samsul Bahri</t>
  </si>
  <si>
    <t>Shinanda Saraswati</t>
  </si>
  <si>
    <t>Rismayana Sahira</t>
  </si>
  <si>
    <t>Muhammad Nur Iskandar</t>
  </si>
  <si>
    <t>Ilman Nafiuddin</t>
  </si>
  <si>
    <t>Nur Laela Pitriyana</t>
  </si>
  <si>
    <t>Sasti Frayoga</t>
  </si>
  <si>
    <t>Robi Alfandi</t>
  </si>
  <si>
    <t>Nur Khasanah</t>
  </si>
  <si>
    <t>Nur Fadilah</t>
  </si>
  <si>
    <t>Ashar Sabiila</t>
  </si>
  <si>
    <t>Umiyati Salamiyah</t>
  </si>
  <si>
    <t>Muh Rasya Nur Rizki</t>
  </si>
  <si>
    <t>Dafid Silva</t>
  </si>
  <si>
    <t>Wulan Ariska</t>
  </si>
  <si>
    <t>Kholifatun Khasanah</t>
  </si>
  <si>
    <t>Cucu Sahari</t>
  </si>
  <si>
    <t>Septi Wulandari</t>
  </si>
  <si>
    <t>Catur Difta Kahantoro</t>
  </si>
  <si>
    <t>Syafik Mirza</t>
  </si>
  <si>
    <t>Rahmaditya Chandra</t>
  </si>
  <si>
    <t>Topari</t>
  </si>
  <si>
    <t>Reza Pratama</t>
  </si>
  <si>
    <t>Hendra Nur Priharto</t>
  </si>
  <si>
    <t>Iqmah Faiqoh</t>
  </si>
  <si>
    <t>Afidah</t>
  </si>
  <si>
    <t>Amellia Putri</t>
  </si>
  <si>
    <t>Idris Nurfauzi</t>
  </si>
  <si>
    <t>Adi Sepriono</t>
  </si>
  <si>
    <t>Adi Ratno</t>
  </si>
  <si>
    <t>Ulil Hidayati</t>
  </si>
  <si>
    <t>Imelia</t>
  </si>
  <si>
    <t>Wahyu Umar Said</t>
  </si>
  <si>
    <t>Wawas Setiawati</t>
  </si>
  <si>
    <t>Imam Widiyanto</t>
  </si>
  <si>
    <t>Soni Haryanto</t>
  </si>
  <si>
    <t>Muhammad Syahrul Ahnan</t>
  </si>
  <si>
    <t>Sepria Adimulya</t>
  </si>
  <si>
    <t>Krisna Juni Pamungkas</t>
  </si>
  <si>
    <t>Dian Elga Prastika</t>
  </si>
  <si>
    <t>Ranti Livia Sari</t>
  </si>
  <si>
    <t>Akhmad Faozi Saputra</t>
  </si>
  <si>
    <t>Muhammad Nur Asfa Fuadi</t>
  </si>
  <si>
    <t>Dea Putri Amelia</t>
  </si>
  <si>
    <t>Wilda Islami</t>
  </si>
  <si>
    <t>Syamsudin</t>
  </si>
  <si>
    <t>Davit Hendriansyah</t>
  </si>
  <si>
    <t>Siti Mutiara Nikmah</t>
  </si>
  <si>
    <t>Hadi Setiadi</t>
  </si>
  <si>
    <t>Suprihana</t>
  </si>
  <si>
    <t>Rizki Baehaqi</t>
  </si>
  <si>
    <t>Izza Fredata Endarto</t>
  </si>
  <si>
    <t>Erni Suherni</t>
  </si>
  <si>
    <t>Rahel Riyandi</t>
  </si>
  <si>
    <t>Ridwan</t>
  </si>
  <si>
    <t>Yudha Rizki Wibowo</t>
  </si>
  <si>
    <t>Wandi Ardiansyah Putra</t>
  </si>
  <si>
    <t>Affan Bagas Arokhman</t>
  </si>
  <si>
    <t>Anugrah Nur Fristian</t>
  </si>
  <si>
    <t>Fitriya Wijayanti</t>
  </si>
  <si>
    <t>Windi Santia Andrayani</t>
  </si>
  <si>
    <t>Muhamad Ainun Umam</t>
  </si>
  <si>
    <t>Fasikha</t>
  </si>
  <si>
    <t>Khuswatun Khasanah</t>
  </si>
  <si>
    <t>Aditya Prasetyo</t>
  </si>
  <si>
    <t>Saeful Iman</t>
  </si>
  <si>
    <t>Mukhamad Ilham Basuki</t>
  </si>
  <si>
    <t>Toto Iskandar</t>
  </si>
  <si>
    <t>Gina Rosdiana</t>
  </si>
  <si>
    <t>Aulia Putri Nuraini</t>
  </si>
  <si>
    <t>Egi Ardhanariswati</t>
  </si>
  <si>
    <t>Nur Oktavia</t>
  </si>
  <si>
    <t>Hikmatul Maula</t>
  </si>
  <si>
    <t>Muhamad Tedi Ramadan</t>
  </si>
  <si>
    <t>Selvi Astriani</t>
  </si>
  <si>
    <t>Abdul Wahab</t>
  </si>
  <si>
    <t>Moh Dava Rangga Febrian</t>
  </si>
  <si>
    <t>Ahmad Nurfauzi</t>
  </si>
  <si>
    <t>Latifatun Nisa</t>
  </si>
  <si>
    <t>Hasriyah</t>
  </si>
  <si>
    <t>Nur Armala Putri</t>
  </si>
  <si>
    <t>Nur Mahmudah</t>
  </si>
  <si>
    <t>Muhamad Teguh Arissianto</t>
  </si>
  <si>
    <t>Nayla Maylanti</t>
  </si>
  <si>
    <t>Maulani</t>
  </si>
  <si>
    <t>Nida Ul Umaim</t>
  </si>
  <si>
    <t>Eka Fitriyani</t>
  </si>
  <si>
    <t>Cindy Aulia</t>
  </si>
  <si>
    <t>Sepira Nurmalasari</t>
  </si>
  <si>
    <t>Irfan Maulana</t>
  </si>
  <si>
    <t>Ade Irfan</t>
  </si>
  <si>
    <t>Hilda Nova Aprilia</t>
  </si>
  <si>
    <t>Widya Aminur Alifah</t>
  </si>
  <si>
    <t>Nur Isnaaeni</t>
  </si>
  <si>
    <t>Nur Afifah</t>
  </si>
  <si>
    <t>Anggih Sulistyono</t>
  </si>
  <si>
    <t>Dzaki Taufiqul Hakim</t>
  </si>
  <si>
    <t>Akhmad An Nur Fachri</t>
  </si>
  <si>
    <t>Ulfianah</t>
  </si>
  <si>
    <t>Sri Diana</t>
  </si>
  <si>
    <t>Revi Reviyanti</t>
  </si>
  <si>
    <t>Isnin Irnia Analia</t>
  </si>
  <si>
    <t>Siska Triputri</t>
  </si>
  <si>
    <t>Muchamad Luthfi</t>
  </si>
  <si>
    <t>Faisol Komari Zamwn</t>
  </si>
  <si>
    <t>Hekel Badrusalam</t>
  </si>
  <si>
    <t>Fika Amala</t>
  </si>
  <si>
    <t>Gofar Ismail</t>
  </si>
  <si>
    <t>Sri Rahayu Wanti</t>
  </si>
  <si>
    <t>Sakila Rahmawati</t>
  </si>
  <si>
    <t>Dina Apriliani</t>
  </si>
  <si>
    <t>Yudhistira Afriezal Priyono</t>
  </si>
  <si>
    <t>Agus Sopian</t>
  </si>
  <si>
    <t>Ikhlasul Amal</t>
  </si>
  <si>
    <t>Windy Septiani</t>
  </si>
  <si>
    <t>Samsul Maarip</t>
  </si>
  <si>
    <t>Nur Febrianti</t>
  </si>
  <si>
    <t>Gugun Gunawan</t>
  </si>
  <si>
    <t>Zidni Ilman Al Hakim</t>
  </si>
  <si>
    <t>Nabilla Nurul Asyifa</t>
  </si>
  <si>
    <t>Sujimin</t>
  </si>
  <si>
    <t>Andina Ferdinand</t>
  </si>
  <si>
    <t>Ona Suryana</t>
  </si>
  <si>
    <t>Muhammad Afwan Munir Maulana</t>
  </si>
  <si>
    <t>Muhamad Irfan</t>
  </si>
  <si>
    <t>Marizka Tracyana</t>
  </si>
  <si>
    <t>Wasifatul Hidayah</t>
  </si>
  <si>
    <t>Abdulah Ikhsanudin</t>
  </si>
  <si>
    <t>Irfan Junaedi</t>
  </si>
  <si>
    <t>Tri Yuli Yanti</t>
  </si>
  <si>
    <t>Lailatunnadipah</t>
  </si>
  <si>
    <t>Ashlih Abidah</t>
  </si>
  <si>
    <t>Dea Kartika Sari</t>
  </si>
  <si>
    <t>Selvi Hindiyani</t>
  </si>
  <si>
    <t>Syahril Maulana Al Falah</t>
  </si>
  <si>
    <t>Singgih Dwi Pangestu</t>
  </si>
  <si>
    <t>Teguh Prianto</t>
  </si>
  <si>
    <t>Ela Winarsih</t>
  </si>
  <si>
    <t>Shakhilah Nurur Rohmah</t>
  </si>
  <si>
    <t>Ratih Tri Nuraeni</t>
  </si>
  <si>
    <t>Muhammad Alif Wisnu Murti</t>
  </si>
  <si>
    <t>Muhammad Alwi Alrizky</t>
  </si>
  <si>
    <t>Elsa</t>
  </si>
  <si>
    <t>Maula Nurul Arifah</t>
  </si>
  <si>
    <t>Riyanti</t>
  </si>
  <si>
    <t>Anisah Nurhidayah</t>
  </si>
  <si>
    <t>Putri Anjani</t>
  </si>
  <si>
    <t>Fajar Bayu Aji D D</t>
  </si>
  <si>
    <t>Sita Nurkhasanah Azzahra</t>
  </si>
  <si>
    <t>Petrus Bayu Setya Wibawa</t>
  </si>
  <si>
    <t>Reza Setiawan</t>
  </si>
  <si>
    <t>Nazwa Amalia</t>
  </si>
  <si>
    <t>Nani Diana</t>
  </si>
  <si>
    <t>Azaz Alfa Rizqi</t>
  </si>
  <si>
    <t>Anwar Fuadi</t>
  </si>
  <si>
    <t>Nur Lita Dwi Purnamasari</t>
  </si>
  <si>
    <t>Arif Ulin Nuha</t>
  </si>
  <si>
    <t>Rahma Anjalina</t>
  </si>
  <si>
    <t>Nuraisyah</t>
  </si>
  <si>
    <t>Dwi Marti Astuti</t>
  </si>
  <si>
    <t>Rahmah Azizah</t>
  </si>
  <si>
    <t>Ahmad Riziq Maulana</t>
  </si>
  <si>
    <t>Alvi Wulandari</t>
  </si>
  <si>
    <t>M Piki Purnama</t>
  </si>
  <si>
    <t>Noviana Kusuma Wardani</t>
  </si>
  <si>
    <t>Septia Wijiana</t>
  </si>
  <si>
    <t>Ishaq Ramadani</t>
  </si>
  <si>
    <t>Enden Muhamad Hilman</t>
  </si>
  <si>
    <t>Aji Pangestu</t>
  </si>
  <si>
    <t>Novi Kusuma Wardani</t>
  </si>
  <si>
    <t>Suherman</t>
  </si>
  <si>
    <t>Suci Amalia Indah Sari</t>
  </si>
  <si>
    <t>Seli Apriliyani Putri</t>
  </si>
  <si>
    <t>Anandita Zahra Talita</t>
  </si>
  <si>
    <t>William Morghani Agustin</t>
  </si>
  <si>
    <t>Nafrotin</t>
  </si>
  <si>
    <t>Dini Nur Anjani</t>
  </si>
  <si>
    <t>Martin Feri</t>
  </si>
  <si>
    <t>Ahmad Safrudin</t>
  </si>
  <si>
    <t>Wahyu Lutfiyadi</t>
  </si>
  <si>
    <t>Umu Ainur Rohmah</t>
  </si>
  <si>
    <t>Moh Sayid Arief</t>
  </si>
  <si>
    <t>Melina Siska</t>
  </si>
  <si>
    <t>Feri Gunawan</t>
  </si>
  <si>
    <t>Erina Dwi Yuni Setyaningrum</t>
  </si>
  <si>
    <t>Sheril Aurellia</t>
  </si>
  <si>
    <t>Muhammad Haryz Iqbal Hendrawan</t>
  </si>
  <si>
    <t>Aam Warnisah</t>
  </si>
  <si>
    <t>Diandra Bayu Aji</t>
  </si>
  <si>
    <t>Denita Tri Hapsari</t>
  </si>
  <si>
    <t>Budi Priyono</t>
  </si>
  <si>
    <t>Ananda Mei Saputri</t>
  </si>
  <si>
    <t>Andri Satio</t>
  </si>
  <si>
    <t>Adi Kamelani</t>
  </si>
  <si>
    <t>Ameliyah</t>
  </si>
  <si>
    <t>Lisnawati</t>
  </si>
  <si>
    <t>Helpry Andriyan</t>
  </si>
  <si>
    <t>Cindy Khristia</t>
  </si>
  <si>
    <t>Fandi Akhmad</t>
  </si>
  <si>
    <t>Rezza Agustin</t>
  </si>
  <si>
    <t>Indah Yuli Hidayati</t>
  </si>
  <si>
    <t>Peri Irawan</t>
  </si>
  <si>
    <t>Luluk Sholihatin</t>
  </si>
  <si>
    <t>Rafael Ilham Ananta</t>
  </si>
  <si>
    <t>Siti Mubarokah</t>
  </si>
  <si>
    <t>Dea Yulia</t>
  </si>
  <si>
    <t>Dina Rizki Amelia</t>
  </si>
  <si>
    <t>Ruslani</t>
  </si>
  <si>
    <t>Laelatun Nafiah</t>
  </si>
  <si>
    <t>Afif Fiqri Alfaqih</t>
  </si>
  <si>
    <t>Ade Bagas Saputra</t>
  </si>
  <si>
    <t>Nita Nurahmawati</t>
  </si>
  <si>
    <t>Khaerul Ivando</t>
  </si>
  <si>
    <t>Risma Trihandayani</t>
  </si>
  <si>
    <t>Rafika Septiani</t>
  </si>
  <si>
    <t>Bambang Didi Mulyono</t>
  </si>
  <si>
    <t>Reni Setya Wati</t>
  </si>
  <si>
    <t>Muh Edi Suswanto</t>
  </si>
  <si>
    <t>Faradila Hendra Yunita</t>
  </si>
  <si>
    <t>Nurul Oktaviani</t>
  </si>
  <si>
    <t>Tomy Gilang Budi Utama</t>
  </si>
  <si>
    <t>Andien Ramadhani</t>
  </si>
  <si>
    <t>Siti Nur Azizah</t>
  </si>
  <si>
    <t>Aldy Prayoga</t>
  </si>
  <si>
    <t>Nur Baeti</t>
  </si>
  <si>
    <t>Nurhajijah</t>
  </si>
  <si>
    <t>Leni Suciati</t>
  </si>
  <si>
    <t>Ahmad Trustianto</t>
  </si>
  <si>
    <t>Sandy Kurniawan</t>
  </si>
  <si>
    <t>Muhammad Hisyam Adnan</t>
  </si>
  <si>
    <t>Andi Syaefulloh</t>
  </si>
  <si>
    <t>Beni Murgita Pratama</t>
  </si>
  <si>
    <t>Achmad Wijaya Kusuma</t>
  </si>
  <si>
    <t>Aliyah Nurfaizah</t>
  </si>
  <si>
    <t>Abdul Ghofur</t>
  </si>
  <si>
    <t>Rini Rukmini</t>
  </si>
  <si>
    <t>James Martin</t>
  </si>
  <si>
    <t>Iis Istikomah</t>
  </si>
  <si>
    <t>Uswatun Hasanah</t>
  </si>
  <si>
    <t>Nugroho Adi Wicaksono</t>
  </si>
  <si>
    <t>Wahyu Ningsih</t>
  </si>
  <si>
    <t>Ananda Putra Nugraha</t>
  </si>
  <si>
    <t>Umi Mayada</t>
  </si>
  <si>
    <t>Rifa Atul Ghonimah</t>
  </si>
  <si>
    <t>Muhamad Yunus</t>
  </si>
  <si>
    <t>Wiwi Ardiani</t>
  </si>
  <si>
    <t>Desi Listiani</t>
  </si>
  <si>
    <t>Idan Sultan Valentina</t>
  </si>
  <si>
    <t>Bujana Maulana Pangestu</t>
  </si>
  <si>
    <t>Nabilatun Munawaroh</t>
  </si>
  <si>
    <t>Fransisca Lidya Ningrum</t>
  </si>
  <si>
    <t>Shindy Meizy</t>
  </si>
  <si>
    <t>Sri Wulandari</t>
  </si>
  <si>
    <t>Meisya Anggi Lizayanti</t>
  </si>
  <si>
    <t>Tri Winda Sulistia Asih</t>
  </si>
  <si>
    <t>Nursanti</t>
  </si>
  <si>
    <t>Bintang Ramadhani</t>
  </si>
  <si>
    <t>Dandi Pujiyono</t>
  </si>
  <si>
    <t>Riandika Pramudya</t>
  </si>
  <si>
    <t>Indah Tawakalni</t>
  </si>
  <si>
    <t>Citra Ayu Tifani</t>
  </si>
  <si>
    <t>Wakhidah Nova Annisa</t>
  </si>
  <si>
    <t>Eka Widia Astuti</t>
  </si>
  <si>
    <t>Puput Aprilia</t>
  </si>
  <si>
    <t>Tina</t>
  </si>
  <si>
    <t>Isna Rijal Mukti</t>
  </si>
  <si>
    <t>Elza Rahastri</t>
  </si>
  <si>
    <t>Ayyesa Dyah Pusparini</t>
  </si>
  <si>
    <t>Arif Wakhyudin</t>
  </si>
  <si>
    <t>Gus Hafit</t>
  </si>
  <si>
    <t>Unsi Dharma Agensi</t>
  </si>
  <si>
    <t>Muhamad Adi Ajiyanto</t>
  </si>
  <si>
    <t>Muji Purnomo</t>
  </si>
  <si>
    <t>Zuhriyah Adzra Zharifah</t>
  </si>
  <si>
    <t>Joni Purba</t>
  </si>
  <si>
    <t>Lilis Lisnawati</t>
  </si>
  <si>
    <t>Winda Ayuningtiyas</t>
  </si>
  <si>
    <t>Saeful Arifin</t>
  </si>
  <si>
    <t>Ari Maulana Yudha Pratama</t>
  </si>
  <si>
    <t>Aulita Lasya Anggreani</t>
  </si>
  <si>
    <t>Nisa Astiya Ramadhani</t>
  </si>
  <si>
    <t>Lilis Utami</t>
  </si>
  <si>
    <t>Fasikhatun</t>
  </si>
  <si>
    <t>Akhmad Hamzah</t>
  </si>
  <si>
    <t>Naelu Saadah</t>
  </si>
  <si>
    <t>Faidatun Nufus</t>
  </si>
  <si>
    <t>Khalimatul Sadiyah</t>
  </si>
  <si>
    <t>Raisya Chelseana</t>
  </si>
  <si>
    <t>Ari Munandar</t>
  </si>
  <si>
    <t>Diinah</t>
  </si>
  <si>
    <t>Riski Nur Fadilah</t>
  </si>
  <si>
    <t>Dewi Qomariyah</t>
  </si>
  <si>
    <t>Anisa Arviyana</t>
  </si>
  <si>
    <t>Khoeril Husyain Al Hanif</t>
  </si>
  <si>
    <t>Waliyul Mustofa</t>
  </si>
  <si>
    <t>Lina Widiya Sari</t>
  </si>
  <si>
    <t>Bilal Dwi Pangestu</t>
  </si>
  <si>
    <t>Usni Basofi</t>
  </si>
  <si>
    <t>Mega Sulis Setiawati</t>
  </si>
  <si>
    <t>Muhammad Kurniadi</t>
  </si>
  <si>
    <t>Dimas Khoerul Imam</t>
  </si>
  <si>
    <t>Rizki Listiawati</t>
  </si>
  <si>
    <t>M Fatkhurohman</t>
  </si>
  <si>
    <t>Yosti Yatin Romadhoni</t>
  </si>
  <si>
    <t>Anah Mariyah Rosalia</t>
  </si>
  <si>
    <t>Ibnu Jurjani</t>
  </si>
  <si>
    <t>Widiyanto</t>
  </si>
  <si>
    <t>Nurade Fitrianasari</t>
  </si>
  <si>
    <t>Faizatul Hidayah</t>
  </si>
  <si>
    <t>M Hamam Alfikri</t>
  </si>
  <si>
    <t>Bani Ghesit Prasetya</t>
  </si>
  <si>
    <t>Muhammad Ridwan Al Asyari</t>
  </si>
  <si>
    <t>Mochamad Ulinuha</t>
  </si>
  <si>
    <t>Sandi Syah Zena</t>
  </si>
  <si>
    <t>Mochamad Ridwan</t>
  </si>
  <si>
    <t>Vivi Oktovia</t>
  </si>
  <si>
    <t>Nadiva Niken Fadila</t>
  </si>
  <si>
    <t>Doni Setiawan</t>
  </si>
  <si>
    <t>Euis Septia Ningrum</t>
  </si>
  <si>
    <t>Auliatu Zahroh</t>
  </si>
  <si>
    <t>Riska Riantika</t>
  </si>
  <si>
    <t>Renata Febrian</t>
  </si>
  <si>
    <t>Mukhammad Ibrohim Akbar</t>
  </si>
  <si>
    <t>Mohamad Arya Alhabib</t>
  </si>
  <si>
    <t>Titin Elfiani</t>
  </si>
  <si>
    <t>Andi Mulya Jaya</t>
  </si>
  <si>
    <t>Tanisah</t>
  </si>
  <si>
    <t>Rinaaudyh</t>
  </si>
  <si>
    <t>Evy Nur Aprilia</t>
  </si>
  <si>
    <t>Andri Setiawan</t>
  </si>
  <si>
    <t>Avmi Rara Melani</t>
  </si>
  <si>
    <t>Zulfi Maula Khikami</t>
  </si>
  <si>
    <t>Heliza Amelia</t>
  </si>
  <si>
    <t>Lintang Ade Winasih</t>
  </si>
  <si>
    <t>Andi Sumitro</t>
  </si>
  <si>
    <t>Dio Nurois</t>
  </si>
  <si>
    <t>Fariz Maulana</t>
  </si>
  <si>
    <t>Juwita Amelia</t>
  </si>
  <si>
    <t>Fadli Hakim</t>
  </si>
  <si>
    <t>Muhamad Ali Rohidin</t>
  </si>
  <si>
    <t>Riskhon Kholikul Faizin</t>
  </si>
  <si>
    <t>Meisya Naswa Afiyah</t>
  </si>
  <si>
    <t>Aqila Maulidia Sauzan</t>
  </si>
  <si>
    <t>Angga</t>
  </si>
  <si>
    <t>Tamara Amalia</t>
  </si>
  <si>
    <t>Sulton Fadilah</t>
  </si>
  <si>
    <t>Akhmad Umar Rizki</t>
  </si>
  <si>
    <t>Syahrul Rahmat</t>
  </si>
  <si>
    <t>Delvin Bagus Setiawan</t>
  </si>
  <si>
    <t>Santika</t>
  </si>
  <si>
    <t>Ujang Sopian</t>
  </si>
  <si>
    <t>Irtakhal Aniqoh</t>
  </si>
  <si>
    <t>Khafidurrofiq</t>
  </si>
  <si>
    <t>Ilham Amarulloh</t>
  </si>
  <si>
    <t>Syifa Ayu Nabila</t>
  </si>
  <si>
    <t>Husnah</t>
  </si>
  <si>
    <t>Desi Ratnasari</t>
  </si>
  <si>
    <t>Nabila Khoerunisa</t>
  </si>
  <si>
    <t>Decky Putra Aprilliany</t>
  </si>
  <si>
    <t>Asa Niatun Nur Afifa</t>
  </si>
  <si>
    <t>Luthfian Akmaldhani Sumartono</t>
  </si>
  <si>
    <t>Wigi Hendrian M</t>
  </si>
  <si>
    <t>Teddi Maulana</t>
  </si>
  <si>
    <t>Pande Made Vikky Gunadarma</t>
  </si>
  <si>
    <t>Tian Luki Prasetia</t>
  </si>
  <si>
    <t>Sri Hayati</t>
  </si>
  <si>
    <t>Satria Mukhlis</t>
  </si>
  <si>
    <t>Nurul Khasanah</t>
  </si>
  <si>
    <t>Tedi Priyatno</t>
  </si>
  <si>
    <t>Wafir Faiz</t>
  </si>
  <si>
    <t>Moh Farhanudin</t>
  </si>
  <si>
    <t>Irna Rosita</t>
  </si>
  <si>
    <t>Dian Ayu Khoirunnisa</t>
  </si>
  <si>
    <t>Indah Nurul Aeni</t>
  </si>
  <si>
    <t>Ismaul Khusna Aenur</t>
  </si>
  <si>
    <t>Revi Tri Yuliana</t>
  </si>
  <si>
    <t>Sundari Muarifah</t>
  </si>
  <si>
    <t>Salma Karima Pranata</t>
  </si>
  <si>
    <t>Achmad Muchkroni</t>
  </si>
  <si>
    <t>Ali Sodikin</t>
  </si>
  <si>
    <t>Abdul Imam Maolana</t>
  </si>
  <si>
    <t>Revina Mariska</t>
  </si>
  <si>
    <t>Dinnia Nurjanah</t>
  </si>
  <si>
    <t>Nara Juniar Arbaniah</t>
  </si>
  <si>
    <t>Mayang Silviana Putri</t>
  </si>
  <si>
    <t>Shella Sulistyani</t>
  </si>
  <si>
    <t>Sinta Indriana</t>
  </si>
  <si>
    <t>Leo Elang Oktafecristo</t>
  </si>
  <si>
    <t>Ahmad Fariz Maulana</t>
  </si>
  <si>
    <t>Yunisa Ayu Meliyana</t>
  </si>
  <si>
    <t>Nisa Latifatul Hana</t>
  </si>
  <si>
    <t>Mohammad Fahmi Rizqi</t>
  </si>
  <si>
    <t>Sihabudin Mafi</t>
  </si>
  <si>
    <t>Ferdy Alfianur</t>
  </si>
  <si>
    <t>Neli Puji Astuti</t>
  </si>
  <si>
    <t>Dessi Rahayu</t>
  </si>
  <si>
    <t>Nopariyah</t>
  </si>
  <si>
    <t>M Hanif Maulana Pasya</t>
  </si>
  <si>
    <t>Diva Tri Herianto</t>
  </si>
  <si>
    <t>Dwi Arfiansyah</t>
  </si>
  <si>
    <t>Saskia Aprilia Adisti</t>
  </si>
  <si>
    <t>Erna Wati</t>
  </si>
  <si>
    <t>Nadya Nur Afifah</t>
  </si>
  <si>
    <t>Wasilatul Inayah</t>
  </si>
  <si>
    <t>Muhammad Aditya</t>
  </si>
  <si>
    <t>Reza Pangestu</t>
  </si>
  <si>
    <t>Urip Fatahilah</t>
  </si>
  <si>
    <t>Joko Satria Wibowo</t>
  </si>
  <si>
    <t>Hilal Mubarok</t>
  </si>
  <si>
    <t>Didit Alnur</t>
  </si>
  <si>
    <t>Nur Sapitriyani</t>
  </si>
  <si>
    <t>Aat Sukma Wijaya</t>
  </si>
  <si>
    <t>Siti Nurhabibah</t>
  </si>
  <si>
    <t>Yanto</t>
  </si>
  <si>
    <t>Akhmad Jazuli</t>
  </si>
  <si>
    <t>Nining Fauziyah</t>
  </si>
  <si>
    <t>Anisatun Rochmah</t>
  </si>
  <si>
    <t>Tati Puspita Sari</t>
  </si>
  <si>
    <t>Syifa Hayatun Nufus</t>
  </si>
  <si>
    <t>Yunus Prasetyo</t>
  </si>
  <si>
    <t>E Cecep Ian Firmansyah</t>
  </si>
  <si>
    <t>Indah Mutiara Nur Aeni</t>
  </si>
  <si>
    <t>Tri Windari</t>
  </si>
  <si>
    <t>Malik Mustofa</t>
  </si>
  <si>
    <t>M Arif Fahturohman</t>
  </si>
  <si>
    <t>Winda Lestari</t>
  </si>
  <si>
    <t>Suherni</t>
  </si>
  <si>
    <t>Wulandari Kristianingsih</t>
  </si>
  <si>
    <t>Rahmat Maulana Sukri</t>
  </si>
  <si>
    <t>Ya Shifa Rumaisha</t>
  </si>
  <si>
    <t>Esa Tiara</t>
  </si>
  <si>
    <t>Asri Wulandari</t>
  </si>
  <si>
    <t>Adang Suparman</t>
  </si>
  <si>
    <t>Sarinih</t>
  </si>
  <si>
    <t>Aziematunikmah</t>
  </si>
  <si>
    <t>Akhmad Bakhtiar</t>
  </si>
  <si>
    <t>Nur Azizah</t>
  </si>
  <si>
    <t>Ikrima Adillah Denia</t>
  </si>
  <si>
    <t>Yolanda Ayu Ningtias</t>
  </si>
  <si>
    <t>Rudi Hartono</t>
  </si>
  <si>
    <t>Dinal Mustaqim</t>
  </si>
  <si>
    <t>Akhmad Akhul Misjan</t>
  </si>
  <si>
    <t>Latif Andriansyah</t>
  </si>
  <si>
    <t>Kiki Mufaizin</t>
  </si>
  <si>
    <t>Putry Lia Oktaviani</t>
  </si>
  <si>
    <t>Moch Dava Rifai</t>
  </si>
  <si>
    <t>Rifki Amalia Desta Karimatun</t>
  </si>
  <si>
    <t>M. Aulia Ardi</t>
  </si>
  <si>
    <t>Marisa Estiana</t>
  </si>
  <si>
    <t>Ani Rosidah</t>
  </si>
  <si>
    <t>Ossy Octaviola Setiawan</t>
  </si>
  <si>
    <t>Sherla Sallusi</t>
  </si>
  <si>
    <t>Devi Rahmawati</t>
  </si>
  <si>
    <t>Mutiara Rahma Fadilah</t>
  </si>
  <si>
    <t>Rio Adi Saputra</t>
  </si>
  <si>
    <t>Muhammad Arya Saputra</t>
  </si>
  <si>
    <t>Siti Aisyah</t>
  </si>
  <si>
    <t>Sopiatun</t>
  </si>
  <si>
    <t>Amelia</t>
  </si>
  <si>
    <t>Murni Sarojah</t>
  </si>
  <si>
    <t>Wiwin Indriyani</t>
  </si>
  <si>
    <t>Khafit Khaerul Fatikhin</t>
  </si>
  <si>
    <t>M Khoerul Amin</t>
  </si>
  <si>
    <t>Ahmad Ighnail Marzuk</t>
  </si>
  <si>
    <t>Dwi Febri Valentin</t>
  </si>
  <si>
    <t>Dewi Tri Asih</t>
  </si>
  <si>
    <t>Eka Handayono</t>
  </si>
  <si>
    <t>Dasep Adi Hardiyansah</t>
  </si>
  <si>
    <t>Zaenun Najib</t>
  </si>
  <si>
    <t>Eka Rahmat Riyanto</t>
  </si>
  <si>
    <t>Novita</t>
  </si>
  <si>
    <t>Delan Nurmala</t>
  </si>
  <si>
    <t>Anastasya Astri Muzalfah</t>
  </si>
  <si>
    <t>Agus Priyadi</t>
  </si>
  <si>
    <t xml:space="preserve">HR, Finance, IT, Production, Warehouse, Marketing, QC , Purchasing, Engineering </t>
  </si>
  <si>
    <t>aamwarnisah@email.com</t>
  </si>
  <si>
    <t>aatsukmawijaya@email.com</t>
  </si>
  <si>
    <t>abdulahikhsanudin@email.com</t>
  </si>
  <si>
    <t>abdulaziz@email.com</t>
  </si>
  <si>
    <t>abdulfatahillah@email.com</t>
  </si>
  <si>
    <t>abdulfattahazzam@email.com</t>
  </si>
  <si>
    <t>abdulghofur@email.com</t>
  </si>
  <si>
    <t>abdulimammaolana@email.com</t>
  </si>
  <si>
    <t>abdulrozak@email.com</t>
  </si>
  <si>
    <t>abdulwahab@email.com</t>
  </si>
  <si>
    <t>abuhasan@email.com</t>
  </si>
  <si>
    <t>achmadmuchkroni@email.com</t>
  </si>
  <si>
    <t>achmadwijayakusuma@email.com</t>
  </si>
  <si>
    <t>adangsuparman@email.com</t>
  </si>
  <si>
    <t>adebagassaputra@email.com</t>
  </si>
  <si>
    <t>adeirfan@email.com</t>
  </si>
  <si>
    <t>adenurulkhofifah@email.com</t>
  </si>
  <si>
    <t>adesantiismawati@email.com</t>
  </si>
  <si>
    <t>adhiyadzikraafrinda@email.com</t>
  </si>
  <si>
    <t>adikamelani@email.com</t>
  </si>
  <si>
    <t>adindaayuramadhani@email.com</t>
  </si>
  <si>
    <t>adindakunizakiyah@email.com</t>
  </si>
  <si>
    <t>adiranoviyaardani@email.com</t>
  </si>
  <si>
    <t>adiratno@email.com</t>
  </si>
  <si>
    <t>adisepriono@email.com</t>
  </si>
  <si>
    <t>adityaekasaputra@email.com</t>
  </si>
  <si>
    <t>adityanugraha@email.com</t>
  </si>
  <si>
    <t>adityaprasetyo@email.com</t>
  </si>
  <si>
    <t>adityarohmatika@email.com</t>
  </si>
  <si>
    <t>affanbagasarokhman@email.com</t>
  </si>
  <si>
    <t>afidah@email.com</t>
  </si>
  <si>
    <t>afiffiqrialfaqih@email.com</t>
  </si>
  <si>
    <t>aghniamaghfiroh@email.com</t>
  </si>
  <si>
    <t>aguslukiana@email.com</t>
  </si>
  <si>
    <t>aguspriyadi@email.com</t>
  </si>
  <si>
    <t>agussopian@email.com</t>
  </si>
  <si>
    <t>ahmadfarizmaulana@email.com</t>
  </si>
  <si>
    <t>ahmadighnailmarzuk@email.com</t>
  </si>
  <si>
    <t>ahmadnurfauzi@email.com</t>
  </si>
  <si>
    <t>ahmadrafirifkyansyah@email.com</t>
  </si>
  <si>
    <t>ahmadriziqmaulana@email.com</t>
  </si>
  <si>
    <t>ahmadsafrudin@email.com</t>
  </si>
  <si>
    <t>ahmadtrustianto@email.com</t>
  </si>
  <si>
    <t>ahmadwaluyo@email.com</t>
  </si>
  <si>
    <t>ahmalardianto@email.com</t>
  </si>
  <si>
    <t>aisyahummulatifah@email.com</t>
  </si>
  <si>
    <t>ajengwulanamelia@email.com</t>
  </si>
  <si>
    <t>ajimaulanarizqi@email.com</t>
  </si>
  <si>
    <t>ajipangestu@email.com</t>
  </si>
  <si>
    <t>ajisanjaya@email.com</t>
  </si>
  <si>
    <t>akhmadakhulmisjan@email.com</t>
  </si>
  <si>
    <t>akhmadannurfachri@email.com</t>
  </si>
  <si>
    <t>akhmadbakhtiar@email.com</t>
  </si>
  <si>
    <t>akhmadbayuerlangga@email.com</t>
  </si>
  <si>
    <t>akhmadfaozisaputra@email.com</t>
  </si>
  <si>
    <t>akhmadhamzah@email.com</t>
  </si>
  <si>
    <t>akhmadjazuli@email.com</t>
  </si>
  <si>
    <t>akhmadumarrizki@email.com</t>
  </si>
  <si>
    <t>akhoirurroziqin@email.com</t>
  </si>
  <si>
    <t>alayshawaliyah@email.com</t>
  </si>
  <si>
    <t>aldamonika@email.com</t>
  </si>
  <si>
    <t>aldasuryawijaya@email.com</t>
  </si>
  <si>
    <t>aldoekasaputra@email.com</t>
  </si>
  <si>
    <t>aldyprayoga@email.com</t>
  </si>
  <si>
    <t>alfinurfadilah@email.com</t>
  </si>
  <si>
    <t>alisodikin@email.com</t>
  </si>
  <si>
    <t>aliyahnurfaizah@email.com</t>
  </si>
  <si>
    <t>alviwulandari@email.com</t>
  </si>
  <si>
    <t>amalianovitasari@email.com</t>
  </si>
  <si>
    <t>amelia@email.com</t>
  </si>
  <si>
    <t>ameliyah@email.com</t>
  </si>
  <si>
    <t>amellia@email.com</t>
  </si>
  <si>
    <t>amelliaputri@email.com</t>
  </si>
  <si>
    <t>aminahjuliyana@email.com</t>
  </si>
  <si>
    <t>anahmariyahrosalia@email.com</t>
  </si>
  <si>
    <t>anandaanispratama@email.com</t>
  </si>
  <si>
    <t>anandameisaputri@email.com</t>
  </si>
  <si>
    <t>anandaputranugraha@email.com</t>
  </si>
  <si>
    <t>anandariyadi@email.com</t>
  </si>
  <si>
    <t>ananditazahratalita@email.com</t>
  </si>
  <si>
    <t>anastasyaastrimuzalfah@email.com</t>
  </si>
  <si>
    <t>andienramadhani@email.com</t>
  </si>
  <si>
    <t>andimulyajaya@email.com</t>
  </si>
  <si>
    <t>andinaferdinand@email.com</t>
  </si>
  <si>
    <t>andinikhoirunnisa@email.com</t>
  </si>
  <si>
    <t>andisumitro@email.com</t>
  </si>
  <si>
    <t>andisyaefulloh@email.com</t>
  </si>
  <si>
    <t>andiyoessianto@email.com</t>
  </si>
  <si>
    <t>andrisatio@email.com</t>
  </si>
  <si>
    <t>andrisetiawan@email.com</t>
  </si>
  <si>
    <t>angga@email.com</t>
  </si>
  <si>
    <t>anggienurcahyani@email.com</t>
  </si>
  <si>
    <t>anggihsulistyono@email.com</t>
  </si>
  <si>
    <t>anggipangestu@email.com</t>
  </si>
  <si>
    <t>anikikeylagustisafitri@email.com</t>
  </si>
  <si>
    <t>anirosidah@email.com</t>
  </si>
  <si>
    <t>anisaarviyana@email.com</t>
  </si>
  <si>
    <t>anisah@email.com</t>
  </si>
  <si>
    <t>anisahnurhidayah@email.com</t>
  </si>
  <si>
    <t>anisaizaki@email.com</t>
  </si>
  <si>
    <t>anisalfiyati@email.com</t>
  </si>
  <si>
    <t>anisatunrochmah@email.com</t>
  </si>
  <si>
    <t>anisfitri@email.com</t>
  </si>
  <si>
    <t>anitaagustin@email.com</t>
  </si>
  <si>
    <t>aniwahyuni@email.com</t>
  </si>
  <si>
    <t>annisafauziahagustin@email.com</t>
  </si>
  <si>
    <t>anugrahnurfristian@email.com</t>
  </si>
  <si>
    <t>anwarfuadi@email.com</t>
  </si>
  <si>
    <t>aqilafadiahaya@email.com</t>
  </si>
  <si>
    <t>aqilamaulidiasauzan@email.com</t>
  </si>
  <si>
    <t>ardhiwahyusaputra@email.com</t>
  </si>
  <si>
    <t>arifulinnuha@email.com</t>
  </si>
  <si>
    <t>arifwakhyudin@email.com</t>
  </si>
  <si>
    <t>arimaulanayudhapratama@email.com</t>
  </si>
  <si>
    <t>arimunandar@email.com</t>
  </si>
  <si>
    <t>aripsaripudin@email.com</t>
  </si>
  <si>
    <t>ariputrautama@email.com</t>
  </si>
  <si>
    <t>arofah@email.com</t>
  </si>
  <si>
    <t>artaniaputripurniawan@email.com</t>
  </si>
  <si>
    <t>aryasanjaya@email.com</t>
  </si>
  <si>
    <t>asaniatunnurafifa@email.com</t>
  </si>
  <si>
    <t>asepmaulana@email.com</t>
  </si>
  <si>
    <t>asepusman@email.com</t>
  </si>
  <si>
    <t>asharsabiila@email.com</t>
  </si>
  <si>
    <t>ashlihabidah@email.com</t>
  </si>
  <si>
    <t>asriwulandari@email.com</t>
  </si>
  <si>
    <t>atikaputridhiniarie@email.com</t>
  </si>
  <si>
    <t>auliakhusnacahyaningtyas@email.com</t>
  </si>
  <si>
    <t>auliaputrinuraini@email.com</t>
  </si>
  <si>
    <t>auliatuzahroh@email.com</t>
  </si>
  <si>
    <t>auliazahraramadhani@email.com</t>
  </si>
  <si>
    <t>aulitalasyaanggreani@email.com</t>
  </si>
  <si>
    <t>avielvazhelviany@email.com</t>
  </si>
  <si>
    <t>avmiraramelani@email.com</t>
  </si>
  <si>
    <t>awanggadidaputranto@email.com</t>
  </si>
  <si>
    <t>ayufaliyani@email.com</t>
  </si>
  <si>
    <t>ayunidiniguniawati@email.com</t>
  </si>
  <si>
    <t>ayupratmawati@email.com</t>
  </si>
  <si>
    <t>ayuzaskiyatulazizah@email.com</t>
  </si>
  <si>
    <t>ayyesadyahpusparini@email.com</t>
  </si>
  <si>
    <t>azazalfarizqi@email.com</t>
  </si>
  <si>
    <t>aziematunikmah@email.com</t>
  </si>
  <si>
    <t>azzahramulyaningtyas@email.com</t>
  </si>
  <si>
    <t>baetynurjanah@email.com</t>
  </si>
  <si>
    <t>baguswiranto@email.com</t>
  </si>
  <si>
    <t>bambangdidimulyono@email.com</t>
  </si>
  <si>
    <t>banighesitprasetya@email.com</t>
  </si>
  <si>
    <t>bayubahrudin@email.com</t>
  </si>
  <si>
    <t>bayuemansetiawan@email.com</t>
  </si>
  <si>
    <t>beni@email.com</t>
  </si>
  <si>
    <t>benimurgitapratama@email.com</t>
  </si>
  <si>
    <t>bilaldwipangestu@email.com</t>
  </si>
  <si>
    <t>bintangramadhani@email.com</t>
  </si>
  <si>
    <t>budipriyono@email.com</t>
  </si>
  <si>
    <t>bujanamaulanapangestu@email.com</t>
  </si>
  <si>
    <t>cahhayuagustin@email.com</t>
  </si>
  <si>
    <t>cahyanoffitri@email.com</t>
  </si>
  <si>
    <t>cantikaindah@email.com</t>
  </si>
  <si>
    <t>carolineagustina@email.com</t>
  </si>
  <si>
    <t>caturdiftakahantoro@email.com</t>
  </si>
  <si>
    <t>cindyapriliyana@email.com</t>
  </si>
  <si>
    <t>cindyaulia@email.com</t>
  </si>
  <si>
    <t>cindykhristia@email.com</t>
  </si>
  <si>
    <t>cintiyameilina@email.com</t>
  </si>
  <si>
    <t>citraayusaputri@email.com</t>
  </si>
  <si>
    <t>citraayutifani@email.com</t>
  </si>
  <si>
    <t>cucusahari@email.com</t>
  </si>
  <si>
    <t>dafidsilva@email.com</t>
  </si>
  <si>
    <t>dalpanakia@email.com</t>
  </si>
  <si>
    <t>dandipujiyono@email.com</t>
  </si>
  <si>
    <t>daryono@email.com</t>
  </si>
  <si>
    <t>dasepadihardiyansah@email.com</t>
  </si>
  <si>
    <t>daviderlangga@email.com</t>
  </si>
  <si>
    <t>davithendriansyah@email.com</t>
  </si>
  <si>
    <t>deakartikasari@email.com</t>
  </si>
  <si>
    <t>deaputriamelia@email.com</t>
  </si>
  <si>
    <t>dearahmadani@email.com</t>
  </si>
  <si>
    <t>deayulia@email.com</t>
  </si>
  <si>
    <t>deckyputraaprilliany@email.com</t>
  </si>
  <si>
    <t>dedeandriani@email.com</t>
  </si>
  <si>
    <t>dedeicaseftiani@email.com</t>
  </si>
  <si>
    <t>dedemulyaningsih@email.com</t>
  </si>
  <si>
    <t>dedijaya@email.com</t>
  </si>
  <si>
    <t>defirestuanandari@email.com</t>
  </si>
  <si>
    <t>delannurmala@email.com</t>
  </si>
  <si>
    <t>delvinbagussetiawan@email.com</t>
  </si>
  <si>
    <t>denitatrihapsari@email.com</t>
  </si>
  <si>
    <t>deptirosintawati@email.com</t>
  </si>
  <si>
    <t>desilistiani@email.com</t>
  </si>
  <si>
    <t>desiratnasari@email.com</t>
  </si>
  <si>
    <t>dessirahayu@email.com</t>
  </si>
  <si>
    <t>destirusdiyanti@email.com</t>
  </si>
  <si>
    <t>devasilvana@email.com</t>
  </si>
  <si>
    <t>deviastiandika@email.com</t>
  </si>
  <si>
    <t>devinovitasari@email.com</t>
  </si>
  <si>
    <t>devirahmawati@email.com</t>
  </si>
  <si>
    <t>devitanuraeni@email.com</t>
  </si>
  <si>
    <t>dewintaumami@email.com</t>
  </si>
  <si>
    <t>dewiqomariyah@email.com</t>
  </si>
  <si>
    <t>dewisahara@email.com</t>
  </si>
  <si>
    <t>dewisriyulikartini@email.com</t>
  </si>
  <si>
    <t>dewitriasih@email.com</t>
  </si>
  <si>
    <t>dhikanandaalfiqri@email.com</t>
  </si>
  <si>
    <t>diahsafitri@email.com</t>
  </si>
  <si>
    <t>dianapertiwi@email.com</t>
  </si>
  <si>
    <t>dianayukhoirunnisa@email.com</t>
  </si>
  <si>
    <t>dianayurizqianah@email.com</t>
  </si>
  <si>
    <t>diandrabayuaji@email.com</t>
  </si>
  <si>
    <t>dianelgaprastika@email.com</t>
  </si>
  <si>
    <t>diannurardilla@email.com</t>
  </si>
  <si>
    <t>dianprastiana@email.com</t>
  </si>
  <si>
    <t>dickywijaya@email.com</t>
  </si>
  <si>
    <t>didiagussetiawan@email.com</t>
  </si>
  <si>
    <t>diditalnur@email.com</t>
  </si>
  <si>
    <t>diinah@email.com</t>
  </si>
  <si>
    <t>dikaaditiyani@email.com</t>
  </si>
  <si>
    <t>dimasadityab.r@email.com</t>
  </si>
  <si>
    <t>dimaskhoerulimam@email.com</t>
  </si>
  <si>
    <t>dimasputrananda@email.com</t>
  </si>
  <si>
    <t>dinaapriliani@email.com</t>
  </si>
  <si>
    <t>dinalmustaqim@email.com</t>
  </si>
  <si>
    <t>dinarizkiamelia@email.com</t>
  </si>
  <si>
    <t>dinarizqiani@email.com</t>
  </si>
  <si>
    <t>dindakristinaoktavia@email.com</t>
  </si>
  <si>
    <t>dindapermatamariza@email.com</t>
  </si>
  <si>
    <t>dininuranjani@email.com</t>
  </si>
  <si>
    <t>dinnianurjanah@email.com</t>
  </si>
  <si>
    <t>dionurois@email.com</t>
  </si>
  <si>
    <t>ditoalifsyah@email.com</t>
  </si>
  <si>
    <t>divaainiyyahfebriyansyah@email.com</t>
  </si>
  <si>
    <t>divapujayanti@email.com</t>
  </si>
  <si>
    <t>divatriherianto@email.com</t>
  </si>
  <si>
    <t>diyahrhodhotulavivah@email.com</t>
  </si>
  <si>
    <t>diyamahdiya@email.com</t>
  </si>
  <si>
    <t>diyanaastuti@email.com</t>
  </si>
  <si>
    <t>donisetiawan@email.com</t>
  </si>
  <si>
    <t>dwiarfiansyah@email.com</t>
  </si>
  <si>
    <t>dwiarummuyita@email.com</t>
  </si>
  <si>
    <t>dwifebrivalentin@email.com</t>
  </si>
  <si>
    <t>dwiferisusanto@email.com</t>
  </si>
  <si>
    <t>dwimartiastuti@email.com</t>
  </si>
  <si>
    <t>dwiprasetyani@email.com</t>
  </si>
  <si>
    <t>dzakitaufiqulhakim@email.com</t>
  </si>
  <si>
    <t>ececepianfirmansyah@email.com</t>
  </si>
  <si>
    <t>egiardhanariswati@email.com</t>
  </si>
  <si>
    <t>egiretnofaluqi@email.com</t>
  </si>
  <si>
    <t>ekadwipurwanti@email.com</t>
  </si>
  <si>
    <t>ekafitriyani@email.com</t>
  </si>
  <si>
    <t>ekahandayono@email.com</t>
  </si>
  <si>
    <t>ekanurmalasari@email.com</t>
  </si>
  <si>
    <t>ekarahmatriyanto@email.com</t>
  </si>
  <si>
    <t>ekasaputraramadhan@email.com</t>
  </si>
  <si>
    <t>ekawidiaastuti@email.com</t>
  </si>
  <si>
    <t>elawinarsih@email.com</t>
  </si>
  <si>
    <t>elenamelia@email.com</t>
  </si>
  <si>
    <t>eliyah@email.com</t>
  </si>
  <si>
    <t>elsa@email.com</t>
  </si>
  <si>
    <t>elvaamaliaputri@email.com</t>
  </si>
  <si>
    <t>elzarahastri@email.com</t>
  </si>
  <si>
    <t>endenmuhamadhilman@email.com</t>
  </si>
  <si>
    <t>erinadwiyunisetyaningrum@email.com</t>
  </si>
  <si>
    <t>erlanggaprimansyah@email.com</t>
  </si>
  <si>
    <t>ernawati@email.com</t>
  </si>
  <si>
    <t>erniati@email.com</t>
  </si>
  <si>
    <t>ernimardian@email.com</t>
  </si>
  <si>
    <t>ernisuherni@email.com</t>
  </si>
  <si>
    <t>erniwulandari@email.com</t>
  </si>
  <si>
    <t>esatiara@email.com</t>
  </si>
  <si>
    <t>euisseptianingrum@email.com</t>
  </si>
  <si>
    <t>evaindriyani@email.com</t>
  </si>
  <si>
    <t>evilatifah@email.com</t>
  </si>
  <si>
    <t>evynuraprilia@email.com</t>
  </si>
  <si>
    <t>fadianuramalia@email.com</t>
  </si>
  <si>
    <t>fadlihakim@email.com</t>
  </si>
  <si>
    <t>fadlynurcholik@email.com</t>
  </si>
  <si>
    <t>faidatunnufus@email.com</t>
  </si>
  <si>
    <t>faisolkomarizamwn@email.com</t>
  </si>
  <si>
    <t>faizatulhidayah@email.com</t>
  </si>
  <si>
    <t>fajarbayuajidd@email.com</t>
  </si>
  <si>
    <t>fajarbpratama@email.com</t>
  </si>
  <si>
    <t>fandiakhmad@email.com</t>
  </si>
  <si>
    <t>faradilahendrayunita@email.com</t>
  </si>
  <si>
    <t>farizmaulana@email.com</t>
  </si>
  <si>
    <t>fasikha@email.com</t>
  </si>
  <si>
    <t>fasikhatun@email.com</t>
  </si>
  <si>
    <t>fatmanurlaela@email.com</t>
  </si>
  <si>
    <t>feliyulianti@email.com</t>
  </si>
  <si>
    <t>fenikhoerunisa@email.com</t>
  </si>
  <si>
    <t>feniwardatussolikha@email.com</t>
  </si>
  <si>
    <t>ferdigustavano@email.com</t>
  </si>
  <si>
    <t>ferdyalfianur@email.com</t>
  </si>
  <si>
    <t>ferigunawan@email.com</t>
  </si>
  <si>
    <t>ferririyanto@email.com</t>
  </si>
  <si>
    <t>fikaamala@email.com</t>
  </si>
  <si>
    <t>fikasucisanawaliyah@email.com</t>
  </si>
  <si>
    <t>fitrantoadinugroho@email.com</t>
  </si>
  <si>
    <t>fitrinurjanah@email.com</t>
  </si>
  <si>
    <t>fitriyani@email.com</t>
  </si>
  <si>
    <t>fitriyawijayanti@email.com</t>
  </si>
  <si>
    <t>fransiscalidyaningrum@email.com</t>
  </si>
  <si>
    <t>friskaadhela@email.com</t>
  </si>
  <si>
    <t>friskadwinova@email.com</t>
  </si>
  <si>
    <t>fustaatulsyaharah@email.com</t>
  </si>
  <si>
    <t>galangdimasaditya@email.com</t>
  </si>
  <si>
    <t>galuhfitriningrum@email.com</t>
  </si>
  <si>
    <t>gandhissekartaji@email.com</t>
  </si>
  <si>
    <t>gayuhrakasiwi@email.com</t>
  </si>
  <si>
    <t>ginarosdiana@email.com</t>
  </si>
  <si>
    <t>gitaanjani@email.com</t>
  </si>
  <si>
    <t>gofarismail@email.com</t>
  </si>
  <si>
    <t>gugungunawan@email.com</t>
  </si>
  <si>
    <t>gunturekayusuf@email.com</t>
  </si>
  <si>
    <t>gushafit@email.com</t>
  </si>
  <si>
    <t>hadisetiadi@email.com</t>
  </si>
  <si>
    <t>hakiki@email.com</t>
  </si>
  <si>
    <t>hanaapriana@email.com</t>
  </si>
  <si>
    <t>hanikaamanda@email.com</t>
  </si>
  <si>
    <t>hasmiaripinayung@email.com</t>
  </si>
  <si>
    <t>hasriyah@email.com</t>
  </si>
  <si>
    <t>hekelbadrusalam@email.com</t>
  </si>
  <si>
    <t>helizaamelia@email.com</t>
  </si>
  <si>
    <t>helpryandriyan@email.com</t>
  </si>
  <si>
    <t>hendranurpriharto@email.com</t>
  </si>
  <si>
    <t>hendrisetiawan@email.com</t>
  </si>
  <si>
    <t>herman@email.com</t>
  </si>
  <si>
    <t>hermawati@email.com</t>
  </si>
  <si>
    <t>hikmatulmaula@email.com</t>
  </si>
  <si>
    <t>hilalmubarok@email.com</t>
  </si>
  <si>
    <t>hildanovaaprilia@email.com</t>
  </si>
  <si>
    <t>husnah@email.com</t>
  </si>
  <si>
    <t>ibnujurjani@email.com</t>
  </si>
  <si>
    <t>ibnumimbarmaulana@email.com</t>
  </si>
  <si>
    <t>ichsanfaturachman@email.com</t>
  </si>
  <si>
    <t>idansultanvalentina@email.com</t>
  </si>
  <si>
    <t>idrisnurfauzi@email.com</t>
  </si>
  <si>
    <t>iffanakholisoh@email.com</t>
  </si>
  <si>
    <t>iintanisah@email.com</t>
  </si>
  <si>
    <t>iisistikomah@email.com</t>
  </si>
  <si>
    <t>ikanurjanah@email.com</t>
  </si>
  <si>
    <t>ikarisyifakhaerunissa@email.com</t>
  </si>
  <si>
    <t>ikhdamasruroh@email.com</t>
  </si>
  <si>
    <t>ikhfaghouzalygymnastiar@email.com</t>
  </si>
  <si>
    <t>ikhlasulamal@email.com</t>
  </si>
  <si>
    <t>ikhtiyar@email.com</t>
  </si>
  <si>
    <t>ikrimaadillahdenia@email.com</t>
  </si>
  <si>
    <t>ilhamamarulloh@email.com</t>
  </si>
  <si>
    <t>ilmannafiuddin@email.com</t>
  </si>
  <si>
    <t>imamwidiyanto@email.com</t>
  </si>
  <si>
    <t>imelia@email.com</t>
  </si>
  <si>
    <t>imtiyazulilmi@email.com</t>
  </si>
  <si>
    <t>inarotulkoni@email.com</t>
  </si>
  <si>
    <t>indahastrianingsih@email.com</t>
  </si>
  <si>
    <t>indahlestari@email.com</t>
  </si>
  <si>
    <t>indahmutiaranuraeni@email.com</t>
  </si>
  <si>
    <t>indahnurulaeni@email.com</t>
  </si>
  <si>
    <t>indahtawakalni@email.com</t>
  </si>
  <si>
    <t>indahyulihidayati@email.com</t>
  </si>
  <si>
    <t>indravalendra@email.com</t>
  </si>
  <si>
    <t>indrilestari@email.com</t>
  </si>
  <si>
    <t>indriyanirahayu@email.com</t>
  </si>
  <si>
    <t>inezanastasyaagustin@email.com</t>
  </si>
  <si>
    <t>intanmeilani@email.com</t>
  </si>
  <si>
    <t>iqmahfaiqoh@email.com</t>
  </si>
  <si>
    <t>irfanhibatullah@email.com</t>
  </si>
  <si>
    <t>irfanjunaedi@email.com</t>
  </si>
  <si>
    <t>irfanmaulana@email.com</t>
  </si>
  <si>
    <t>irmaelfiana@email.com</t>
  </si>
  <si>
    <t>irnarosita@email.com</t>
  </si>
  <si>
    <t>irnawati@email.com</t>
  </si>
  <si>
    <t>irtakhalaniqoh@email.com</t>
  </si>
  <si>
    <t>irzaprassetiyo@email.com</t>
  </si>
  <si>
    <t>ishaqramadani@email.com</t>
  </si>
  <si>
    <t>ismaulkhusnaaenur@email.com</t>
  </si>
  <si>
    <t>ismiatunmaghfiroh@email.com</t>
  </si>
  <si>
    <t>isnarijalmukti@email.com</t>
  </si>
  <si>
    <t>isninirniaanalia@email.com</t>
  </si>
  <si>
    <t>istifarulhawa@email.com</t>
  </si>
  <si>
    <t>istikomahmariana@email.com</t>
  </si>
  <si>
    <t>ivanendriharyanto@email.com</t>
  </si>
  <si>
    <t>izatulkhayati@email.com</t>
  </si>
  <si>
    <t>izzafredataendarto@email.com</t>
  </si>
  <si>
    <t>jamesmartin@email.com</t>
  </si>
  <si>
    <t>jihanmaulina@email.com</t>
  </si>
  <si>
    <t>jokosatriawibowo@email.com</t>
  </si>
  <si>
    <t>jonipurba@email.com</t>
  </si>
  <si>
    <t>junaedi@email.com</t>
  </si>
  <si>
    <t>junaidi@email.com</t>
  </si>
  <si>
    <t>juweriyahanggreksuryani@email.com</t>
  </si>
  <si>
    <t>juwitaamelia@email.com</t>
  </si>
  <si>
    <t>juwitaatikaputri@email.com</t>
  </si>
  <si>
    <t>juwitadwilestari@email.com</t>
  </si>
  <si>
    <t>kadindanuragustin@email.com</t>
  </si>
  <si>
    <t>karismapermataputri@email.com</t>
  </si>
  <si>
    <t>kartikakomalasari@email.com</t>
  </si>
  <si>
    <t>kemalaridaghani@email.com</t>
  </si>
  <si>
    <t>kenajengpuspitasari@email.com</t>
  </si>
  <si>
    <t>khaerulivando@email.com</t>
  </si>
  <si>
    <t>khafidurrofiq@email.com</t>
  </si>
  <si>
    <t>khafitkhaerulfatikhin@email.com</t>
  </si>
  <si>
    <t>khaldadwifauziyah@email.com</t>
  </si>
  <si>
    <t>khalimatulsadiyah@email.com</t>
  </si>
  <si>
    <t>khaninalestary@email.com</t>
  </si>
  <si>
    <t>khayrunishasalsabila@email.com</t>
  </si>
  <si>
    <t>khoerilhusyainalhanif@email.com</t>
  </si>
  <si>
    <t>khoerulanwar@email.com</t>
  </si>
  <si>
    <t>khofiatussyukurpratama@email.com</t>
  </si>
  <si>
    <t>khofifatulmaula@email.com</t>
  </si>
  <si>
    <t>khoiriya@email.com</t>
  </si>
  <si>
    <t>khoirulhusna@email.com</t>
  </si>
  <si>
    <t>kholifatunkhasanah@email.com</t>
  </si>
  <si>
    <t>khusnulkhotimah@email.com</t>
  </si>
  <si>
    <t>khuswatunkhasanah@email.com</t>
  </si>
  <si>
    <t>kifaniarifiah@email.com</t>
  </si>
  <si>
    <t>kikiamelia@email.com</t>
  </si>
  <si>
    <t>kikikurnia@email.com</t>
  </si>
  <si>
    <t>kikimufaizin@email.com</t>
  </si>
  <si>
    <t>koisah@email.com</t>
  </si>
  <si>
    <t>koriah@email.com</t>
  </si>
  <si>
    <t>krisnajunipamungkas@email.com</t>
  </si>
  <si>
    <t>labibahuswatunkhasanah@email.com</t>
  </si>
  <si>
    <t>laelatulazizah@email.com</t>
  </si>
  <si>
    <t>laelatunnafiah@email.com</t>
  </si>
  <si>
    <t>lailatunnadipah@email.com</t>
  </si>
  <si>
    <t>lasmariasihombing@email.com</t>
  </si>
  <si>
    <t>latifainurrokhmah@email.com</t>
  </si>
  <si>
    <t>latifandriansyah@email.com</t>
  </si>
  <si>
    <t>latifatunnisa@email.com</t>
  </si>
  <si>
    <t>leanaulia@email.com</t>
  </si>
  <si>
    <t>lela@email.com</t>
  </si>
  <si>
    <t>leni@email.com</t>
  </si>
  <si>
    <t>lenisepiyani@email.com</t>
  </si>
  <si>
    <t>lenisuciati@email.com</t>
  </si>
  <si>
    <t>leoelangoktafecristo@email.com</t>
  </si>
  <si>
    <t>lia@email.com</t>
  </si>
  <si>
    <t>liairsalina@email.com</t>
  </si>
  <si>
    <t>liamulyati@email.com</t>
  </si>
  <si>
    <t>liapurwati@email.com</t>
  </si>
  <si>
    <t>lilislisnawati@email.com</t>
  </si>
  <si>
    <t>lilisriyanti@email.com</t>
  </si>
  <si>
    <t>lilisutami@email.com</t>
  </si>
  <si>
    <t>linawidiyasari@email.com</t>
  </si>
  <si>
    <t>lindadwipertiwi@email.com</t>
  </si>
  <si>
    <t>lintangadewinasih@email.com</t>
  </si>
  <si>
    <t>lisnawati@email.com</t>
  </si>
  <si>
    <t>liyalestari@email.com</t>
  </si>
  <si>
    <t>liyantiwidiastuti@email.com</t>
  </si>
  <si>
    <t>luluksholihatin@email.com</t>
  </si>
  <si>
    <t>lulunurafiyah@email.com</t>
  </si>
  <si>
    <t>lulusyarifatululum@email.com</t>
  </si>
  <si>
    <t>lutfatullatifah@email.com</t>
  </si>
  <si>
    <t>lutfiafitriyani@email.com</t>
  </si>
  <si>
    <t>lutfiardiansyah@email.com</t>
  </si>
  <si>
    <t>luthfianakmaldhanisumartono@email.com</t>
  </si>
  <si>
    <t>lyonsyahila@email.com</t>
  </si>
  <si>
    <t>m.auliaardi@email.com</t>
  </si>
  <si>
    <t>madityamuminansori@email.com</t>
  </si>
  <si>
    <t>malikmustofa@email.com</t>
  </si>
  <si>
    <t>mariffahturohman@email.com</t>
  </si>
  <si>
    <t>marisaestiana@email.com</t>
  </si>
  <si>
    <t>marizkatracyana@email.com</t>
  </si>
  <si>
    <t>marsadwiwidodo@email.com</t>
  </si>
  <si>
    <t>marshadahidayah@email.com</t>
  </si>
  <si>
    <t>martinferi@email.com</t>
  </si>
  <si>
    <t>masayu@email.com</t>
  </si>
  <si>
    <t>masayusetyawati@email.com</t>
  </si>
  <si>
    <t>maslamahherawati@email.com</t>
  </si>
  <si>
    <t>maulani@email.com</t>
  </si>
  <si>
    <t>maulanurularifah@email.com</t>
  </si>
  <si>
    <t>mayangsilvianaputri@email.com</t>
  </si>
  <si>
    <t>megamulyawati@email.com</t>
  </si>
  <si>
    <t>megasulissetiawati@email.com</t>
  </si>
  <si>
    <t>meidiviasiyah@email.com</t>
  </si>
  <si>
    <t>meisyaajengartikasari@email.com</t>
  </si>
  <si>
    <t>meisyaanggilizayanti@email.com</t>
  </si>
  <si>
    <t>meisyanaswaafiyah@email.com</t>
  </si>
  <si>
    <t>melanfitriyani@email.com</t>
  </si>
  <si>
    <t>melatihandayani@email.com</t>
  </si>
  <si>
    <t>melikrisnawati@email.com</t>
  </si>
  <si>
    <t>melinasiska@email.com</t>
  </si>
  <si>
    <t>metyelviradwizahra@email.com</t>
  </si>
  <si>
    <t>mfatkhurohman@email.com</t>
  </si>
  <si>
    <t>mhamamalfikri@email.com</t>
  </si>
  <si>
    <t>mhanifmaulanapasya@email.com</t>
  </si>
  <si>
    <t>miahkarmelia@email.com</t>
  </si>
  <si>
    <t>misbahsyahruramadhan@email.com</t>
  </si>
  <si>
    <t>misbahulanam@email.com</t>
  </si>
  <si>
    <t>misbakhudin@email.com</t>
  </si>
  <si>
    <t>miskenuragustina@email.com</t>
  </si>
  <si>
    <t>mitaameliasalvina@email.com</t>
  </si>
  <si>
    <t>mitaastriyani@email.com</t>
  </si>
  <si>
    <t>mkhoerulamin@email.com</t>
  </si>
  <si>
    <t>mnikicahayapurnomo@email.com</t>
  </si>
  <si>
    <t>mochamaderwinrois@email.com</t>
  </si>
  <si>
    <t>mochamadridwan@email.com</t>
  </si>
  <si>
    <t>mochamadulinuha@email.com</t>
  </si>
  <si>
    <t>mochdavarifai@email.com</t>
  </si>
  <si>
    <t>mohamadadamprasetyo@email.com</t>
  </si>
  <si>
    <t>mohamadaryaalhabib@email.com</t>
  </si>
  <si>
    <t>mohamaderikmaulana@email.com</t>
  </si>
  <si>
    <t>mohamadfahiqmaulana@email.com</t>
  </si>
  <si>
    <t>mohamadfaridalamulhudi@email.com</t>
  </si>
  <si>
    <t>mohammadfahmirizqi@email.com</t>
  </si>
  <si>
    <t>mohammadirsangustiroh@email.com</t>
  </si>
  <si>
    <t>mohammadjamialfawaid@email.com</t>
  </si>
  <si>
    <t>mohammadlevijunian@email.com</t>
  </si>
  <si>
    <t>moharhamsamudro@email.com</t>
  </si>
  <si>
    <t>mohdavaranggafebrian@email.com</t>
  </si>
  <si>
    <t>mohfarhanudin@email.com</t>
  </si>
  <si>
    <t>mohsayidarief@email.com</t>
  </si>
  <si>
    <t>mpikipurnama@email.com</t>
  </si>
  <si>
    <t>mrizkimaulana@email.com</t>
  </si>
  <si>
    <t>msyamsulmaarif@email.com</t>
  </si>
  <si>
    <t>mualfifahrulfanani@email.com</t>
  </si>
  <si>
    <t>muchamadluthfi@email.com</t>
  </si>
  <si>
    <t>muhamadadiajiyanto@email.com</t>
  </si>
  <si>
    <t>muhamadainunumam@email.com</t>
  </si>
  <si>
    <t>muhamadalimronsah@email.com</t>
  </si>
  <si>
    <t>muhamadalirohidin@email.com</t>
  </si>
  <si>
    <t>muhamadamshori@email.com</t>
  </si>
  <si>
    <t>muhamadfiqihabdulghoni@email.com</t>
  </si>
  <si>
    <t>muhamadirfan@email.com</t>
  </si>
  <si>
    <t>muhamadmahatier@email.com</t>
  </si>
  <si>
    <t>muhamadmuhyihabib@email.com</t>
  </si>
  <si>
    <t>muhamadparikhi@email.com</t>
  </si>
  <si>
    <t>muhamadsyehmalikpriana@email.com</t>
  </si>
  <si>
    <t>muhamadtediramadan@email.com</t>
  </si>
  <si>
    <t>muhamadteguharissianto@email.com</t>
  </si>
  <si>
    <t>muhamadyunus@email.com</t>
  </si>
  <si>
    <t>muhamadzakizamzami@email.com</t>
  </si>
  <si>
    <t>muhammadaditya@email.com</t>
  </si>
  <si>
    <t>muhammadafwanmunirmaulana@email.com</t>
  </si>
  <si>
    <t>muhammadalifwisnumurti@email.com</t>
  </si>
  <si>
    <t>muhammadalwialrizky@email.com</t>
  </si>
  <si>
    <t>muhammadaqielbaehaqie@email.com</t>
  </si>
  <si>
    <t>muhammadaryasaputra@email.com</t>
  </si>
  <si>
    <t>muhammadfaridfaturrahman@email.com</t>
  </si>
  <si>
    <t>muhammadharyziqbalhendrawan@email.com</t>
  </si>
  <si>
    <t>muhammadhisyamadnan@email.com</t>
  </si>
  <si>
    <t>muhammadirwan@email.com</t>
  </si>
  <si>
    <t>muhammadizzunazhar@email.com</t>
  </si>
  <si>
    <t>muhammadkurniadi@email.com</t>
  </si>
  <si>
    <t>muhammadnurasfafuadi@email.com</t>
  </si>
  <si>
    <t>muhammadnurikhsanudinriziq@email.com</t>
  </si>
  <si>
    <t>muhammadnuriskandar@email.com</t>
  </si>
  <si>
    <t>muhammadpashanurrifki@email.com</t>
  </si>
  <si>
    <t>muhammadraihanbintangpratama@email.com</t>
  </si>
  <si>
    <t>muhammadridwanalasyari@email.com</t>
  </si>
  <si>
    <t>muhammadrifalilyas@email.com</t>
  </si>
  <si>
    <t>muhammadsigitaliqsaputra@email.com</t>
  </si>
  <si>
    <t>muhammadsyahrulahnan@email.com</t>
  </si>
  <si>
    <t>muhedisuswanto@email.com</t>
  </si>
  <si>
    <t>muheldinasadillah@email.com</t>
  </si>
  <si>
    <t>muhrasyanurrizki@email.com</t>
  </si>
  <si>
    <t>muhzaidanmubarokalfaqih@email.com</t>
  </si>
  <si>
    <t>mujipurnomo@email.com</t>
  </si>
  <si>
    <t>mujizatallamin@email.com</t>
  </si>
  <si>
    <t>mukhamadilhambasuki@email.com</t>
  </si>
  <si>
    <t>mukhammadibrohimakbar@email.com</t>
  </si>
  <si>
    <t>murnisarojah@email.com</t>
  </si>
  <si>
    <t>mutiaazzahra@email.com</t>
  </si>
  <si>
    <t>mutiara@email.com</t>
  </si>
  <si>
    <t>mutiararahmafadilah@email.com</t>
  </si>
  <si>
    <t>nabilakhoerunisa@email.com</t>
  </si>
  <si>
    <t>nabilasabrina@email.com</t>
  </si>
  <si>
    <t>nabilatunmunawaroh@email.com</t>
  </si>
  <si>
    <t>nabillanurulasyifa@email.com</t>
  </si>
  <si>
    <t>nabirabungaazhahra@email.com</t>
  </si>
  <si>
    <t>nadivanikenfadila@email.com</t>
  </si>
  <si>
    <t>nadyanurafifah@email.com</t>
  </si>
  <si>
    <t>naelatussaadah@email.com</t>
  </si>
  <si>
    <t>naelusaadah@email.com</t>
  </si>
  <si>
    <t>nafrotin@email.com</t>
  </si>
  <si>
    <t>nairaeksanita@email.com</t>
  </si>
  <si>
    <t>najwaalifiyyah@email.com</t>
  </si>
  <si>
    <t>nandahanisafitri@email.com</t>
  </si>
  <si>
    <t>nanidiana@email.com</t>
  </si>
  <si>
    <t>nanisetiani@email.com</t>
  </si>
  <si>
    <t>narajuniararbaniah@email.com</t>
  </si>
  <si>
    <t>nasyaisnasaadah@email.com</t>
  </si>
  <si>
    <t>nayameisyafiantika@email.com</t>
  </si>
  <si>
    <t>naylamaylanti@email.com</t>
  </si>
  <si>
    <t>nazarahmaputrian@email.com</t>
  </si>
  <si>
    <t>nazwaamalia@email.com</t>
  </si>
  <si>
    <t>neliasmarani@email.com</t>
  </si>
  <si>
    <t>nelipujiastuti@email.com</t>
  </si>
  <si>
    <t>nengrikanuraeni@email.com</t>
  </si>
  <si>
    <t>nidaulumaim@email.com</t>
  </si>
  <si>
    <t>nimasserlipurwanti@email.com</t>
  </si>
  <si>
    <t>niningfauziyah@email.com</t>
  </si>
  <si>
    <t>nisaastiyaramadhani@email.com</t>
  </si>
  <si>
    <t>nisalatifatulhana@email.com</t>
  </si>
  <si>
    <t>nisaulfatimah@email.com</t>
  </si>
  <si>
    <t>nitanurahmawati@email.com</t>
  </si>
  <si>
    <t>nitanurlita@email.com</t>
  </si>
  <si>
    <t>nitavianata@email.com</t>
  </si>
  <si>
    <t>nizarabiyadinnafis@email.com</t>
  </si>
  <si>
    <t>nizarpuspitapermataabdi@email.com</t>
  </si>
  <si>
    <t>nofaagustin@email.com</t>
  </si>
  <si>
    <t>nolamutiarasagita@email.com</t>
  </si>
  <si>
    <t>nopariyah@email.com</t>
  </si>
  <si>
    <t>novalindaazhari@email.com</t>
  </si>
  <si>
    <t>noviaekasafitri@email.com</t>
  </si>
  <si>
    <t>novianakusumawardani@email.com</t>
  </si>
  <si>
    <t>noviani@email.com</t>
  </si>
  <si>
    <t>novikusumawardani@email.com</t>
  </si>
  <si>
    <t>novioktaviaramadani@email.com</t>
  </si>
  <si>
    <t>novipuspitadewi@email.com</t>
  </si>
  <si>
    <t>novita@email.com</t>
  </si>
  <si>
    <t>novitasari@email.com</t>
  </si>
  <si>
    <t>noviwulandari@email.com</t>
  </si>
  <si>
    <t>nughnialgauran@email.com</t>
  </si>
  <si>
    <t>nugiranggarantausia@email.com</t>
  </si>
  <si>
    <t>nugrohoadiwicaksono@email.com</t>
  </si>
  <si>
    <t>nuradefitrianasari@email.com</t>
  </si>
  <si>
    <t>nuradipramono@email.com</t>
  </si>
  <si>
    <t>nurafifah@email.com</t>
  </si>
  <si>
    <t>nurafnifauziyah@email.com</t>
  </si>
  <si>
    <t>nurahmadriski@email.com</t>
  </si>
  <si>
    <t>nuraisyah@email.com</t>
  </si>
  <si>
    <t>nuralfinatussadiyah@email.com</t>
  </si>
  <si>
    <t>nuramaliyah@email.com</t>
  </si>
  <si>
    <t>nurarmalaputri@email.com</t>
  </si>
  <si>
    <t>nurazizah@email.com</t>
  </si>
  <si>
    <t>nurbaeti@email.com</t>
  </si>
  <si>
    <t>nurfadilah@email.com</t>
  </si>
  <si>
    <t>nurfatikha@email.com</t>
  </si>
  <si>
    <t>nurfebrianti@email.com</t>
  </si>
  <si>
    <t>nurhajijah@email.com</t>
  </si>
  <si>
    <t>nurhakikipujilestari@email.com</t>
  </si>
  <si>
    <t>nurhalizah@email.com</t>
  </si>
  <si>
    <t>nurhikmah@email.com</t>
  </si>
  <si>
    <t>nurimannudin@email.com</t>
  </si>
  <si>
    <t>nurisnaaeni@email.com</t>
  </si>
  <si>
    <t>nurjahidin@email.com</t>
  </si>
  <si>
    <t>nurkhasanah@email.com</t>
  </si>
  <si>
    <t>nurlaelapitriyana@email.com</t>
  </si>
  <si>
    <t>nurlaeliisnamarziatun@email.com</t>
  </si>
  <si>
    <t>nurlitadwipurnamasari@email.com</t>
  </si>
  <si>
    <t>nurmahmudah@email.com</t>
  </si>
  <si>
    <t>nurmaladestriana@email.com</t>
  </si>
  <si>
    <t>nurochmah@email.com</t>
  </si>
  <si>
    <t>nuroftavia@email.com</t>
  </si>
  <si>
    <t>nuroktavia@email.com</t>
  </si>
  <si>
    <t>nurrachmaisdiyanti@email.com</t>
  </si>
  <si>
    <t>nurroyanah@email.com</t>
  </si>
  <si>
    <t>nursaibah@email.com</t>
  </si>
  <si>
    <t>nursanti@email.com</t>
  </si>
  <si>
    <t>nursapitriyani@email.com</t>
  </si>
  <si>
    <t>nurulkhasanah@email.com</t>
  </si>
  <si>
    <t>nurulmulyaningsih@email.com</t>
  </si>
  <si>
    <t>nuruloktaviani@email.com</t>
  </si>
  <si>
    <t>odybambangsupriadi@email.com</t>
  </si>
  <si>
    <t>okiferinursandi@email.com</t>
  </si>
  <si>
    <t>oktanurrohmah@email.com</t>
  </si>
  <si>
    <t>onasuryana@email.com</t>
  </si>
  <si>
    <t>ossyoctaviolasetiawan@email.com</t>
  </si>
  <si>
    <t>ozipriyanto@email.com</t>
  </si>
  <si>
    <t>pandemadevikkygunadarma@email.com</t>
  </si>
  <si>
    <t>periirawan@email.com</t>
  </si>
  <si>
    <t>petrusbayusetyawibawa@email.com</t>
  </si>
  <si>
    <t>pipitslametsugiartiirawan@email.com</t>
  </si>
  <si>
    <t>pujilestari@email.com</t>
  </si>
  <si>
    <t>puputaprilia@email.com</t>
  </si>
  <si>
    <t>putikha@email.com</t>
  </si>
  <si>
    <t>putriagustina@email.com</t>
  </si>
  <si>
    <t>putrianjani@email.com</t>
  </si>
  <si>
    <t>putryliaoktaviani@email.com</t>
  </si>
  <si>
    <t>qolbiyatunazizah@email.com</t>
  </si>
  <si>
    <t>raafinaafiughaniy@email.com</t>
  </si>
  <si>
    <t>rafaelilhamananta@email.com</t>
  </si>
  <si>
    <t>rafikaseptiani@email.com</t>
  </si>
  <si>
    <t>ragilamaliaazzahrah@email.com</t>
  </si>
  <si>
    <t>ragilbaehaqyhidayat@email.com</t>
  </si>
  <si>
    <t>rahdasayrellayolanda@email.com</t>
  </si>
  <si>
    <t>rahelriyandi@email.com</t>
  </si>
  <si>
    <t>rahmaanjalina@email.com</t>
  </si>
  <si>
    <t>rahmadityachandra@email.com</t>
  </si>
  <si>
    <t>rahmaelsantanawati@email.com</t>
  </si>
  <si>
    <t>rahmahazizah@email.com</t>
  </si>
  <si>
    <t>rahmamaulidia@email.com</t>
  </si>
  <si>
    <t>rahmatmaulanasukri@email.com</t>
  </si>
  <si>
    <t>rahmayanti@email.com</t>
  </si>
  <si>
    <t>rahmayuliana@email.com</t>
  </si>
  <si>
    <t>raisyachelseana@email.com</t>
  </si>
  <si>
    <t>rakhmanmaulana@email.com</t>
  </si>
  <si>
    <t>ramadhanalfingimnastiar@email.com</t>
  </si>
  <si>
    <t>ranggadarmawijaya@email.com</t>
  </si>
  <si>
    <t>raninabilaputri@email.com</t>
  </si>
  <si>
    <t>rantiliviasari@email.com</t>
  </si>
  <si>
    <t>ratihkemaladewi@email.com</t>
  </si>
  <si>
    <t>ratihtrinuraeni@email.com</t>
  </si>
  <si>
    <t>ratini@email.com</t>
  </si>
  <si>
    <t>ratnasulastri@email.com</t>
  </si>
  <si>
    <t>realitafebri@email.com</t>
  </si>
  <si>
    <t>renaldoernowo@email.com</t>
  </si>
  <si>
    <t>renatafebrian@email.com</t>
  </si>
  <si>
    <t>renisetyawati@email.com</t>
  </si>
  <si>
    <t>resgiyantrenanda@email.com</t>
  </si>
  <si>
    <t>resmasaputri@email.com</t>
  </si>
  <si>
    <t>reva@email.com</t>
  </si>
  <si>
    <t>revakharismaberliankosasih@email.com</t>
  </si>
  <si>
    <t>revalinaramadhani@email.com</t>
  </si>
  <si>
    <t>revinamariska@email.com</t>
  </si>
  <si>
    <t>revireviyanti@email.com</t>
  </si>
  <si>
    <t>revitriyuliana@email.com</t>
  </si>
  <si>
    <t>rezapangestu@email.com</t>
  </si>
  <si>
    <t>rezapratama@email.com</t>
  </si>
  <si>
    <t>rezasetiawan@email.com</t>
  </si>
  <si>
    <t>rezzaagustin@email.com</t>
  </si>
  <si>
    <t>rianadisaputra@email.com</t>
  </si>
  <si>
    <t>rianagitafebrianti@email.com</t>
  </si>
  <si>
    <t>riandikapramudya@email.com</t>
  </si>
  <si>
    <t>ridwan@email.com</t>
  </si>
  <si>
    <t>ridwanakmaluddin@email.com</t>
  </si>
  <si>
    <t>rifaatulghonimah@email.com</t>
  </si>
  <si>
    <t>rifkiamaliadestakarimatun@email.com</t>
  </si>
  <si>
    <t>rifkyagustiandwiputra@email.com</t>
  </si>
  <si>
    <t>rinaaudyh@email.com</t>
  </si>
  <si>
    <t>rinanurrani@email.com</t>
  </si>
  <si>
    <t>rinirukmini@email.com</t>
  </si>
  <si>
    <t>rioadisaputra@email.com</t>
  </si>
  <si>
    <t>riskakurniasih@email.com</t>
  </si>
  <si>
    <t>riskariantika@email.com</t>
  </si>
  <si>
    <t>riskhonkholikulfaizin@email.com</t>
  </si>
  <si>
    <t>riskiayufahrunnisa@email.com</t>
  </si>
  <si>
    <t>riskiikhbalafdani@email.com</t>
  </si>
  <si>
    <t>riskinurfadilah@email.com</t>
  </si>
  <si>
    <t>rismatrihandayani@email.com</t>
  </si>
  <si>
    <t>rismayanasahira@email.com</t>
  </si>
  <si>
    <t>riyanfauzi@email.com</t>
  </si>
  <si>
    <t>riyanti@email.com</t>
  </si>
  <si>
    <t>riyanto@email.com</t>
  </si>
  <si>
    <t>rizalfadli@email.com</t>
  </si>
  <si>
    <t>rizkibaehaqi@email.com</t>
  </si>
  <si>
    <t>rizkilistiawati@email.com</t>
  </si>
  <si>
    <t>rizkyartolarieksyah@email.com</t>
  </si>
  <si>
    <t>rizqiamalia@email.com</t>
  </si>
  <si>
    <t>robialfandi@email.com</t>
  </si>
  <si>
    <t>rohmat@email.com</t>
  </si>
  <si>
    <t>rokhimin@email.com</t>
  </si>
  <si>
    <t>rosianggraeni@email.com</t>
  </si>
  <si>
    <t>rudihartono@email.com</t>
  </si>
  <si>
    <t>rukhiyanto@email.com</t>
  </si>
  <si>
    <t>ruriseptiana@email.com</t>
  </si>
  <si>
    <t>ruslani@email.com</t>
  </si>
  <si>
    <t>saefularifin@email.com</t>
  </si>
  <si>
    <t>saefuliman@email.com</t>
  </si>
  <si>
    <t>safrinaauliaghiffari@email.com</t>
  </si>
  <si>
    <t>sahrularipin@email.com</t>
  </si>
  <si>
    <t>sahrulfaizalramadhon@email.com</t>
  </si>
  <si>
    <t>sahrulsepryawan@email.com</t>
  </si>
  <si>
    <t>sakilarahmawati@email.com</t>
  </si>
  <si>
    <t>salmakarimapranata@email.com</t>
  </si>
  <si>
    <t>salsaagustin@email.com</t>
  </si>
  <si>
    <t>salsabillanuraurora@email.com</t>
  </si>
  <si>
    <t>salwanurfauziah@email.com</t>
  </si>
  <si>
    <t>salwaoktavia@email.com</t>
  </si>
  <si>
    <t>samsulbahri@email.com</t>
  </si>
  <si>
    <t>samsulmaarip@email.com</t>
  </si>
  <si>
    <t>sandisopandi@email.com</t>
  </si>
  <si>
    <t>sandisyahzena@email.com</t>
  </si>
  <si>
    <t>sandykurniawan@email.com</t>
  </si>
  <si>
    <t>santi@email.com</t>
  </si>
  <si>
    <t>santika@email.com</t>
  </si>
  <si>
    <t>santiwidiastuti@email.com</t>
  </si>
  <si>
    <t>saprudinhidayat@email.com</t>
  </si>
  <si>
    <t>sarinih@email.com</t>
  </si>
  <si>
    <t>saryaprasetio@email.com</t>
  </si>
  <si>
    <t>saskiaapriliaadisti@email.com</t>
  </si>
  <si>
    <t>sastifrayoga@email.com</t>
  </si>
  <si>
    <t>satriamukhlis@email.com</t>
  </si>
  <si>
    <t>seliapriliyaniputri@email.com</t>
  </si>
  <si>
    <t>selviastriani@email.com</t>
  </si>
  <si>
    <t>selvihindiyani@email.com</t>
  </si>
  <si>
    <t>sepiranurmalasari@email.com</t>
  </si>
  <si>
    <t>sepriaadimulya@email.com</t>
  </si>
  <si>
    <t>septiawijiana@email.com</t>
  </si>
  <si>
    <t>septiwulandari@email.com</t>
  </si>
  <si>
    <t>serrakiranaseptriacha@email.com</t>
  </si>
  <si>
    <t>shakhilahnururrohmah@email.com</t>
  </si>
  <si>
    <t>shanti@email.com</t>
  </si>
  <si>
    <t>shefiraagustina@email.com</t>
  </si>
  <si>
    <t>shellasulistyani@email.com</t>
  </si>
  <si>
    <t>sherilaurellia@email.com</t>
  </si>
  <si>
    <t>sherlasallusi@email.com</t>
  </si>
  <si>
    <t>sherlinuroktapiani@email.com</t>
  </si>
  <si>
    <t>shilviasaputri@email.com</t>
  </si>
  <si>
    <t>shinandasaraswati@email.com</t>
  </si>
  <si>
    <t>shindymeizy@email.com</t>
  </si>
  <si>
    <t>sholihinnirza@email.com</t>
  </si>
  <si>
    <t>sihabudinmafi@email.com</t>
  </si>
  <si>
    <t>silfiismatulkhasanah@email.com</t>
  </si>
  <si>
    <t>silviaayunurhasanah@email.com</t>
  </si>
  <si>
    <t>singgihdwipangestu@email.com</t>
  </si>
  <si>
    <t>sintaindriana@email.com</t>
  </si>
  <si>
    <t>sintia@email.com</t>
  </si>
  <si>
    <t>siskanurmiladiah@email.com</t>
  </si>
  <si>
    <t>siskatriputri@email.com</t>
  </si>
  <si>
    <t>siskavigiastuti@email.com</t>
  </si>
  <si>
    <t>sitanurkhasanahazzahra@email.com</t>
  </si>
  <si>
    <t>sitiaisyah@email.com</t>
  </si>
  <si>
    <t>sitiamalia@email.com</t>
  </si>
  <si>
    <t>sitiamisa@email.com</t>
  </si>
  <si>
    <t>sitianisyah@email.com</t>
  </si>
  <si>
    <t>sitichodijahagustin@email.com</t>
  </si>
  <si>
    <t>sitihartini@email.com</t>
  </si>
  <si>
    <t>sitikhoirunisa@email.com</t>
  </si>
  <si>
    <t>sitikhopipah@email.com</t>
  </si>
  <si>
    <t>sitikhumaeroh@email.com</t>
  </si>
  <si>
    <t>sitikomariyah@email.com</t>
  </si>
  <si>
    <t>sitilaelaranita@email.com</t>
  </si>
  <si>
    <t>sitimaghfiroh@email.com</t>
  </si>
  <si>
    <t>sitimasito@email.com</t>
  </si>
  <si>
    <t>sitimikefebiyanti@email.com</t>
  </si>
  <si>
    <t>sitimubarokah@email.com</t>
  </si>
  <si>
    <t>sitimulyati@email.com</t>
  </si>
  <si>
    <t>sitimutiaranikmah@email.com</t>
  </si>
  <si>
    <t>sitinuraeni@email.com</t>
  </si>
  <si>
    <t>sitinurazizah@email.com</t>
  </si>
  <si>
    <t>sitinurfadillah@email.com</t>
  </si>
  <si>
    <t>sitinurhabibah@email.com</t>
  </si>
  <si>
    <t>sitinurjanah@email.com</t>
  </si>
  <si>
    <t>sitinurkhasanah@email.com</t>
  </si>
  <si>
    <t>sitinurkhodizah@email.com</t>
  </si>
  <si>
    <t>sitirahayu@email.com</t>
  </si>
  <si>
    <t>sitirochanah@email.com</t>
  </si>
  <si>
    <t>sitiumatulkhaeriyah@email.com</t>
  </si>
  <si>
    <t>sitizafira@email.com</t>
  </si>
  <si>
    <t>soniharyanto@email.com</t>
  </si>
  <si>
    <t>sonyaselviyaniinkiriwang@email.com</t>
  </si>
  <si>
    <t>sopiatun@email.com</t>
  </si>
  <si>
    <t>sriaidah@email.com</t>
  </si>
  <si>
    <t>sridiana@email.com</t>
  </si>
  <si>
    <t>srihartati@email.com</t>
  </si>
  <si>
    <t>srihayati@email.com</t>
  </si>
  <si>
    <t>srikhunaenah@email.com</t>
  </si>
  <si>
    <t>srirahayuwanti@email.com</t>
  </si>
  <si>
    <t>srirahyumaharani@email.com</t>
  </si>
  <si>
    <t>srirejeki@email.com</t>
  </si>
  <si>
    <t>srisuryasuganda@email.com</t>
  </si>
  <si>
    <t>sriwahyuni@email.com</t>
  </si>
  <si>
    <t>sriwulanagustina@email.com</t>
  </si>
  <si>
    <t>sriwulandari@email.com</t>
  </si>
  <si>
    <t>suciamaliaindahsari@email.com</t>
  </si>
  <si>
    <t>sugengalvinnanda@email.com</t>
  </si>
  <si>
    <t>suherman@email.com</t>
  </si>
  <si>
    <t>suherni@email.com</t>
  </si>
  <si>
    <t>sujimin@email.com</t>
  </si>
  <si>
    <t>sukmaalam@email.com</t>
  </si>
  <si>
    <t>sultonfadilah@email.com</t>
  </si>
  <si>
    <t>sumiyati@email.com</t>
  </si>
  <si>
    <t>sundarimuarifah@email.com</t>
  </si>
  <si>
    <t>suprihana@email.com</t>
  </si>
  <si>
    <t>suswati@email.com</t>
  </si>
  <si>
    <t>suwandi@email.com</t>
  </si>
  <si>
    <t>syaefulnurhasankoharudin@email.com</t>
  </si>
  <si>
    <t>syafikmirza@email.com</t>
  </si>
  <si>
    <t>syahidullahmuhammadalqawi@email.com</t>
  </si>
  <si>
    <t>syahrilmaulanaalfalah@email.com</t>
  </si>
  <si>
    <t>syahrulanan@email.com</t>
  </si>
  <si>
    <t>syahrulmiftakhoeriamrillah@email.com</t>
  </si>
  <si>
    <t>syahrulrahmat@email.com</t>
  </si>
  <si>
    <t>syamsudin@email.com</t>
  </si>
  <si>
    <t>syifaayunabila@email.com</t>
  </si>
  <si>
    <t>syifahayatunnufus@email.com</t>
  </si>
  <si>
    <t>tamaraamalia@email.com</t>
  </si>
  <si>
    <t>tanisah@email.com</t>
  </si>
  <si>
    <t>tarmiditahir@email.com</t>
  </si>
  <si>
    <t>tatikusmiati@email.com</t>
  </si>
  <si>
    <t>tatipuspitasari@email.com</t>
  </si>
  <si>
    <t>teddimaulana@email.com</t>
  </si>
  <si>
    <t>tedipriyatno@email.com</t>
  </si>
  <si>
    <t>tedisurahman@email.com</t>
  </si>
  <si>
    <t>teguhadiprayogi@email.com</t>
  </si>
  <si>
    <t>teguhpradesa@email.com</t>
  </si>
  <si>
    <t>teguhprianto@email.com</t>
  </si>
  <si>
    <t>tiaatikah@email.com</t>
  </si>
  <si>
    <t>tianlukiprasetia@email.com</t>
  </si>
  <si>
    <t>tiaranindaapriliany@email.com</t>
  </si>
  <si>
    <t>tiarasilviani@email.com</t>
  </si>
  <si>
    <t>tina@email.com</t>
  </si>
  <si>
    <t>titinelfiani@email.com</t>
  </si>
  <si>
    <t>tiyoaryo@email.com</t>
  </si>
  <si>
    <t>tomipurnomo@email.com</t>
  </si>
  <si>
    <t>tomygilangbudiutama@email.com</t>
  </si>
  <si>
    <t>tomysupriyadi@email.com</t>
  </si>
  <si>
    <t>topari@email.com</t>
  </si>
  <si>
    <t>totoiskandar@email.com</t>
  </si>
  <si>
    <t>triadindadewi@email.com</t>
  </si>
  <si>
    <t>triaprianiutami@email.com</t>
  </si>
  <si>
    <t>trilaksanaandrian@email.com</t>
  </si>
  <si>
    <t>trimo@email.com</t>
  </si>
  <si>
    <t>trimulyaningsih@email.com</t>
  </si>
  <si>
    <t>trioktaviana@email.com</t>
  </si>
  <si>
    <t>trisnawan@email.com</t>
  </si>
  <si>
    <t>triutami@email.com</t>
  </si>
  <si>
    <t>triwindari@email.com</t>
  </si>
  <si>
    <t>triwindartirahayu@email.com</t>
  </si>
  <si>
    <t>triwindasulistiaasih@email.com</t>
  </si>
  <si>
    <t>triyoso@email.com</t>
  </si>
  <si>
    <t>triyuliyanti@email.com</t>
  </si>
  <si>
    <t>tutialawiyah@email.com</t>
  </si>
  <si>
    <t>tyasanggreiniwidyawati@email.com</t>
  </si>
  <si>
    <t>ucusahroni@email.com</t>
  </si>
  <si>
    <t>ujangsopian@email.com</t>
  </si>
  <si>
    <t>ulfianah@email.com</t>
  </si>
  <si>
    <t>ulilhidayati@email.com</t>
  </si>
  <si>
    <t>umarsyaifulloh@email.com</t>
  </si>
  <si>
    <t>umimayada@email.com</t>
  </si>
  <si>
    <t>umisatunmunawaroh@email.com</t>
  </si>
  <si>
    <t>umiyatisalamiyah@email.com</t>
  </si>
  <si>
    <t>ummulailatussyifa@email.com</t>
  </si>
  <si>
    <t>umrohatun@email.com</t>
  </si>
  <si>
    <t>umuainurrohmah@email.com</t>
  </si>
  <si>
    <t>unsidharmaagensi@email.com</t>
  </si>
  <si>
    <t>uripfatahilah@email.com</t>
  </si>
  <si>
    <t>usisulistiawati@email.com</t>
  </si>
  <si>
    <t>usnibasofi@email.com</t>
  </si>
  <si>
    <t>uswatunhasanah@email.com</t>
  </si>
  <si>
    <t>uswatunkhasanah@email.com</t>
  </si>
  <si>
    <t>vebyastriani@email.com</t>
  </si>
  <si>
    <t>violaadynata@email.com</t>
  </si>
  <si>
    <t>vitriyaamandaputri@email.com</t>
  </si>
  <si>
    <t>viviindriantika@email.com</t>
  </si>
  <si>
    <t>vivioktovia@email.com</t>
  </si>
  <si>
    <t>wafirfaiz@email.com</t>
  </si>
  <si>
    <t>wahyulutfiyadi@email.com</t>
  </si>
  <si>
    <t>wahyuni@email.com</t>
  </si>
  <si>
    <t>wahyuningsih@email.com</t>
  </si>
  <si>
    <t>wahyuumarsaid@email.com</t>
  </si>
  <si>
    <t>wakhidahnovaannisa@email.com</t>
  </si>
  <si>
    <t>waliyulmustofa@email.com</t>
  </si>
  <si>
    <t>wandiardiansyahputra@email.com</t>
  </si>
  <si>
    <t>wasifatulhidayah@email.com</t>
  </si>
  <si>
    <t>wasilatulinayah@email.com</t>
  </si>
  <si>
    <t>wawangunawan@email.com</t>
  </si>
  <si>
    <t>wawansetiawanwandi@email.com</t>
  </si>
  <si>
    <t>wawassetiawati@email.com</t>
  </si>
  <si>
    <t>widianingrum@email.com</t>
  </si>
  <si>
    <t>widiyanto@email.com</t>
  </si>
  <si>
    <t>widyaaminuralifah@email.com</t>
  </si>
  <si>
    <t>wigihendrianm@email.com</t>
  </si>
  <si>
    <t>wikadwinopelia@email.com</t>
  </si>
  <si>
    <t>wikeastiyaniputri@email.com</t>
  </si>
  <si>
    <t>wildaislami@email.com</t>
  </si>
  <si>
    <t>williammorghaniagustin@email.com</t>
  </si>
  <si>
    <t>winacahaya@email.com</t>
  </si>
  <si>
    <t>windaayuningtiyas@email.com</t>
  </si>
  <si>
    <t>windalestari@email.com</t>
  </si>
  <si>
    <t>windaumisetiyani@email.com</t>
  </si>
  <si>
    <t>windawulandari@email.com</t>
  </si>
  <si>
    <t>windiapriliyani@email.com</t>
  </si>
  <si>
    <t>windiastuti@email.com</t>
  </si>
  <si>
    <t>windisafitri@email.com</t>
  </si>
  <si>
    <t>windisantiaandrayani@email.com</t>
  </si>
  <si>
    <t>windiyahastuti@email.com</t>
  </si>
  <si>
    <t>windyseptiani@email.com</t>
  </si>
  <si>
    <t>winisitinuraeni@email.com</t>
  </si>
  <si>
    <t>witriyah@email.com</t>
  </si>
  <si>
    <t>wiwiardiani@email.com</t>
  </si>
  <si>
    <t>wiwikjuniarsih@email.com</t>
  </si>
  <si>
    <t>wiwinindriyani@email.com</t>
  </si>
  <si>
    <t>wiwitajipamungkas@email.com</t>
  </si>
  <si>
    <t>wulanariska@email.com</t>
  </si>
  <si>
    <t>wulandari@email.com</t>
  </si>
  <si>
    <t>wulandarikristianingsih@email.com</t>
  </si>
  <si>
    <t>yanto@email.com</t>
  </si>
  <si>
    <t>yashifarumaisha@email.com</t>
  </si>
  <si>
    <t>yeniwidayanti@email.com</t>
  </si>
  <si>
    <t>yolandaayuningtias@email.com</t>
  </si>
  <si>
    <t>yonocahyono@email.com</t>
  </si>
  <si>
    <t>yostiyatinromadhoni@email.com</t>
  </si>
  <si>
    <t>yuanagiraldien@email.com</t>
  </si>
  <si>
    <t>yudharizkiwibowo@email.com</t>
  </si>
  <si>
    <t>yudhistiraafriezalpriyono@email.com</t>
  </si>
  <si>
    <t>yuliasih@email.com</t>
  </si>
  <si>
    <t>yulifitriawati@email.com</t>
  </si>
  <si>
    <t>yuniartrilestari@email.com</t>
  </si>
  <si>
    <t>yunisaayumeliyana@email.com</t>
  </si>
  <si>
    <t>yunisetianingsih@email.com</t>
  </si>
  <si>
    <t>yunitabudiman@email.com</t>
  </si>
  <si>
    <t>yunusprasetyo@email.com</t>
  </si>
  <si>
    <t>yustirahmasaputri@email.com</t>
  </si>
  <si>
    <t>zaenalarifin@email.com</t>
  </si>
  <si>
    <t>zaenunnajib@email.com</t>
  </si>
  <si>
    <t>zahrotunmarshita@email.com</t>
  </si>
  <si>
    <t>zidanalfarizi@email.com</t>
  </si>
  <si>
    <t>zidniilmanalhakim@email.com</t>
  </si>
  <si>
    <t>zlatanibrahimyusup@email.com</t>
  </si>
  <si>
    <t>zuhriyahadzrazharifah@email.com</t>
  </si>
  <si>
    <t>zulfimaulakhikami@email.com</t>
  </si>
  <si>
    <t>aamwarnisah@imail.com</t>
  </si>
  <si>
    <t>aatsukmawijaya@imail.com</t>
  </si>
  <si>
    <t>abdulahikhsanudin@imail.com</t>
  </si>
  <si>
    <t>abdulaziz@imail.com</t>
  </si>
  <si>
    <t>abdulfatahillah@imail.com</t>
  </si>
  <si>
    <t>abdulfattahazzam@imail.com</t>
  </si>
  <si>
    <t>abdulghofur@imail.com</t>
  </si>
  <si>
    <t>abdulimammaolana@imail.com</t>
  </si>
  <si>
    <t>abdulrozak@imail.com</t>
  </si>
  <si>
    <t>abdulwahab@imail.com</t>
  </si>
  <si>
    <t>abuhasan@imail.com</t>
  </si>
  <si>
    <t>achmadmuchkroni@imail.com</t>
  </si>
  <si>
    <t>achmadwijayakusuma@imail.com</t>
  </si>
  <si>
    <t>adangsuparman@imail.com</t>
  </si>
  <si>
    <t>adebagassaputra@imail.com</t>
  </si>
  <si>
    <t>adeirfan@imail.com</t>
  </si>
  <si>
    <t>adenurulkhofifah@imail.com</t>
  </si>
  <si>
    <t>adesantiismawati@imail.com</t>
  </si>
  <si>
    <t>adhiyadzikraafrinda@imail.com</t>
  </si>
  <si>
    <t>adikamelani@imail.com</t>
  </si>
  <si>
    <t>adindaayuramadhani@imail.com</t>
  </si>
  <si>
    <t>adindakunizakiyah@imail.com</t>
  </si>
  <si>
    <t>adiranoviyaardani@imail.com</t>
  </si>
  <si>
    <t>adiratno@imail.com</t>
  </si>
  <si>
    <t>adisepriono@imail.com</t>
  </si>
  <si>
    <t>adityaekasaputra@imail.com</t>
  </si>
  <si>
    <t>adityanugraha@imail.com</t>
  </si>
  <si>
    <t>adityaprasetyo@imail.com</t>
  </si>
  <si>
    <t>adityarohmatika@imail.com</t>
  </si>
  <si>
    <t>affanbagasarokhman@imail.com</t>
  </si>
  <si>
    <t>afidah@imail.com</t>
  </si>
  <si>
    <t>afiffiqrialfaqih@imail.com</t>
  </si>
  <si>
    <t>aghniamaghfiroh@imail.com</t>
  </si>
  <si>
    <t>aguslukiana@imail.com</t>
  </si>
  <si>
    <t>aguspriyadi@imail.com</t>
  </si>
  <si>
    <t>agussopian@imail.com</t>
  </si>
  <si>
    <t>ahmadfarizmaulana@imail.com</t>
  </si>
  <si>
    <t>ahmadighnailmarzuk@imail.com</t>
  </si>
  <si>
    <t>ahmadnurfauzi@imail.com</t>
  </si>
  <si>
    <t>ahmadrafirifkyansyah@imail.com</t>
  </si>
  <si>
    <t>ahmadriziqmaulana@imail.com</t>
  </si>
  <si>
    <t>ahmadsafrudin@imail.com</t>
  </si>
  <si>
    <t>ahmadtrustianto@imail.com</t>
  </si>
  <si>
    <t>ahmadwaluyo@imail.com</t>
  </si>
  <si>
    <t>ahmalardianto@imail.com</t>
  </si>
  <si>
    <t>aisyahummulatifah@imail.com</t>
  </si>
  <si>
    <t>ajengwulanamelia@imail.com</t>
  </si>
  <si>
    <t>ajimaulanarizqi@imail.com</t>
  </si>
  <si>
    <t>ajipangestu@imail.com</t>
  </si>
  <si>
    <t>ajisanjaya@imail.com</t>
  </si>
  <si>
    <t>akhmadakhulmisjan@imail.com</t>
  </si>
  <si>
    <t>akhmadannurfachri@imail.com</t>
  </si>
  <si>
    <t>akhmadbakhtiar@imail.com</t>
  </si>
  <si>
    <t>akhmadbayuerlangga@imail.com</t>
  </si>
  <si>
    <t>akhmadfaozisaputra@imail.com</t>
  </si>
  <si>
    <t>akhmadhamzah@imail.com</t>
  </si>
  <si>
    <t>akhmadjazuli@imail.com</t>
  </si>
  <si>
    <t>akhmadumarrizki@imail.com</t>
  </si>
  <si>
    <t>akhoirurroziqin@imail.com</t>
  </si>
  <si>
    <t>alayshawaliyah@imail.com</t>
  </si>
  <si>
    <t>aldamonika@imail.com</t>
  </si>
  <si>
    <t>aldasuryawijaya@imail.com</t>
  </si>
  <si>
    <t>aldoekasaputra@imail.com</t>
  </si>
  <si>
    <t>aldyprayoga@imail.com</t>
  </si>
  <si>
    <t>alfinurfadilah@imail.com</t>
  </si>
  <si>
    <t>alisodikin@imail.com</t>
  </si>
  <si>
    <t>aliyahnurfaizah@imail.com</t>
  </si>
  <si>
    <t>alviwulandari@imail.com</t>
  </si>
  <si>
    <t>amalianovitasari@imail.com</t>
  </si>
  <si>
    <t>amelia@imail.com</t>
  </si>
  <si>
    <t>ameliyah@imail.com</t>
  </si>
  <si>
    <t>amellia@imail.com</t>
  </si>
  <si>
    <t>amelliaputri@imail.com</t>
  </si>
  <si>
    <t>aminahjuliyana@imail.com</t>
  </si>
  <si>
    <t>anahmariyahrosalia@imail.com</t>
  </si>
  <si>
    <t>anandaanispratama@imail.com</t>
  </si>
  <si>
    <t>anandameisaputri@imail.com</t>
  </si>
  <si>
    <t>anandaputranugraha@imail.com</t>
  </si>
  <si>
    <t>anandariyadi@imail.com</t>
  </si>
  <si>
    <t>ananditazahratalita@imail.com</t>
  </si>
  <si>
    <t>anastasyaastrimuzalfah@imail.com</t>
  </si>
  <si>
    <t>andienramadhani@imail.com</t>
  </si>
  <si>
    <t>andimulyajaya@imail.com</t>
  </si>
  <si>
    <t>andinaferdinand@imail.com</t>
  </si>
  <si>
    <t>andinikhoirunnisa@imail.com</t>
  </si>
  <si>
    <t>andisumitro@imail.com</t>
  </si>
  <si>
    <t>andisyaefulloh@imail.com</t>
  </si>
  <si>
    <t>andiyoessianto@imail.com</t>
  </si>
  <si>
    <t>andrisatio@imail.com</t>
  </si>
  <si>
    <t>andrisetiawan@imail.com</t>
  </si>
  <si>
    <t>angga@imail.com</t>
  </si>
  <si>
    <t>anggienurcahyani@imail.com</t>
  </si>
  <si>
    <t>anggihsulistyono@imail.com</t>
  </si>
  <si>
    <t>anggipangestu@imail.com</t>
  </si>
  <si>
    <t>anikikeylagustisafitri@imail.com</t>
  </si>
  <si>
    <t>anirosidah@imail.com</t>
  </si>
  <si>
    <t>anisaarviyana@imail.com</t>
  </si>
  <si>
    <t>anisah@imail.com</t>
  </si>
  <si>
    <t>anisahnurhidayah@imail.com</t>
  </si>
  <si>
    <t>anisaizaki@imail.com</t>
  </si>
  <si>
    <t>anisalfiyati@imail.com</t>
  </si>
  <si>
    <t>anisatunrochmah@imail.com</t>
  </si>
  <si>
    <t>anisfitri@imail.com</t>
  </si>
  <si>
    <t>anitaagustin@imail.com</t>
  </si>
  <si>
    <t>aniwahyuni@imail.com</t>
  </si>
  <si>
    <t>annisafauziahagustin@imail.com</t>
  </si>
  <si>
    <t>anugrahnurfristian@imail.com</t>
  </si>
  <si>
    <t>anwarfuadi@imail.com</t>
  </si>
  <si>
    <t>aqilafadiahaya@imail.com</t>
  </si>
  <si>
    <t>aqilamaulidiasauzan@imail.com</t>
  </si>
  <si>
    <t>ardhiwahyusaputra@imail.com</t>
  </si>
  <si>
    <t>arifulinnuha@imail.com</t>
  </si>
  <si>
    <t>arifwakhyudin@imail.com</t>
  </si>
  <si>
    <t>arimaulanayudhapratama@imail.com</t>
  </si>
  <si>
    <t>arimunandar@imail.com</t>
  </si>
  <si>
    <t>aripsaripudin@imail.com</t>
  </si>
  <si>
    <t>ariputrautama@imail.com</t>
  </si>
  <si>
    <t>arofah@imail.com</t>
  </si>
  <si>
    <t>artaniaputripurniawan@imail.com</t>
  </si>
  <si>
    <t>aryasanjaya@imail.com</t>
  </si>
  <si>
    <t>asaniatunnurafifa@imail.com</t>
  </si>
  <si>
    <t>asepmaulana@imail.com</t>
  </si>
  <si>
    <t>asepusman@imail.com</t>
  </si>
  <si>
    <t>asharsabiila@imail.com</t>
  </si>
  <si>
    <t>ashlihabidah@imail.com</t>
  </si>
  <si>
    <t>asriwulandari@imail.com</t>
  </si>
  <si>
    <t>atikaputridhiniarie@imail.com</t>
  </si>
  <si>
    <t>auliakhusnacahyaningtyas@imail.com</t>
  </si>
  <si>
    <t>auliaputrinuraini@imail.com</t>
  </si>
  <si>
    <t>auliatuzahroh@imail.com</t>
  </si>
  <si>
    <t>auliazahraramadhani@imail.com</t>
  </si>
  <si>
    <t>aulitalasyaanggreani@imail.com</t>
  </si>
  <si>
    <t>avielvazhelviany@imail.com</t>
  </si>
  <si>
    <t>avmiraramelani@imail.com</t>
  </si>
  <si>
    <t>awanggadidaputranto@imail.com</t>
  </si>
  <si>
    <t>ayufaliyani@imail.com</t>
  </si>
  <si>
    <t>ayunidiniguniawati@imail.com</t>
  </si>
  <si>
    <t>ayupratmawati@imail.com</t>
  </si>
  <si>
    <t>ayuzaskiyatulazizah@imail.com</t>
  </si>
  <si>
    <t>ayyesadyahpusparini@imail.com</t>
  </si>
  <si>
    <t>azazalfarizqi@imail.com</t>
  </si>
  <si>
    <t>aziematunikmah@imail.com</t>
  </si>
  <si>
    <t>azzahramulyaningtyas@imail.com</t>
  </si>
  <si>
    <t>baetynurjanah@imail.com</t>
  </si>
  <si>
    <t>baguswiranto@imail.com</t>
  </si>
  <si>
    <t>bambangdidimulyono@imail.com</t>
  </si>
  <si>
    <t>banighesitprasetya@imail.com</t>
  </si>
  <si>
    <t>bayubahrudin@imail.com</t>
  </si>
  <si>
    <t>bayuemansetiawan@imail.com</t>
  </si>
  <si>
    <t>beni@imail.com</t>
  </si>
  <si>
    <t>benimurgitapratama@imail.com</t>
  </si>
  <si>
    <t>bilaldwipangestu@imail.com</t>
  </si>
  <si>
    <t>bintangramadhani@imail.com</t>
  </si>
  <si>
    <t>budipriyono@imail.com</t>
  </si>
  <si>
    <t>bujanamaulanapangestu@imail.com</t>
  </si>
  <si>
    <t>cahhayuagustin@imail.com</t>
  </si>
  <si>
    <t>cahyanoffitri@imail.com</t>
  </si>
  <si>
    <t>cantikaindah@imail.com</t>
  </si>
  <si>
    <t>carolineagustina@imail.com</t>
  </si>
  <si>
    <t>caturdiftakahantoro@imail.com</t>
  </si>
  <si>
    <t>cindyapriliyana@imail.com</t>
  </si>
  <si>
    <t>cindyaulia@imail.com</t>
  </si>
  <si>
    <t>cindykhristia@imail.com</t>
  </si>
  <si>
    <t>cintiyameilina@imail.com</t>
  </si>
  <si>
    <t>citraayusaputri@imail.com</t>
  </si>
  <si>
    <t>citraayutifani@imail.com</t>
  </si>
  <si>
    <t>cucusahari@imail.com</t>
  </si>
  <si>
    <t>dafidsilva@imail.com</t>
  </si>
  <si>
    <t>dalpanakia@imail.com</t>
  </si>
  <si>
    <t>dandipujiyono@imail.com</t>
  </si>
  <si>
    <t>daryono@imail.com</t>
  </si>
  <si>
    <t>dasepadihardiyansah@imail.com</t>
  </si>
  <si>
    <t>daviderlangga@imail.com</t>
  </si>
  <si>
    <t>davithendriansyah@imail.com</t>
  </si>
  <si>
    <t>deakartikasari@imail.com</t>
  </si>
  <si>
    <t>deaputriamelia@imail.com</t>
  </si>
  <si>
    <t>dearahmadani@imail.com</t>
  </si>
  <si>
    <t>deayulia@imail.com</t>
  </si>
  <si>
    <t>deckyputraaprilliany@imail.com</t>
  </si>
  <si>
    <t>dedeandriani@imail.com</t>
  </si>
  <si>
    <t>dedeicaseftiani@imail.com</t>
  </si>
  <si>
    <t>dedemulyaningsih@imail.com</t>
  </si>
  <si>
    <t>dedijaya@imail.com</t>
  </si>
  <si>
    <t>defirestuanandari@imail.com</t>
  </si>
  <si>
    <t>delannurmala@imail.com</t>
  </si>
  <si>
    <t>delvinbagussetiawan@imail.com</t>
  </si>
  <si>
    <t>denitatrihapsari@imail.com</t>
  </si>
  <si>
    <t>deptirosintawati@imail.com</t>
  </si>
  <si>
    <t>desilistiani@imail.com</t>
  </si>
  <si>
    <t>desiratnasari@imail.com</t>
  </si>
  <si>
    <t>dessirahayu@imail.com</t>
  </si>
  <si>
    <t>destirusdiyanti@imail.com</t>
  </si>
  <si>
    <t>devasilvana@imail.com</t>
  </si>
  <si>
    <t>deviastiandika@imail.com</t>
  </si>
  <si>
    <t>devinovitasari@imail.com</t>
  </si>
  <si>
    <t>devirahmawati@imail.com</t>
  </si>
  <si>
    <t>devitanuraeni@imail.com</t>
  </si>
  <si>
    <t>dewintaumami@imail.com</t>
  </si>
  <si>
    <t>dewiqomariyah@imail.com</t>
  </si>
  <si>
    <t>dewisahara@imail.com</t>
  </si>
  <si>
    <t>dewisriyulikartini@imail.com</t>
  </si>
  <si>
    <t>dewitriasih@imail.com</t>
  </si>
  <si>
    <t>dhikanandaalfiqri@imail.com</t>
  </si>
  <si>
    <t>diahsafitri@imail.com</t>
  </si>
  <si>
    <t>dianapertiwi@imail.com</t>
  </si>
  <si>
    <t>dianayukhoirunnisa@imail.com</t>
  </si>
  <si>
    <t>dianayurizqianah@imail.com</t>
  </si>
  <si>
    <t>diandrabayuaji@imail.com</t>
  </si>
  <si>
    <t>dianelgaprastika@imail.com</t>
  </si>
  <si>
    <t>diannurardilla@imail.com</t>
  </si>
  <si>
    <t>dianprastiana@imail.com</t>
  </si>
  <si>
    <t>dickywijaya@imail.com</t>
  </si>
  <si>
    <t>didiagussetiawan@imail.com</t>
  </si>
  <si>
    <t>diditalnur@imail.com</t>
  </si>
  <si>
    <t>diinah@imail.com</t>
  </si>
  <si>
    <t>dikaaditiyani@imail.com</t>
  </si>
  <si>
    <t>dimasadityab.r@imail.com</t>
  </si>
  <si>
    <t>dimaskhoerulimam@imail.com</t>
  </si>
  <si>
    <t>dimasputrananda@imail.com</t>
  </si>
  <si>
    <t>dinaapriliani@imail.com</t>
  </si>
  <si>
    <t>dinalmustaqim@imail.com</t>
  </si>
  <si>
    <t>dinarizkiamelia@imail.com</t>
  </si>
  <si>
    <t>dinarizqiani@imail.com</t>
  </si>
  <si>
    <t>dindakristinaoktavia@imail.com</t>
  </si>
  <si>
    <t>dindapermatamariza@imail.com</t>
  </si>
  <si>
    <t>dininuranjani@imail.com</t>
  </si>
  <si>
    <t>dinnianurjanah@imail.com</t>
  </si>
  <si>
    <t>dionurois@imail.com</t>
  </si>
  <si>
    <t>ditoalifsyah@imail.com</t>
  </si>
  <si>
    <t>divaainiyyahfebriyansyah@imail.com</t>
  </si>
  <si>
    <t>divapujayanti@imail.com</t>
  </si>
  <si>
    <t>divatriherianto@imail.com</t>
  </si>
  <si>
    <t>diyahrhodhotulavivah@imail.com</t>
  </si>
  <si>
    <t>diyamahdiya@imail.com</t>
  </si>
  <si>
    <t>diyanaastuti@imail.com</t>
  </si>
  <si>
    <t>donisetiawan@imail.com</t>
  </si>
  <si>
    <t>dwiarfiansyah@imail.com</t>
  </si>
  <si>
    <t>dwiarummuyita@imail.com</t>
  </si>
  <si>
    <t>dwifebrivalentin@imail.com</t>
  </si>
  <si>
    <t>dwiferisusanto@imail.com</t>
  </si>
  <si>
    <t>dwimartiastuti@imail.com</t>
  </si>
  <si>
    <t>dwiprasetyani@imail.com</t>
  </si>
  <si>
    <t>dzakitaufiqulhakim@imail.com</t>
  </si>
  <si>
    <t>ececepianfirmansyah@imail.com</t>
  </si>
  <si>
    <t>egiardhanariswati@imail.com</t>
  </si>
  <si>
    <t>egiretnofaluqi@imail.com</t>
  </si>
  <si>
    <t>ekadwipurwanti@imail.com</t>
  </si>
  <si>
    <t>ekafitriyani@imail.com</t>
  </si>
  <si>
    <t>ekahandayono@imail.com</t>
  </si>
  <si>
    <t>ekanurmalasari@imail.com</t>
  </si>
  <si>
    <t>ekarahmatriyanto@imail.com</t>
  </si>
  <si>
    <t>ekasaputraramadhan@imail.com</t>
  </si>
  <si>
    <t>ekawidiaastuti@imail.com</t>
  </si>
  <si>
    <t>elawinarsih@imail.com</t>
  </si>
  <si>
    <t>elenamelia@imail.com</t>
  </si>
  <si>
    <t>eliyah@imail.com</t>
  </si>
  <si>
    <t>elsa@imail.com</t>
  </si>
  <si>
    <t>elvaamaliaputri@imail.com</t>
  </si>
  <si>
    <t>elzarahastri@imail.com</t>
  </si>
  <si>
    <t>endenmuhamadhilman@imail.com</t>
  </si>
  <si>
    <t>erinadwiyunisetyaningrum@imail.com</t>
  </si>
  <si>
    <t>erlanggaprimansyah@imail.com</t>
  </si>
  <si>
    <t>ernawati@imail.com</t>
  </si>
  <si>
    <t>erniati@imail.com</t>
  </si>
  <si>
    <t>ernimardian@imail.com</t>
  </si>
  <si>
    <t>ernisuherni@imail.com</t>
  </si>
  <si>
    <t>erniwulandari@imail.com</t>
  </si>
  <si>
    <t>esatiara@imail.com</t>
  </si>
  <si>
    <t>euisseptianingrum@imail.com</t>
  </si>
  <si>
    <t>evaindriyani@imail.com</t>
  </si>
  <si>
    <t>evilatifah@imail.com</t>
  </si>
  <si>
    <t>evynuraprilia@imail.com</t>
  </si>
  <si>
    <t>fadianuramalia@imail.com</t>
  </si>
  <si>
    <t>fadlihakim@imail.com</t>
  </si>
  <si>
    <t>fadlynurcholik@imail.com</t>
  </si>
  <si>
    <t>faidatunnufus@imail.com</t>
  </si>
  <si>
    <t>faisolkomarizamwn@imail.com</t>
  </si>
  <si>
    <t>faizatulhidayah@imail.com</t>
  </si>
  <si>
    <t>fajarbayuajidd@imail.com</t>
  </si>
  <si>
    <t>fajarbpratama@imail.com</t>
  </si>
  <si>
    <t>fandiakhmad@imail.com</t>
  </si>
  <si>
    <t>faradilahendrayunita@imail.com</t>
  </si>
  <si>
    <t>farizmaulana@imail.com</t>
  </si>
  <si>
    <t>fasikha@imail.com</t>
  </si>
  <si>
    <t>fasikhatun@imail.com</t>
  </si>
  <si>
    <t>fatmanurlaela@imail.com</t>
  </si>
  <si>
    <t>feliyulianti@imail.com</t>
  </si>
  <si>
    <t>fenikhoerunisa@imail.com</t>
  </si>
  <si>
    <t>feniwardatussolikha@imail.com</t>
  </si>
  <si>
    <t>ferdigustavano@imail.com</t>
  </si>
  <si>
    <t>ferdyalfianur@imail.com</t>
  </si>
  <si>
    <t>ferigunawan@imail.com</t>
  </si>
  <si>
    <t>ferririyanto@imail.com</t>
  </si>
  <si>
    <t>fikaamala@imail.com</t>
  </si>
  <si>
    <t>fikasucisanawaliyah@imail.com</t>
  </si>
  <si>
    <t>fitrantoadinugroho@imail.com</t>
  </si>
  <si>
    <t>fitrinurjanah@imail.com</t>
  </si>
  <si>
    <t>fitriyani@imail.com</t>
  </si>
  <si>
    <t>fitriyawijayanti@imail.com</t>
  </si>
  <si>
    <t>fransiscalidyaningrum@imail.com</t>
  </si>
  <si>
    <t>friskaadhela@imail.com</t>
  </si>
  <si>
    <t>friskadwinova@imail.com</t>
  </si>
  <si>
    <t>fustaatulsyaharah@imail.com</t>
  </si>
  <si>
    <t>galangdimasaditya@imail.com</t>
  </si>
  <si>
    <t>galuhfitriningrum@imail.com</t>
  </si>
  <si>
    <t>gandhissekartaji@imail.com</t>
  </si>
  <si>
    <t>gayuhrakasiwi@imail.com</t>
  </si>
  <si>
    <t>ginarosdiana@imail.com</t>
  </si>
  <si>
    <t>gitaanjani@imail.com</t>
  </si>
  <si>
    <t>gofarismail@imail.com</t>
  </si>
  <si>
    <t>gugungunawan@imail.com</t>
  </si>
  <si>
    <t>gunturekayusuf@imail.com</t>
  </si>
  <si>
    <t>gushafit@imail.com</t>
  </si>
  <si>
    <t>hadisetiadi@imail.com</t>
  </si>
  <si>
    <t>hakiki@imail.com</t>
  </si>
  <si>
    <t>hanaapriana@imail.com</t>
  </si>
  <si>
    <t>hanikaamanda@imail.com</t>
  </si>
  <si>
    <t>hasmiaripinayung@imail.com</t>
  </si>
  <si>
    <t>089881253111</t>
  </si>
  <si>
    <t>089756465603</t>
  </si>
  <si>
    <t>089756465602</t>
  </si>
  <si>
    <t>089756465601</t>
  </si>
  <si>
    <t>089756465600</t>
  </si>
  <si>
    <t>089756465599</t>
  </si>
  <si>
    <t>089756465598</t>
  </si>
  <si>
    <t>089756465597</t>
  </si>
  <si>
    <t>089756465596</t>
  </si>
  <si>
    <t>089756465595</t>
  </si>
  <si>
    <t>089756465594</t>
  </si>
  <si>
    <t>089756465593</t>
  </si>
  <si>
    <t>089756465592</t>
  </si>
  <si>
    <t>089756465591</t>
  </si>
  <si>
    <t>089756465590</t>
  </si>
  <si>
    <t>089756465589</t>
  </si>
  <si>
    <t>089756465588</t>
  </si>
  <si>
    <t>089756465587</t>
  </si>
  <si>
    <t>089756465586</t>
  </si>
  <si>
    <t>089756465585</t>
  </si>
  <si>
    <t>089756465584</t>
  </si>
  <si>
    <t>089756465583</t>
  </si>
  <si>
    <t>089756465582</t>
  </si>
  <si>
    <t>089756465581</t>
  </si>
  <si>
    <t>089756465578</t>
  </si>
  <si>
    <t>089756465566</t>
  </si>
  <si>
    <t>089756465555</t>
  </si>
  <si>
    <t>089756465544</t>
  </si>
  <si>
    <t>089756465533</t>
  </si>
  <si>
    <t>089756465522</t>
  </si>
  <si>
    <t>089756465511</t>
  </si>
  <si>
    <t>088492207411</t>
  </si>
  <si>
    <t>085018323941</t>
  </si>
  <si>
    <t>083968334433</t>
  </si>
  <si>
    <t>080361557955</t>
  </si>
  <si>
    <t>08975646562</t>
  </si>
  <si>
    <t>0898360387</t>
  </si>
  <si>
    <t>0896380633</t>
  </si>
  <si>
    <t>0893260231</t>
  </si>
  <si>
    <t>0887161188</t>
  </si>
  <si>
    <t>0887061541</t>
  </si>
  <si>
    <t>0882198863</t>
  </si>
  <si>
    <t>0881386486</t>
  </si>
  <si>
    <t>0870743713</t>
  </si>
  <si>
    <t>0868658328</t>
  </si>
  <si>
    <t>0867290995</t>
  </si>
  <si>
    <t>0866674754</t>
  </si>
  <si>
    <t>0863808382</t>
  </si>
  <si>
    <t>0862341956</t>
  </si>
  <si>
    <t>0859530072</t>
  </si>
  <si>
    <t>0854279230</t>
  </si>
  <si>
    <t>0853887755</t>
  </si>
  <si>
    <t>0853666689</t>
  </si>
  <si>
    <t>0852203466</t>
  </si>
  <si>
    <t>0851656548</t>
  </si>
  <si>
    <t>0847846979</t>
  </si>
  <si>
    <t>0847077668</t>
  </si>
  <si>
    <t>0847071151</t>
  </si>
  <si>
    <t>0846922616</t>
  </si>
  <si>
    <t>0846693458</t>
  </si>
  <si>
    <t>0844030954</t>
  </si>
  <si>
    <t>0835867825</t>
  </si>
  <si>
    <t>0832489269</t>
  </si>
  <si>
    <t>0830528658</t>
  </si>
  <si>
    <t>0828116760</t>
  </si>
  <si>
    <t>0827320628</t>
  </si>
  <si>
    <t>0820802079</t>
  </si>
  <si>
    <t>0816468879</t>
  </si>
  <si>
    <t>0814652233</t>
  </si>
  <si>
    <t>0805677688</t>
  </si>
  <si>
    <t>0803522114</t>
  </si>
  <si>
    <t>0802841033</t>
  </si>
  <si>
    <t>0801700903</t>
  </si>
  <si>
    <t>0801463985</t>
  </si>
  <si>
    <t>0801337301</t>
  </si>
  <si>
    <t>089522138302</t>
  </si>
  <si>
    <t>089475551432</t>
  </si>
  <si>
    <t>089435623256</t>
  </si>
  <si>
    <t>089407141314</t>
  </si>
  <si>
    <t>089248227605</t>
  </si>
  <si>
    <t>089133580201</t>
  </si>
  <si>
    <t>089118399473</t>
  </si>
  <si>
    <t>088983019201</t>
  </si>
  <si>
    <t>088854939439</t>
  </si>
  <si>
    <t>088822974634</t>
  </si>
  <si>
    <t>088725326276</t>
  </si>
  <si>
    <t>088617796296</t>
  </si>
  <si>
    <t>088309660217</t>
  </si>
  <si>
    <t>088301397217</t>
  </si>
  <si>
    <t>088180124354</t>
  </si>
  <si>
    <t>088161096722</t>
  </si>
  <si>
    <t>088150443784</t>
  </si>
  <si>
    <t>088141446335</t>
  </si>
  <si>
    <t>088001255488</t>
  </si>
  <si>
    <t>087996517078</t>
  </si>
  <si>
    <t>087740801043</t>
  </si>
  <si>
    <t>087602467406</t>
  </si>
  <si>
    <t>087540799368</t>
  </si>
  <si>
    <t>087480756904</t>
  </si>
  <si>
    <t>087156610419</t>
  </si>
  <si>
    <t>087146296583</t>
  </si>
  <si>
    <t>086879016495</t>
  </si>
  <si>
    <t>086867747442</t>
  </si>
  <si>
    <t>086832167419</t>
  </si>
  <si>
    <t>086694471437</t>
  </si>
  <si>
    <t>086654855544</t>
  </si>
  <si>
    <t>086593252106</t>
  </si>
  <si>
    <t>086534627973</t>
  </si>
  <si>
    <t>086528464507</t>
  </si>
  <si>
    <t>086406430813</t>
  </si>
  <si>
    <t>086383658627</t>
  </si>
  <si>
    <t>086295792466</t>
  </si>
  <si>
    <t>086285927375</t>
  </si>
  <si>
    <t>086133931004</t>
  </si>
  <si>
    <t>086082286336</t>
  </si>
  <si>
    <t>085945679125</t>
  </si>
  <si>
    <t>085938020244</t>
  </si>
  <si>
    <t>085924162695</t>
  </si>
  <si>
    <t>085757663166</t>
  </si>
  <si>
    <t>085707950094</t>
  </si>
  <si>
    <t>085692847875</t>
  </si>
  <si>
    <t>085636332286</t>
  </si>
  <si>
    <t>085509683631</t>
  </si>
  <si>
    <t>085420223778</t>
  </si>
  <si>
    <t>085385066665</t>
  </si>
  <si>
    <t>085373114400</t>
  </si>
  <si>
    <t>085022718738</t>
  </si>
  <si>
    <t>084750734962</t>
  </si>
  <si>
    <t>084749585555</t>
  </si>
  <si>
    <t>084456850575</t>
  </si>
  <si>
    <t>084437059001</t>
  </si>
  <si>
    <t>084236884910</t>
  </si>
  <si>
    <t>084231604196</t>
  </si>
  <si>
    <t>084094513587</t>
  </si>
  <si>
    <t>084079953414</t>
  </si>
  <si>
    <t>084071023431</t>
  </si>
  <si>
    <t>084063322044</t>
  </si>
  <si>
    <t>083978501096</t>
  </si>
  <si>
    <t>083799361690</t>
  </si>
  <si>
    <t>083668972205</t>
  </si>
  <si>
    <t>083475679832</t>
  </si>
  <si>
    <t>083365586091</t>
  </si>
  <si>
    <t>083317041046</t>
  </si>
  <si>
    <t>083254998230</t>
  </si>
  <si>
    <t>083114791904</t>
  </si>
  <si>
    <t>083053952508</t>
  </si>
  <si>
    <t>082972304350</t>
  </si>
  <si>
    <t>082778782829</t>
  </si>
  <si>
    <t>082750533312</t>
  </si>
  <si>
    <t>082662492697</t>
  </si>
  <si>
    <t>082321084375</t>
  </si>
  <si>
    <t>082274534759</t>
  </si>
  <si>
    <t>082243536884</t>
  </si>
  <si>
    <t>082196413954</t>
  </si>
  <si>
    <t>082102612193</t>
  </si>
  <si>
    <t>081984769125</t>
  </si>
  <si>
    <t>081941365199</t>
  </si>
  <si>
    <t>081933541228</t>
  </si>
  <si>
    <t>081740583714</t>
  </si>
  <si>
    <t>081679253988</t>
  </si>
  <si>
    <t>081530529908</t>
  </si>
  <si>
    <t>081485690745</t>
  </si>
  <si>
    <t>081450363687</t>
  </si>
  <si>
    <t>081427575438</t>
  </si>
  <si>
    <t>081281889962</t>
  </si>
  <si>
    <t>081036752167</t>
  </si>
  <si>
    <t>080761136691</t>
  </si>
  <si>
    <t>080650130549</t>
  </si>
  <si>
    <t>080574143487</t>
  </si>
  <si>
    <t>080493094292</t>
  </si>
  <si>
    <t>080379359649</t>
  </si>
  <si>
    <t>080346583259</t>
  </si>
  <si>
    <t>080278355709</t>
  </si>
  <si>
    <t>080182924127</t>
  </si>
  <si>
    <t>080155839865</t>
  </si>
  <si>
    <t>080126343551</t>
  </si>
  <si>
    <t>080104259563</t>
  </si>
  <si>
    <t>080038064378</t>
  </si>
  <si>
    <t>080005924241</t>
  </si>
  <si>
    <t>Issue Found</t>
  </si>
  <si>
    <t>README</t>
  </si>
  <si>
    <t>Working Copy &amp; Validation Check</t>
  </si>
  <si>
    <t>Clean Data</t>
  </si>
  <si>
    <t>Data Quality Report</t>
  </si>
  <si>
    <t>Data Dictionary</t>
  </si>
  <si>
    <t>Data Cleaning Guide</t>
  </si>
  <si>
    <t>1. Full Name and Gender</t>
  </si>
  <si>
    <t>2. Date of Birth (DOB) and Join Date</t>
  </si>
  <si>
    <t>Convert the text to a valid Excel date by following these steps:</t>
  </si>
  <si>
    <t>To display the date in the required format:</t>
  </si>
  <si>
    <t>3. Department</t>
  </si>
  <si>
    <t>Apply a filter to identify incorrect department names.</t>
  </si>
  <si>
    <t>Correct any misspelled department names.</t>
  </si>
  <si>
    <t>4. Position</t>
  </si>
  <si>
    <t>Example:</t>
  </si>
  <si>
    <t>5. Status</t>
  </si>
  <si>
    <t>6. Email</t>
  </si>
  <si>
    <t>7. Phone Number</t>
  </si>
  <si>
    <t>Apply a filter to identify invalid phone numbers.</t>
  </si>
  <si>
    <t>If a phone number is missing the leading zero, use the following formula:</t>
  </si>
  <si>
    <t>=SUBSTITUTE(PROPER(A2),"Hr ","HR ")</t>
  </si>
  <si>
    <t>="0"&amp;A2</t>
  </si>
  <si>
    <t xml:space="preserve">Data field </t>
  </si>
  <si>
    <t>Cleaning Procedure</t>
  </si>
  <si>
    <t>This guide describes the data cleaning procedures used to standardize and improve the quality of the Employee Master dataset.</t>
  </si>
  <si>
    <r>
      <t xml:space="preserve">Use the </t>
    </r>
    <r>
      <rPr>
        <b/>
        <sz val="11"/>
        <color theme="1"/>
        <rFont val="Times New Roman"/>
        <family val="1"/>
      </rPr>
      <t>PROPER</t>
    </r>
    <r>
      <rPr>
        <sz val="11"/>
        <color theme="1"/>
        <rFont val="Times New Roman"/>
        <family val="1"/>
      </rPr>
      <t xml:space="preserve"> function to convert all text into Proper Case.</t>
    </r>
  </si>
  <si>
    <r>
      <t xml:space="preserve">Go to </t>
    </r>
    <r>
      <rPr>
        <b/>
        <sz val="11"/>
        <color theme="1"/>
        <rFont val="Times New Roman"/>
        <family val="1"/>
      </rPr>
      <t>Data</t>
    </r>
    <r>
      <rPr>
        <sz val="11"/>
        <color theme="1"/>
        <rFont val="Times New Roman"/>
        <family val="1"/>
      </rPr>
      <t xml:space="preserve"> → </t>
    </r>
    <r>
      <rPr>
        <b/>
        <sz val="11"/>
        <color theme="1"/>
        <rFont val="Times New Roman"/>
        <family val="1"/>
      </rPr>
      <t>Text to Columns</t>
    </r>
    <r>
      <rPr>
        <sz val="11"/>
        <color theme="1"/>
        <rFont val="Times New Roman"/>
        <family val="1"/>
      </rPr>
      <t>.</t>
    </r>
  </si>
  <si>
    <r>
      <t xml:space="preserve">Select </t>
    </r>
    <r>
      <rPr>
        <b/>
        <sz val="11"/>
        <color theme="1"/>
        <rFont val="Times New Roman"/>
        <family val="1"/>
      </rPr>
      <t>Delimited</t>
    </r>
    <r>
      <rPr>
        <sz val="11"/>
        <color theme="1"/>
        <rFont val="Times New Roman"/>
        <family val="1"/>
      </rPr>
      <t xml:space="preserve"> → </t>
    </r>
    <r>
      <rPr>
        <b/>
        <sz val="11"/>
        <color theme="1"/>
        <rFont val="Times New Roman"/>
        <family val="1"/>
      </rPr>
      <t>Next</t>
    </r>
    <r>
      <rPr>
        <sz val="11"/>
        <color theme="1"/>
        <rFont val="Times New Roman"/>
        <family val="1"/>
      </rPr>
      <t>.</t>
    </r>
  </si>
  <si>
    <r>
      <t xml:space="preserve">Leave all delimiters unchecked, then click </t>
    </r>
    <r>
      <rPr>
        <b/>
        <sz val="11"/>
        <color theme="1"/>
        <rFont val="Times New Roman"/>
        <family val="1"/>
      </rPr>
      <t>Next</t>
    </r>
    <r>
      <rPr>
        <sz val="11"/>
        <color theme="1"/>
        <rFont val="Times New Roman"/>
        <family val="1"/>
      </rPr>
      <t>.</t>
    </r>
  </si>
  <si>
    <r>
      <t xml:space="preserve">Under </t>
    </r>
    <r>
      <rPr>
        <b/>
        <sz val="11"/>
        <color theme="1"/>
        <rFont val="Times New Roman"/>
        <family val="1"/>
      </rPr>
      <t>Column Data Format</t>
    </r>
    <r>
      <rPr>
        <sz val="11"/>
        <color theme="1"/>
        <rFont val="Times New Roman"/>
        <family val="1"/>
      </rPr>
      <t xml:space="preserve">, select </t>
    </r>
    <r>
      <rPr>
        <b/>
        <sz val="11"/>
        <color theme="1"/>
        <rFont val="Times New Roman"/>
        <family val="1"/>
      </rPr>
      <t>Date (YMD)</t>
    </r>
    <r>
      <rPr>
        <sz val="11"/>
        <color theme="1"/>
        <rFont val="Times New Roman"/>
        <family val="1"/>
      </rPr>
      <t>.</t>
    </r>
  </si>
  <si>
    <r>
      <t xml:space="preserve">Click </t>
    </r>
    <r>
      <rPr>
        <b/>
        <sz val="11"/>
        <color theme="1"/>
        <rFont val="Times New Roman"/>
        <family val="1"/>
      </rPr>
      <t>Finish</t>
    </r>
    <r>
      <rPr>
        <sz val="11"/>
        <color theme="1"/>
        <rFont val="Times New Roman"/>
        <family val="1"/>
      </rPr>
      <t>.</t>
    </r>
  </si>
  <si>
    <r>
      <t xml:space="preserve">Go to </t>
    </r>
    <r>
      <rPr>
        <b/>
        <sz val="11"/>
        <color theme="1"/>
        <rFont val="Times New Roman"/>
        <family val="1"/>
      </rPr>
      <t>Home</t>
    </r>
    <r>
      <rPr>
        <sz val="11"/>
        <color theme="1"/>
        <rFont val="Times New Roman"/>
        <family val="1"/>
      </rPr>
      <t xml:space="preserve"> → </t>
    </r>
    <r>
      <rPr>
        <b/>
        <sz val="11"/>
        <color theme="1"/>
        <rFont val="Times New Roman"/>
        <family val="1"/>
      </rPr>
      <t>Number Format</t>
    </r>
    <r>
      <rPr>
        <sz val="11"/>
        <color theme="1"/>
        <rFont val="Times New Roman"/>
        <family val="1"/>
      </rPr>
      <t xml:space="preserve"> → </t>
    </r>
    <r>
      <rPr>
        <b/>
        <sz val="11"/>
        <color theme="1"/>
        <rFont val="Times New Roman"/>
        <family val="1"/>
      </rPr>
      <t>Custom</t>
    </r>
    <r>
      <rPr>
        <sz val="11"/>
        <color theme="1"/>
        <rFont val="Times New Roman"/>
        <family val="1"/>
      </rPr>
      <t>.</t>
    </r>
  </si>
  <si>
    <r>
      <t xml:space="preserve">Enter </t>
    </r>
    <r>
      <rPr>
        <b/>
        <sz val="11"/>
        <color theme="1"/>
        <rFont val="Times New Roman"/>
        <family val="1"/>
      </rPr>
      <t>DD-MM-YYYY</t>
    </r>
    <r>
      <rPr>
        <sz val="11"/>
        <color theme="1"/>
        <rFont val="Times New Roman"/>
        <family val="1"/>
      </rPr>
      <t xml:space="preserve">, then click </t>
    </r>
    <r>
      <rPr>
        <b/>
        <sz val="11"/>
        <color theme="1"/>
        <rFont val="Times New Roman"/>
        <family val="1"/>
      </rPr>
      <t>OK</t>
    </r>
    <r>
      <rPr>
        <sz val="11"/>
        <color theme="1"/>
        <rFont val="Times New Roman"/>
        <family val="1"/>
      </rPr>
      <t>.</t>
    </r>
  </si>
  <si>
    <r>
      <t xml:space="preserve">Use the </t>
    </r>
    <r>
      <rPr>
        <b/>
        <sz val="11"/>
        <color theme="1"/>
        <rFont val="Times New Roman"/>
        <family val="1"/>
      </rPr>
      <t>PROPER</t>
    </r>
    <r>
      <rPr>
        <sz val="11"/>
        <color theme="1"/>
        <rFont val="Times New Roman"/>
        <family val="1"/>
      </rPr>
      <t xml:space="preserve"> function to standardize the text.</t>
    </r>
  </si>
  <si>
    <r>
      <t xml:space="preserve">For abbreviations such as </t>
    </r>
    <r>
      <rPr>
        <b/>
        <sz val="11"/>
        <color theme="1"/>
        <rFont val="Times New Roman"/>
        <family val="1"/>
      </rPr>
      <t>HR</t>
    </r>
    <r>
      <rPr>
        <sz val="11"/>
        <color theme="1"/>
        <rFont val="Times New Roman"/>
        <family val="1"/>
      </rPr>
      <t xml:space="preserve">, </t>
    </r>
    <r>
      <rPr>
        <b/>
        <sz val="11"/>
        <color theme="1"/>
        <rFont val="Times New Roman"/>
        <family val="1"/>
      </rPr>
      <t>IT</t>
    </r>
    <r>
      <rPr>
        <sz val="11"/>
        <color theme="1"/>
        <rFont val="Times New Roman"/>
        <family val="1"/>
      </rPr>
      <t xml:space="preserve">, and </t>
    </r>
    <r>
      <rPr>
        <b/>
        <sz val="11"/>
        <color theme="1"/>
        <rFont val="Times New Roman"/>
        <family val="1"/>
      </rPr>
      <t>QC</t>
    </r>
    <r>
      <rPr>
        <sz val="11"/>
        <color theme="1"/>
        <rFont val="Times New Roman"/>
        <family val="1"/>
      </rPr>
      <t xml:space="preserve">, use the </t>
    </r>
    <r>
      <rPr>
        <b/>
        <sz val="11"/>
        <color theme="1"/>
        <rFont val="Times New Roman"/>
        <family val="1"/>
      </rPr>
      <t>UPPER</t>
    </r>
    <r>
      <rPr>
        <sz val="11"/>
        <color theme="1"/>
        <rFont val="Times New Roman"/>
        <family val="1"/>
      </rPr>
      <t xml:space="preserve"> function.</t>
    </r>
  </si>
  <si>
    <r>
      <t xml:space="preserve">Use the </t>
    </r>
    <r>
      <rPr>
        <b/>
        <sz val="11"/>
        <color theme="1"/>
        <rFont val="Times New Roman"/>
        <family val="1"/>
      </rPr>
      <t>Find and Replace</t>
    </r>
    <r>
      <rPr>
        <sz val="11"/>
        <color theme="1"/>
        <rFont val="Times New Roman"/>
        <family val="1"/>
      </rPr>
      <t xml:space="preserve"> tool to correct misspelled position names.</t>
    </r>
  </si>
  <si>
    <r>
      <t>Find what:</t>
    </r>
    <r>
      <rPr>
        <sz val="11"/>
        <color theme="1"/>
        <rFont val="Times New Roman"/>
        <family val="1"/>
      </rPr>
      <t xml:space="preserve"> Enter the incorrect text.</t>
    </r>
  </si>
  <si>
    <r>
      <t>Replace with:</t>
    </r>
    <r>
      <rPr>
        <sz val="11"/>
        <color theme="1"/>
        <rFont val="Times New Roman"/>
        <family val="1"/>
      </rPr>
      <t xml:space="preserve"> Enter the correct text.</t>
    </r>
  </si>
  <si>
    <r>
      <t xml:space="preserve">Alternatively, use the </t>
    </r>
    <r>
      <rPr>
        <b/>
        <sz val="11"/>
        <color theme="1"/>
        <rFont val="Times New Roman"/>
        <family val="1"/>
      </rPr>
      <t>PROPER</t>
    </r>
    <r>
      <rPr>
        <sz val="11"/>
        <color theme="1"/>
        <rFont val="Times New Roman"/>
        <family val="1"/>
      </rPr>
      <t xml:space="preserve"> function together with </t>
    </r>
    <r>
      <rPr>
        <b/>
        <sz val="11"/>
        <color theme="1"/>
        <rFont val="Times New Roman"/>
        <family val="1"/>
      </rPr>
      <t>SUBSTITUTE</t>
    </r>
    <r>
      <rPr>
        <sz val="11"/>
        <color theme="1"/>
        <rFont val="Times New Roman"/>
        <family val="1"/>
      </rPr>
      <t xml:space="preserve"> to preserve abbreviations.</t>
    </r>
  </si>
  <si>
    <r>
      <t xml:space="preserve">This example is specifically for the abbreviation </t>
    </r>
    <r>
      <rPr>
        <b/>
        <sz val="11"/>
        <color theme="1"/>
        <rFont val="Times New Roman"/>
        <family val="1"/>
      </rPr>
      <t>HR</t>
    </r>
    <r>
      <rPr>
        <sz val="11"/>
        <color theme="1"/>
        <rFont val="Times New Roman"/>
        <family val="1"/>
      </rPr>
      <t>.</t>
    </r>
  </si>
  <si>
    <r>
      <t xml:space="preserve">Use the </t>
    </r>
    <r>
      <rPr>
        <b/>
        <sz val="11"/>
        <color theme="1"/>
        <rFont val="Times New Roman"/>
        <family val="1"/>
      </rPr>
      <t>PROPER</t>
    </r>
    <r>
      <rPr>
        <sz val="11"/>
        <color theme="1"/>
        <rFont val="Times New Roman"/>
        <family val="1"/>
      </rPr>
      <t xml:space="preserve"> function to standardize all status values.</t>
    </r>
  </si>
  <si>
    <r>
      <t xml:space="preserve">Use the </t>
    </r>
    <r>
      <rPr>
        <b/>
        <sz val="11"/>
        <color theme="1"/>
        <rFont val="Times New Roman"/>
        <family val="1"/>
      </rPr>
      <t>Find and Replace</t>
    </r>
    <r>
      <rPr>
        <sz val="11"/>
        <color theme="1"/>
        <rFont val="Times New Roman"/>
        <family val="1"/>
      </rPr>
      <t xml:space="preserve"> tool to correct invalid email domains.</t>
    </r>
  </si>
  <si>
    <r>
      <t xml:space="preserve">Replace </t>
    </r>
    <r>
      <rPr>
        <b/>
        <sz val="11"/>
        <color theme="1"/>
        <rFont val="Times New Roman"/>
        <family val="1"/>
      </rPr>
      <t>A2</t>
    </r>
    <r>
      <rPr>
        <sz val="11"/>
        <color theme="1"/>
        <rFont val="Times New Roman"/>
        <family val="1"/>
      </rPr>
      <t xml:space="preserve"> with the appropriate cell reference.</t>
    </r>
  </si>
  <si>
    <r>
      <t>Find what:</t>
    </r>
    <r>
      <rPr>
        <sz val="11"/>
        <color theme="1"/>
        <rFont val="Times New Roman"/>
        <family val="1"/>
      </rPr>
      <t xml:space="preserve"> @imail.com</t>
    </r>
  </si>
  <si>
    <r>
      <t>Replace with:</t>
    </r>
    <r>
      <rPr>
        <sz val="11"/>
        <color theme="1"/>
        <rFont val="Times New Roman"/>
        <family val="1"/>
      </rPr>
      <t xml:space="preserve"> @email.com</t>
    </r>
  </si>
  <si>
    <t>Project Title</t>
  </si>
  <si>
    <t>Employee Master Data Cleaning and Validation Project</t>
  </si>
  <si>
    <t>Project Overview</t>
  </si>
  <si>
    <t>This project demonstrates the process of cleaning, validating, and standardizing an employee master dataset using Microsoft Excel. The goal is to improve data quality and prepare the dataset for reporting and analysis.</t>
  </si>
  <si>
    <t>Dataset Information</t>
  </si>
  <si>
    <t>Item</t>
  </si>
  <si>
    <t>Description</t>
  </si>
  <si>
    <t>Dataset</t>
  </si>
  <si>
    <t>Employee Master Data</t>
  </si>
  <si>
    <t>Total Records</t>
  </si>
  <si>
    <t>Total Fields</t>
  </si>
  <si>
    <t>Software</t>
  </si>
  <si>
    <t>Microsoft Excel</t>
  </si>
  <si>
    <t>Data Validation Performed</t>
  </si>
  <si>
    <t>Employee ID uniqueness check</t>
  </si>
  <si>
    <t>Full Name formatting</t>
  </si>
  <si>
    <t>Gender validation</t>
  </si>
  <si>
    <t>Date of Birth validation</t>
  </si>
  <si>
    <t>Join Date validation</t>
  </si>
  <si>
    <t>Department validation</t>
  </si>
  <si>
    <t>Position validation</t>
  </si>
  <si>
    <t>Employment Status validation</t>
  </si>
  <si>
    <t>Email validation</t>
  </si>
  <si>
    <t>Phone Number validation</t>
  </si>
  <si>
    <t>Excel Functions Used</t>
  </si>
  <si>
    <t>IF</t>
  </si>
  <si>
    <t>COUNTIF</t>
  </si>
  <si>
    <t>EXACT</t>
  </si>
  <si>
    <t>PROPER</t>
  </si>
  <si>
    <t>TRIM</t>
  </si>
  <si>
    <t>SUBSTITUTE</t>
  </si>
  <si>
    <t>LEFT</t>
  </si>
  <si>
    <t>RIGHT</t>
  </si>
  <si>
    <t>ISNUMBER</t>
  </si>
  <si>
    <t>UPPER</t>
  </si>
  <si>
    <t>Project Workflow</t>
  </si>
  <si>
    <t>1. Import the raw dataset.</t>
  </si>
  <si>
    <t>2. Validate data quality.</t>
  </si>
  <si>
    <t>3. Identify data issues.</t>
  </si>
  <si>
    <t>4. Clean and standardize the data.</t>
  </si>
  <si>
    <t>5. Generate a Data Quality Report.</t>
  </si>
  <si>
    <t>6. Create the final clean dataset.</t>
  </si>
  <si>
    <t>Workbook Structure</t>
  </si>
  <si>
    <t>Sheet Name</t>
  </si>
  <si>
    <t>Project overview and documentation</t>
  </si>
  <si>
    <t>Original dataset</t>
  </si>
  <si>
    <t>Data validation process</t>
  </si>
  <si>
    <t>Final cleaned dataset</t>
  </si>
  <si>
    <t>Summary of validation results</t>
  </si>
  <si>
    <t>Data cleaning procedures</t>
  </si>
  <si>
    <t>Description of each field</t>
  </si>
  <si>
    <t>Project Outcome</t>
  </si>
  <si>
    <t>Successfully cleaned and standardized 1,000 employee records.</t>
  </si>
  <si>
    <t>Corrected formatting inconsistencies.</t>
  </si>
  <si>
    <t>Standardized department, position, and status values.</t>
  </si>
  <si>
    <t>Validated email addresses, phone numbers, and date fields.</t>
  </si>
  <si>
    <t>Produced a clean dataset ready for reporting and analysis.</t>
  </si>
  <si>
    <t>PivotTable</t>
  </si>
  <si>
    <t xml:space="preserve">FILTER </t>
  </si>
  <si>
    <t xml:space="preserve">FIND &amp; REPLACE </t>
  </si>
  <si>
    <t xml:space="preserve">VLOOKUP </t>
  </si>
  <si>
    <t>Employee Raw</t>
  </si>
  <si>
    <t>Objective</t>
  </si>
  <si>
    <t>To demonstrate practical Excel skills in data cleaning, validation, and documentation by transforming a raw employee dataset into a standardized, high-quality dataset ready for business use.</t>
  </si>
  <si>
    <t>Column Name</t>
  </si>
  <si>
    <t>Data Type</t>
  </si>
  <si>
    <t>Example</t>
  </si>
  <si>
    <t>Text</t>
  </si>
  <si>
    <t>Unique identifier assigned to each employee.</t>
  </si>
  <si>
    <t>Employee's full name.</t>
  </si>
  <si>
    <t>John Smith</t>
  </si>
  <si>
    <t>Employee's gender.</t>
  </si>
  <si>
    <t>Date</t>
  </si>
  <si>
    <t>Employee's date of birth.</t>
  </si>
  <si>
    <t>15-08-1995</t>
  </si>
  <si>
    <t>Employee's employment start date.</t>
  </si>
  <si>
    <t>01-02-2024</t>
  </si>
  <si>
    <t>Employee's department.</t>
  </si>
  <si>
    <t>Employee's job title.</t>
  </si>
  <si>
    <t>Employee's employment status.</t>
  </si>
  <si>
    <t>Employee's email address.</t>
  </si>
  <si>
    <t>john@email.com</t>
  </si>
  <si>
    <t>Phone Number</t>
  </si>
  <si>
    <t>Employee's contact number.</t>
  </si>
  <si>
    <t>Title</t>
  </si>
  <si>
    <t>This document describes the structure, data types, and definitions of each column in the Employee Master dataset.</t>
  </si>
  <si>
    <t>081234567890</t>
  </si>
  <si>
    <t>Count of Department</t>
  </si>
  <si>
    <t>Count of Position</t>
  </si>
  <si>
    <t>Count of Status</t>
  </si>
  <si>
    <t>Count of Gender</t>
  </si>
  <si>
    <t>Total Departments</t>
  </si>
  <si>
    <t>Total Positions</t>
  </si>
  <si>
    <t>Total Employees</t>
  </si>
  <si>
    <t>Employee Master Dashboard</t>
  </si>
  <si>
    <t xml:space="preserve">Excel Function Used </t>
  </si>
  <si>
    <t>Skills Demonstrated</t>
  </si>
  <si>
    <t>Data Cleaning</t>
  </si>
  <si>
    <t>Data Validation</t>
  </si>
  <si>
    <t>Data Quality Assessment</t>
  </si>
  <si>
    <t>Data Documentation</t>
  </si>
  <si>
    <t>Pivot Table</t>
  </si>
  <si>
    <t>Dashboard Design</t>
  </si>
  <si>
    <t>2025-11-03</t>
  </si>
  <si>
    <t>2025-12-01</t>
  </si>
  <si>
    <t>2026-01-05</t>
  </si>
  <si>
    <t>2026-02-02</t>
  </si>
  <si>
    <t>2026-03-02</t>
  </si>
  <si>
    <t>2026-04-06</t>
  </si>
  <si>
    <t>2026-05-05</t>
  </si>
</sst>
</file>

<file path=xl/styles.xml><?xml version="1.0" encoding="utf-8"?>
<styleSheet xmlns="http://schemas.openxmlformats.org/spreadsheetml/2006/main">
  <numFmts count="1">
    <numFmt numFmtId="164" formatCode="dd\-mm\-yyyy"/>
  </numFmts>
  <fonts count="15">
    <font>
      <sz val="11"/>
      <color theme="1"/>
      <name val="Calibri"/>
      <family val="2"/>
      <scheme val="minor"/>
    </font>
    <font>
      <b/>
      <sz val="12"/>
      <color theme="1"/>
      <name val="Times New Roman"/>
      <family val="1"/>
    </font>
    <font>
      <sz val="12"/>
      <color theme="1"/>
      <name val="Times New Roman"/>
      <family val="1"/>
    </font>
    <font>
      <u/>
      <sz val="11"/>
      <color theme="10"/>
      <name val="Calibri"/>
      <family val="2"/>
    </font>
    <font>
      <b/>
      <sz val="11"/>
      <color theme="1"/>
      <name val="Calibri"/>
      <family val="2"/>
      <scheme val="minor"/>
    </font>
    <font>
      <sz val="11"/>
      <color theme="1"/>
      <name val="Times New Roman"/>
      <family val="1"/>
    </font>
    <font>
      <u/>
      <sz val="11"/>
      <color theme="10"/>
      <name val="Times New Roman"/>
      <family val="1"/>
    </font>
    <font>
      <b/>
      <sz val="11"/>
      <color theme="1"/>
      <name val="Times New Roman"/>
      <family val="1"/>
    </font>
    <font>
      <b/>
      <sz val="14"/>
      <color theme="1"/>
      <name val="Times New Roman"/>
      <family val="1"/>
    </font>
    <font>
      <b/>
      <sz val="14.4"/>
      <color rgb="FF000000"/>
      <name val="Times New Roman"/>
      <family val="1"/>
    </font>
    <font>
      <b/>
      <sz val="20"/>
      <color theme="1"/>
      <name val="Times New Roman"/>
      <family val="1"/>
    </font>
    <font>
      <b/>
      <sz val="15"/>
      <color theme="1"/>
      <name val="Times New Roman"/>
      <family val="1"/>
    </font>
    <font>
      <sz val="15"/>
      <color theme="1"/>
      <name val="Times New Roman"/>
      <family val="1"/>
    </font>
    <font>
      <sz val="18"/>
      <color theme="1"/>
      <name val="Times New Roman"/>
      <family val="1"/>
    </font>
    <font>
      <b/>
      <sz val="18"/>
      <color theme="1"/>
      <name val="Times New Roman"/>
      <family val="1"/>
    </font>
  </fonts>
  <fills count="6">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3" tint="0.59999389629810485"/>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05">
    <xf numFmtId="0" fontId="0" fillId="0" borderId="0" xfId="0"/>
    <xf numFmtId="0" fontId="2" fillId="0" borderId="0" xfId="0" applyFont="1"/>
    <xf numFmtId="0" fontId="2" fillId="0" borderId="0" xfId="0" applyFont="1" applyAlignment="1"/>
    <xf numFmtId="0" fontId="0" fillId="0" borderId="0" xfId="0" quotePrefix="1"/>
    <xf numFmtId="0" fontId="0" fillId="0" borderId="0" xfId="0" applyNumberFormat="1"/>
    <xf numFmtId="0" fontId="0" fillId="0" borderId="1" xfId="0" applyBorder="1"/>
    <xf numFmtId="0" fontId="0" fillId="2" borderId="1" xfId="0" applyFill="1" applyBorder="1"/>
    <xf numFmtId="0" fontId="0" fillId="2" borderId="1" xfId="0" applyNumberFormat="1" applyFill="1" applyBorder="1"/>
    <xf numFmtId="0" fontId="2" fillId="0" borderId="1" xfId="0" applyFont="1" applyBorder="1" applyAlignment="1">
      <alignment horizontal="center" vertical="center"/>
    </xf>
    <xf numFmtId="0"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2" fillId="0" borderId="1" xfId="0" applyNumberFormat="1" applyFont="1" applyBorder="1" applyAlignment="1">
      <alignment horizontal="center" vertical="center"/>
    </xf>
    <xf numFmtId="0" fontId="3" fillId="0" borderId="1" xfId="1" applyBorder="1" applyAlignment="1" applyProtection="1"/>
    <xf numFmtId="0" fontId="2" fillId="0" borderId="1" xfId="0" applyFont="1" applyBorder="1" applyAlignment="1"/>
    <xf numFmtId="0" fontId="2" fillId="0" borderId="1" xfId="0" quotePrefix="1" applyFont="1" applyBorder="1" applyAlignment="1"/>
    <xf numFmtId="0" fontId="0" fillId="0" borderId="0" xfId="0" applyAlignment="1">
      <alignment horizontal="left"/>
    </xf>
    <xf numFmtId="0" fontId="2" fillId="0" borderId="0" xfId="0" applyFont="1" applyBorder="1" applyAlignment="1"/>
    <xf numFmtId="0" fontId="2" fillId="0" borderId="0" xfId="0" applyFont="1" applyBorder="1" applyAlignment="1">
      <alignment horizontal="center"/>
    </xf>
    <xf numFmtId="0" fontId="2" fillId="0" borderId="0" xfId="0" applyFont="1" applyBorder="1" applyAlignment="1">
      <alignment horizontal="center" vertical="center"/>
    </xf>
    <xf numFmtId="0" fontId="2"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Fill="1" applyBorder="1"/>
    <xf numFmtId="49" fontId="0" fillId="0" borderId="1" xfId="0" applyNumberFormat="1" applyBorder="1"/>
    <xf numFmtId="0" fontId="2" fillId="0" borderId="0" xfId="0" applyFont="1" applyAlignment="1">
      <alignment horizontal="center"/>
    </xf>
    <xf numFmtId="0" fontId="2" fillId="0" borderId="0" xfId="0" applyFont="1" applyAlignment="1">
      <alignment horizontal="center" vertical="center"/>
    </xf>
    <xf numFmtId="0" fontId="2" fillId="0" borderId="1" xfId="0" quotePrefix="1" applyFont="1" applyBorder="1"/>
    <xf numFmtId="0" fontId="5" fillId="0" borderId="1" xfId="0" applyFont="1" applyBorder="1" applyAlignment="1">
      <alignment horizontal="center" vertical="center"/>
    </xf>
    <xf numFmtId="0" fontId="5" fillId="0" borderId="1" xfId="0" applyFont="1" applyBorder="1"/>
    <xf numFmtId="49" fontId="5" fillId="0" borderId="1" xfId="0" applyNumberFormat="1" applyFont="1" applyBorder="1"/>
    <xf numFmtId="0" fontId="5" fillId="0" borderId="1" xfId="0" applyFont="1" applyFill="1" applyBorder="1"/>
    <xf numFmtId="0" fontId="6" fillId="0" borderId="1" xfId="1" applyFont="1" applyBorder="1" applyAlignment="1" applyProtection="1"/>
    <xf numFmtId="164" fontId="5" fillId="0" borderId="1" xfId="0" applyNumberFormat="1" applyFont="1" applyBorder="1"/>
    <xf numFmtId="0" fontId="5" fillId="0" borderId="0" xfId="0" applyFont="1" applyFill="1" applyBorder="1"/>
    <xf numFmtId="0" fontId="2" fillId="0" borderId="1" xfId="0" applyFont="1" applyBorder="1" applyAlignment="1">
      <alignment vertical="center" wrapText="1"/>
    </xf>
    <xf numFmtId="0" fontId="2" fillId="0" borderId="1" xfId="0" applyFont="1" applyBorder="1" applyAlignment="1">
      <alignment vertical="center"/>
    </xf>
    <xf numFmtId="0" fontId="4" fillId="0" borderId="0" xfId="0" applyFont="1" applyAlignment="1">
      <alignment horizontal="center" vertical="center"/>
    </xf>
    <xf numFmtId="0" fontId="5" fillId="0" borderId="0" xfId="0" applyFont="1" applyAlignment="1">
      <alignment wrapText="1"/>
    </xf>
    <xf numFmtId="0" fontId="5" fillId="0" borderId="0" xfId="0" applyFont="1"/>
    <xf numFmtId="0" fontId="7" fillId="0" borderId="0" xfId="0" applyFont="1"/>
    <xf numFmtId="0" fontId="5" fillId="0" borderId="0" xfId="0" applyFont="1" applyAlignment="1">
      <alignment horizontal="left"/>
    </xf>
    <xf numFmtId="0" fontId="7"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applyAlignment="1">
      <alignment horizontal="left" wrapText="1"/>
    </xf>
    <xf numFmtId="0" fontId="5" fillId="0" borderId="1" xfId="0" applyFont="1" applyBorder="1" applyAlignment="1">
      <alignment horizontal="left" vertical="center" wrapText="1"/>
    </xf>
    <xf numFmtId="0" fontId="7" fillId="0" borderId="1" xfId="0" applyFont="1" applyBorder="1" applyAlignment="1">
      <alignment horizontal="left" wrapText="1"/>
    </xf>
    <xf numFmtId="0" fontId="5" fillId="0" borderId="1" xfId="0" quotePrefix="1" applyFont="1" applyBorder="1" applyAlignment="1">
      <alignment wrapText="1"/>
    </xf>
    <xf numFmtId="0" fontId="7" fillId="0" borderId="1" xfId="0" applyFont="1" applyBorder="1" applyAlignment="1">
      <alignment horizontal="center"/>
    </xf>
    <xf numFmtId="0" fontId="5" fillId="0" borderId="0" xfId="0" applyFont="1" applyBorder="1" applyAlignment="1">
      <alignment horizontal="left"/>
    </xf>
    <xf numFmtId="0" fontId="6" fillId="0" borderId="0" xfId="1" applyFont="1" applyAlignment="1" applyProtection="1">
      <alignment horizontal="left"/>
    </xf>
    <xf numFmtId="0" fontId="5" fillId="0" borderId="0" xfId="0" applyFont="1" applyBorder="1" applyAlignment="1">
      <alignment horizontal="left" vertical="center"/>
    </xf>
    <xf numFmtId="0" fontId="5" fillId="0" borderId="0" xfId="0" applyFont="1" applyAlignment="1">
      <alignment horizontal="left" vertical="center"/>
    </xf>
    <xf numFmtId="0" fontId="7" fillId="0" borderId="1" xfId="0" applyFont="1" applyBorder="1" applyAlignment="1">
      <alignment vertical="center" wrapText="1"/>
    </xf>
    <xf numFmtId="0" fontId="5" fillId="0" borderId="1" xfId="0" applyFont="1" applyBorder="1" applyAlignment="1">
      <alignment vertical="center" wrapText="1"/>
    </xf>
    <xf numFmtId="0" fontId="5" fillId="0" borderId="1" xfId="0" quotePrefix="1" applyFont="1" applyBorder="1" applyAlignment="1">
      <alignment vertical="center" wrapText="1"/>
    </xf>
    <xf numFmtId="0" fontId="2" fillId="0" borderId="0" xfId="0" applyFont="1" applyAlignment="1">
      <alignment wrapText="1"/>
    </xf>
    <xf numFmtId="0" fontId="9" fillId="0" borderId="0" xfId="0" applyFont="1" applyAlignment="1">
      <alignment horizontal="center" readingOrder="1"/>
    </xf>
    <xf numFmtId="0" fontId="2" fillId="0" borderId="0" xfId="0" applyFont="1" applyBorder="1"/>
    <xf numFmtId="0" fontId="2" fillId="0" borderId="4" xfId="0" applyFont="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1" xfId="0" applyNumberFormat="1" applyFont="1" applyFill="1" applyBorder="1" applyAlignment="1">
      <alignment horizontal="center" vertical="center"/>
    </xf>
    <xf numFmtId="0" fontId="2" fillId="3" borderId="1" xfId="0" applyFont="1" applyFill="1" applyBorder="1" applyAlignment="1">
      <alignment horizontal="left"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xf>
    <xf numFmtId="0" fontId="2" fillId="5" borderId="1" xfId="0" applyNumberFormat="1" applyFont="1" applyFill="1" applyBorder="1" applyAlignment="1">
      <alignment horizontal="center" vertical="center"/>
    </xf>
    <xf numFmtId="0" fontId="12" fillId="0" borderId="0" xfId="0" applyFont="1"/>
    <xf numFmtId="0" fontId="7" fillId="0" borderId="1" xfId="0" applyFont="1" applyBorder="1" applyAlignment="1">
      <alignment horizontal="left" vertical="center" wrapText="1"/>
    </xf>
    <xf numFmtId="0" fontId="5" fillId="0" borderId="0" xfId="0" applyFont="1" applyAlignment="1">
      <alignment horizontal="left"/>
    </xf>
    <xf numFmtId="0" fontId="11" fillId="5" borderId="1" xfId="0" applyFont="1" applyFill="1" applyBorder="1" applyAlignment="1">
      <alignment horizontal="center" vertical="center"/>
    </xf>
    <xf numFmtId="0" fontId="11" fillId="5" borderId="1" xfId="0" applyNumberFormat="1" applyFont="1" applyFill="1" applyBorder="1" applyAlignment="1">
      <alignment horizontal="center" vertical="center"/>
    </xf>
    <xf numFmtId="0" fontId="0" fillId="0" borderId="1" xfId="0" quotePrefix="1" applyBorder="1"/>
    <xf numFmtId="0" fontId="0" fillId="0" borderId="3" xfId="0" applyFill="1" applyBorder="1" applyAlignment="1">
      <alignment horizontal="center"/>
    </xf>
    <xf numFmtId="0" fontId="0" fillId="0" borderId="0" xfId="0" applyFill="1"/>
    <xf numFmtId="164" fontId="5" fillId="0" borderId="1" xfId="0" quotePrefix="1" applyNumberFormat="1" applyFont="1" applyBorder="1"/>
    <xf numFmtId="0" fontId="7" fillId="0" borderId="1" xfId="0" applyFont="1" applyBorder="1" applyAlignment="1">
      <alignment vertical="center"/>
    </xf>
    <xf numFmtId="0" fontId="7" fillId="0" borderId="1" xfId="0" applyFont="1" applyBorder="1" applyAlignment="1">
      <alignment horizontal="left" vertical="center"/>
    </xf>
    <xf numFmtId="3" fontId="5" fillId="0" borderId="1" xfId="0" applyNumberFormat="1" applyFont="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pplyAlignment="1">
      <alignment horizontal="left" vertical="center" indent="1"/>
    </xf>
    <xf numFmtId="0" fontId="0" fillId="4" borderId="1" xfId="0" applyFill="1" applyBorder="1"/>
    <xf numFmtId="0" fontId="2" fillId="0" borderId="0" xfId="0" applyFont="1" applyFill="1"/>
    <xf numFmtId="0" fontId="11" fillId="0" borderId="0" xfId="0" applyFont="1" applyFill="1" applyBorder="1" applyAlignment="1">
      <alignment horizontal="center" vertical="center"/>
    </xf>
    <xf numFmtId="0" fontId="13" fillId="0" borderId="0" xfId="0" applyFont="1" applyAlignment="1">
      <alignment wrapText="1"/>
    </xf>
    <xf numFmtId="0" fontId="14" fillId="0" borderId="0"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0" xfId="0" applyFont="1" applyAlignment="1">
      <alignment wrapText="1"/>
    </xf>
    <xf numFmtId="0" fontId="11" fillId="0" borderId="0" xfId="0" applyFont="1" applyFill="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0" fillId="2" borderId="2" xfId="0" applyFill="1" applyBorder="1" applyAlignment="1">
      <alignment horizontal="center"/>
    </xf>
    <xf numFmtId="0" fontId="0" fillId="2" borderId="3" xfId="0" applyFill="1" applyBorder="1" applyAlignment="1">
      <alignment horizontal="center"/>
    </xf>
    <xf numFmtId="0" fontId="0" fillId="2"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7" fillId="0" borderId="1" xfId="0" applyFont="1" applyBorder="1" applyAlignment="1">
      <alignment horizontal="left" vertical="center" wrapText="1"/>
    </xf>
    <xf numFmtId="0" fontId="8" fillId="0" borderId="0" xfId="0" applyFont="1" applyAlignment="1">
      <alignment horizontal="center"/>
    </xf>
    <xf numFmtId="0" fontId="5" fillId="0" borderId="0" xfId="0" applyFont="1" applyAlignment="1">
      <alignment horizontal="left" wrapText="1"/>
    </xf>
    <xf numFmtId="0" fontId="5" fillId="0" borderId="0" xfId="0" applyFont="1" applyAlignment="1">
      <alignment horizontal="left"/>
    </xf>
    <xf numFmtId="0" fontId="10" fillId="4" borderId="0"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1" xfId="0" applyFont="1" applyFill="1" applyBorder="1" applyAlignment="1">
      <alignment horizontal="center" vertical="center"/>
    </xf>
  </cellXfs>
  <cellStyles count="2">
    <cellStyle name="Hyperlink" xfId="1" builtinId="8"/>
    <cellStyle name="Normal" xfId="0" builtinId="0"/>
  </cellStyles>
  <dxfs count="69">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3" tint="0.59999389629810485"/>
        </patternFill>
      </fill>
    </dxf>
    <dxf>
      <border>
        <left style="thin">
          <color theme="3" tint="0.39997558519241921"/>
        </left>
        <right style="thin">
          <color theme="3" tint="0.39997558519241921"/>
        </right>
        <top style="thin">
          <color theme="3" tint="0.39997558519241921"/>
        </top>
        <bottom style="thin">
          <color theme="3" tint="0.39997558519241921"/>
        </bottom>
        <vertical style="thin">
          <color theme="3" tint="0.39997558519241921"/>
        </vertical>
        <horizontal style="thin">
          <color theme="3" tint="0.39997558519241921"/>
        </horizontal>
      </border>
    </dxf>
    <dxf>
      <fill>
        <patternFill>
          <bgColor theme="3" tint="0.39997558519241921"/>
        </patternFill>
      </fill>
    </dxf>
    <dxf>
      <border>
        <bottom style="thin">
          <color theme="3" tint="0.39997558519241921"/>
        </bottom>
      </border>
    </dxf>
    <dxf>
      <border>
        <top style="thin">
          <color theme="3" tint="0.39997558519241921"/>
        </top>
      </border>
    </dxf>
    <dxf>
      <border>
        <top style="thin">
          <color theme="3" tint="0.39997558519241921"/>
        </top>
      </border>
    </dxf>
    <dxf>
      <border>
        <left style="thin">
          <color theme="5" tint="-0.249977111117893"/>
        </left>
        <right style="thin">
          <color theme="5" tint="-0.249977111117893"/>
        </right>
        <top style="thin">
          <color theme="5" tint="-0.249977111117893"/>
        </top>
        <bottom style="thin">
          <color theme="5" tint="-0.249977111117893"/>
        </bottom>
        <vertical style="thin">
          <color theme="5" tint="-0.249977111117893"/>
        </vertical>
        <horizontal style="thin">
          <color theme="5" tint="-0.249977111117893"/>
        </horizontal>
      </border>
    </dxf>
    <dxf>
      <fill>
        <patternFill>
          <bgColor theme="4" tint="0.59999389629810485"/>
        </patternFill>
      </fill>
    </dxf>
    <dxf>
      <fill>
        <patternFill patternType="solid">
          <bgColor theme="5" tint="0.39997558519241921"/>
        </patternFill>
      </fill>
    </dxf>
    <dxf>
      <alignment horizontal="left" readingOrder="0"/>
    </dxf>
    <dxf>
      <alignment horizontal="left" readingOrder="0"/>
    </dxf>
    <dxf>
      <alignment horizontal="center" readingOrder="0"/>
    </dxf>
    <dxf>
      <alignment vertical="center" readingOrder="0"/>
    </dxf>
    <dxf>
      <font>
        <sz val="12"/>
      </font>
    </dxf>
    <dxf>
      <font>
        <name val="Times New Roman"/>
        <scheme val="none"/>
      </font>
    </dxf>
    <dxf>
      <alignment wrapText="1" readingOrder="0"/>
    </dxf>
    <dxf>
      <alignment wrapText="1" readingOrder="0"/>
    </dxf>
    <dxf>
      <font>
        <sz val="12"/>
      </font>
    </dxf>
    <dxf>
      <font>
        <name val="Times New Roman"/>
        <scheme val="none"/>
      </font>
    </dxf>
    <dxf>
      <font>
        <sz val="15"/>
      </font>
    </dxf>
    <dxf>
      <alignment wrapText="1" readingOrder="0"/>
    </dxf>
    <dxf>
      <font>
        <sz val="18"/>
      </font>
    </dxf>
    <dxf>
      <font>
        <sz val="15"/>
      </font>
    </dxf>
    <dxf>
      <fill>
        <patternFill patternType="solid">
          <bgColor theme="5" tint="0.59999389629810485"/>
        </patternFill>
      </fill>
    </dxf>
    <dxf>
      <font>
        <b/>
      </font>
    </dxf>
    <dxf>
      <alignment vertical="center" readingOrder="0"/>
    </dxf>
    <dxf>
      <alignment horizontal="center" readingOrder="0"/>
    </dxf>
    <dxf>
      <font>
        <sz val="12"/>
      </font>
    </dxf>
    <dxf>
      <font>
        <name val="Times New Roman"/>
        <scheme val="none"/>
      </font>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alignment horizontal="left" readingOrder="0"/>
    </dxf>
    <dxf>
      <alignment horizontal="left" readingOrder="0"/>
    </dxf>
    <dxf>
      <alignment vertical="center" readingOrder="0"/>
    </dxf>
    <dxf>
      <alignment horizontal="center" readingOrder="0"/>
    </dxf>
    <dxf>
      <font>
        <sz val="12"/>
      </font>
    </dxf>
    <dxf>
      <font>
        <name val="Times New Roman"/>
        <scheme val="none"/>
      </font>
    </dxf>
    <dxf>
      <alignment wrapText="1" readingOrder="0"/>
    </dxf>
    <dxf>
      <alignment wrapText="1" readingOrder="0"/>
    </dxf>
    <dxf>
      <font>
        <sz val="12"/>
      </font>
    </dxf>
    <dxf>
      <font>
        <name val="Times New Roman"/>
        <scheme val="none"/>
      </font>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fill>
        <patternFill patternType="solid">
          <bgColor theme="3" tint="0.59999389629810485"/>
        </patternFill>
      </fill>
    </dxf>
    <dxf>
      <alignment horizontal="general" readingOrder="0"/>
    </dxf>
    <dxf>
      <alignment horizontal="general" readingOrder="0"/>
    </dxf>
    <dxf>
      <alignment vertical="center" readingOrder="0"/>
    </dxf>
    <dxf>
      <alignment horizontal="center" readingOrder="0"/>
    </dxf>
    <dxf>
      <font>
        <sz val="12"/>
      </font>
    </dxf>
    <dxf>
      <font>
        <name val="Times New Roman"/>
        <scheme val="none"/>
      </font>
    </dxf>
    <dxf>
      <alignment wrapText="1" readingOrder="0"/>
    </dxf>
    <dxf>
      <alignment wrapText="1" readingOrder="0"/>
    </dxf>
    <dxf>
      <font>
        <sz val="12"/>
      </font>
    </dxf>
    <dxf>
      <font>
        <name val="Times New Roman"/>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alignment horizontal="left" readingOrder="0"/>
    </dxf>
    <dxf>
      <alignment horizontal="left" readingOrder="0"/>
    </dxf>
    <dxf>
      <alignment horizontal="center" readingOrder="0"/>
    </dxf>
    <dxf>
      <alignment vertical="center" readingOrder="0"/>
    </dxf>
    <dxf>
      <font>
        <sz val="12"/>
      </font>
    </dxf>
    <dxf>
      <font>
        <name val="Times New Roman"/>
        <scheme val="none"/>
      </font>
    </dxf>
    <dxf>
      <alignment wrapText="1" readingOrder="0"/>
    </dxf>
    <dxf>
      <alignment wrapText="1" readingOrder="0"/>
    </dxf>
    <dxf>
      <font>
        <sz val="12"/>
      </font>
    </dxf>
    <dxf>
      <font>
        <name val="Times New Roman"/>
        <scheme val="none"/>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9"/>
  <c:pivotSource>
    <c:name>[Employee_Master_Data_Cleaning_Project 1.xlsx]Dashboard!PivotTable2</c:name>
    <c:fmtId val="0"/>
  </c:pivotSource>
  <c:chart>
    <c:title>
      <c:tx>
        <c:rich>
          <a:bodyPr/>
          <a:lstStyle/>
          <a:p>
            <a:pPr>
              <a:defRPr/>
            </a:pPr>
            <a:r>
              <a:rPr lang="en-US"/>
              <a:t>Employment Status</a:t>
            </a:r>
          </a:p>
        </c:rich>
      </c:tx>
      <c:layout/>
      <c:spPr>
        <a:solidFill>
          <a:schemeClr val="accent1">
            <a:lumMod val="60000"/>
            <a:lumOff val="40000"/>
          </a:schemeClr>
        </a:solidFill>
      </c:spPr>
    </c:title>
    <c:pivotFmts>
      <c:pivotFmt>
        <c:idx val="0"/>
        <c:marker>
          <c:symbol val="none"/>
        </c:marker>
        <c:dLbl>
          <c:idx val="0"/>
          <c:layout/>
          <c:dLblPos val="ctr"/>
          <c:showPercent val="1"/>
        </c:dLbl>
      </c:pivotFmt>
    </c:pivotFmts>
    <c:plotArea>
      <c:layout>
        <c:manualLayout>
          <c:layoutTarget val="inner"/>
          <c:xMode val="edge"/>
          <c:yMode val="edge"/>
          <c:x val="0.32019892728814792"/>
          <c:y val="0.14958702588891909"/>
          <c:w val="0.52294793224482905"/>
          <c:h val="0.78495969555464051"/>
        </c:manualLayout>
      </c:layout>
      <c:pieChart>
        <c:varyColors val="1"/>
        <c:ser>
          <c:idx val="0"/>
          <c:order val="0"/>
          <c:tx>
            <c:strRef>
              <c:f>Dashboard!$B$10</c:f>
              <c:strCache>
                <c:ptCount val="1"/>
                <c:pt idx="0">
                  <c:v>Total</c:v>
                </c:pt>
              </c:strCache>
            </c:strRef>
          </c:tx>
          <c:dLbls>
            <c:spPr/>
            <c:txPr>
              <a:bodyPr/>
              <a:lstStyle/>
              <a:p>
                <a:pPr>
                  <a:defRPr/>
                </a:pPr>
                <a:endParaRPr lang="en-US"/>
              </a:p>
            </c:txPr>
            <c:dLblPos val="ctr"/>
            <c:showPercent val="1"/>
            <c:showLeaderLines val="1"/>
          </c:dLbls>
          <c:cat>
            <c:strRef>
              <c:f>Dashboard!$A$11:$A$14</c:f>
              <c:strCache>
                <c:ptCount val="3"/>
                <c:pt idx="0">
                  <c:v>Active</c:v>
                </c:pt>
                <c:pt idx="1">
                  <c:v>Probation</c:v>
                </c:pt>
                <c:pt idx="2">
                  <c:v>Resigned</c:v>
                </c:pt>
              </c:strCache>
            </c:strRef>
          </c:cat>
          <c:val>
            <c:numRef>
              <c:f>Dashboard!$B$11:$B$14</c:f>
              <c:numCache>
                <c:formatCode>General</c:formatCode>
                <c:ptCount val="3"/>
                <c:pt idx="0">
                  <c:v>464</c:v>
                </c:pt>
                <c:pt idx="1">
                  <c:v>300</c:v>
                </c:pt>
                <c:pt idx="2">
                  <c:v>236</c:v>
                </c:pt>
              </c:numCache>
            </c:numRef>
          </c:val>
        </c:ser>
        <c:dLbls>
          <c:showPercent val="1"/>
        </c:dLbls>
        <c:firstSliceAng val="0"/>
      </c:pieChart>
    </c:plotArea>
    <c:legend>
      <c:legendPos val="l"/>
      <c:layout>
        <c:manualLayout>
          <c:xMode val="edge"/>
          <c:yMode val="edge"/>
          <c:x val="1.3930351896776463E-2"/>
          <c:y val="0.36093410102121881"/>
          <c:w val="0.21854290712915928"/>
          <c:h val="0.42747512715479585"/>
        </c:manualLayout>
      </c:layout>
      <c:txPr>
        <a:bodyPr/>
        <a:lstStyle/>
        <a:p>
          <a:pPr>
            <a:defRPr sz="1200"/>
          </a:pPr>
          <a:endParaRPr lang="en-US"/>
        </a:p>
      </c:txPr>
    </c:legend>
    <c:plotVisOnly val="1"/>
  </c:chart>
  <c:spPr>
    <a:solidFill>
      <a:schemeClr val="lt1"/>
    </a:solidFill>
    <a:ln w="25400" cap="flat" cmpd="sng" algn="ctr">
      <a:solidFill>
        <a:schemeClr val="accent1"/>
      </a:solidFill>
      <a:prstDash val="solid"/>
    </a:ln>
    <a:effectLst/>
  </c:spPr>
  <c:txPr>
    <a:bodyPr/>
    <a:lstStyle/>
    <a:p>
      <a:pPr>
        <a:defRPr>
          <a:solidFill>
            <a:schemeClr val="dk1"/>
          </a:solidFill>
          <a:latin typeface="+mn-lt"/>
          <a:ea typeface="+mn-ea"/>
          <a:cs typeface="+mn-cs"/>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0"/>
  <c:pivotSource>
    <c:name>[Employee_Master_Data_Cleaning_Project 1.xlsx]Dashboard!PivotTable3</c:name>
    <c:fmtId val="0"/>
  </c:pivotSource>
  <c:chart>
    <c:title>
      <c:tx>
        <c:rich>
          <a:bodyPr/>
          <a:lstStyle/>
          <a:p>
            <a:pPr>
              <a:defRPr/>
            </a:pPr>
            <a:r>
              <a:rPr lang="en-US"/>
              <a:t>Employees by Department</a:t>
            </a:r>
          </a:p>
        </c:rich>
      </c:tx>
      <c:layout/>
      <c:spPr>
        <a:solidFill>
          <a:schemeClr val="accent2">
            <a:lumMod val="60000"/>
            <a:lumOff val="40000"/>
          </a:schemeClr>
        </a:solidFill>
      </c:spPr>
    </c:title>
    <c:pivotFmts>
      <c:pivotFmt>
        <c:idx val="0"/>
      </c:pivotFmt>
      <c:pivotFmt>
        <c:idx val="1"/>
        <c:marker>
          <c:symbol val="none"/>
        </c:marker>
        <c:dLbl>
          <c:idx val="0"/>
          <c:layout/>
          <c:spPr/>
          <c:txPr>
            <a:bodyPr/>
            <a:lstStyle/>
            <a:p>
              <a:pPr>
                <a:defRPr/>
              </a:pPr>
              <a:endParaRPr lang="en-US"/>
            </a:p>
          </c:txPr>
          <c:dLblPos val="inEnd"/>
          <c:showVal val="1"/>
        </c:dLbl>
      </c:pivotFmt>
      <c:pivotFmt>
        <c:idx val="2"/>
        <c:dLbl>
          <c:idx val="0"/>
          <c:layout>
            <c:manualLayout>
              <c:x val="4.5864047047121936E-3"/>
              <c:y val="-6.1133273576592921E-2"/>
            </c:manualLayout>
          </c:layout>
          <c:dLblPos val="inEnd"/>
          <c:showVal val="1"/>
        </c:dLbl>
      </c:pivotFmt>
      <c:pivotFmt>
        <c:idx val="3"/>
        <c:dLbl>
          <c:idx val="0"/>
          <c:layout>
            <c:manualLayout>
              <c:x val="0"/>
              <c:y val="-7.0785895720265488E-2"/>
            </c:manualLayout>
          </c:layout>
          <c:dLblPos val="inEnd"/>
          <c:showVal val="1"/>
        </c:dLbl>
      </c:pivotFmt>
      <c:pivotFmt>
        <c:idx val="4"/>
        <c:dLbl>
          <c:idx val="0"/>
          <c:layout>
            <c:manualLayout>
              <c:x val="2.2932023523561389E-3"/>
              <c:y val="-7.4003436434823017E-2"/>
            </c:manualLayout>
          </c:layout>
          <c:dLblPos val="inEnd"/>
          <c:showVal val="1"/>
        </c:dLbl>
      </c:pivotFmt>
      <c:pivotFmt>
        <c:idx val="5"/>
        <c:dLbl>
          <c:idx val="0"/>
          <c:layout>
            <c:manualLayout>
              <c:x val="2.2932023523561389E-3"/>
              <c:y val="-5.1480651432920355E-2"/>
            </c:manualLayout>
          </c:layout>
          <c:dLblPos val="inEnd"/>
          <c:showVal val="1"/>
        </c:dLbl>
      </c:pivotFmt>
    </c:pivotFmts>
    <c:plotArea>
      <c:layout/>
      <c:barChart>
        <c:barDir val="col"/>
        <c:grouping val="clustered"/>
        <c:ser>
          <c:idx val="0"/>
          <c:order val="0"/>
          <c:tx>
            <c:strRef>
              <c:f>Dashboard!$B$23</c:f>
              <c:strCache>
                <c:ptCount val="1"/>
                <c:pt idx="0">
                  <c:v>Total</c:v>
                </c:pt>
              </c:strCache>
            </c:strRef>
          </c:tx>
          <c:dLbls>
            <c:dLbl>
              <c:idx val="0"/>
              <c:layout>
                <c:manualLayout>
                  <c:x val="2.2932023523561389E-3"/>
                  <c:y val="-5.1480651432920355E-2"/>
                </c:manualLayout>
              </c:layout>
              <c:dLblPos val="inEnd"/>
              <c:showVal val="1"/>
            </c:dLbl>
            <c:dLbl>
              <c:idx val="5"/>
              <c:layout>
                <c:manualLayout>
                  <c:x val="4.5864047047121936E-3"/>
                  <c:y val="-6.1133273576592921E-2"/>
                </c:manualLayout>
              </c:layout>
              <c:dLblPos val="inEnd"/>
              <c:showVal val="1"/>
            </c:dLbl>
            <c:dLbl>
              <c:idx val="7"/>
              <c:layout>
                <c:manualLayout>
                  <c:x val="0"/>
                  <c:y val="-7.0785895720265488E-2"/>
                </c:manualLayout>
              </c:layout>
              <c:dLblPos val="inEnd"/>
              <c:showVal val="1"/>
            </c:dLbl>
            <c:dLbl>
              <c:idx val="8"/>
              <c:layout>
                <c:manualLayout>
                  <c:x val="2.2932023523561389E-3"/>
                  <c:y val="-7.4003436434823017E-2"/>
                </c:manualLayout>
              </c:layout>
              <c:dLblPos val="inEnd"/>
              <c:showVal val="1"/>
            </c:dLbl>
            <c:spPr/>
            <c:txPr>
              <a:bodyPr/>
              <a:lstStyle/>
              <a:p>
                <a:pPr>
                  <a:defRPr/>
                </a:pPr>
                <a:endParaRPr lang="en-US"/>
              </a:p>
            </c:txPr>
            <c:dLblPos val="inEnd"/>
            <c:showVal val="1"/>
          </c:dLbls>
          <c:cat>
            <c:strRef>
              <c:f>Dashboard!$A$24:$A$33</c:f>
              <c:strCache>
                <c:ptCount val="9"/>
                <c:pt idx="0">
                  <c:v>Engineering</c:v>
                </c:pt>
                <c:pt idx="1">
                  <c:v>Finance</c:v>
                </c:pt>
                <c:pt idx="2">
                  <c:v>HR</c:v>
                </c:pt>
                <c:pt idx="3">
                  <c:v>IT</c:v>
                </c:pt>
                <c:pt idx="4">
                  <c:v>Marketing</c:v>
                </c:pt>
                <c:pt idx="5">
                  <c:v>Production</c:v>
                </c:pt>
                <c:pt idx="6">
                  <c:v>Purchasing</c:v>
                </c:pt>
                <c:pt idx="7">
                  <c:v>QC</c:v>
                </c:pt>
                <c:pt idx="8">
                  <c:v>Warehouse</c:v>
                </c:pt>
              </c:strCache>
            </c:strRef>
          </c:cat>
          <c:val>
            <c:numRef>
              <c:f>Dashboard!$B$24:$B$33</c:f>
              <c:numCache>
                <c:formatCode>General</c:formatCode>
                <c:ptCount val="9"/>
                <c:pt idx="0">
                  <c:v>68</c:v>
                </c:pt>
                <c:pt idx="1">
                  <c:v>18</c:v>
                </c:pt>
                <c:pt idx="2">
                  <c:v>18</c:v>
                </c:pt>
                <c:pt idx="3">
                  <c:v>32</c:v>
                </c:pt>
                <c:pt idx="4">
                  <c:v>15</c:v>
                </c:pt>
                <c:pt idx="5">
                  <c:v>638</c:v>
                </c:pt>
                <c:pt idx="6">
                  <c:v>12</c:v>
                </c:pt>
                <c:pt idx="7">
                  <c:v>102</c:v>
                </c:pt>
                <c:pt idx="8">
                  <c:v>97</c:v>
                </c:pt>
              </c:numCache>
            </c:numRef>
          </c:val>
        </c:ser>
        <c:dLbls>
          <c:showVal val="1"/>
        </c:dLbls>
        <c:gapWidth val="75"/>
        <c:overlap val="-25"/>
        <c:axId val="148936576"/>
        <c:axId val="148938112"/>
      </c:barChart>
      <c:catAx>
        <c:axId val="148936576"/>
        <c:scaling>
          <c:orientation val="minMax"/>
        </c:scaling>
        <c:axPos val="b"/>
        <c:majorTickMark val="none"/>
        <c:tickLblPos val="nextTo"/>
        <c:crossAx val="148938112"/>
        <c:crosses val="autoZero"/>
        <c:auto val="1"/>
        <c:lblAlgn val="ctr"/>
        <c:lblOffset val="100"/>
      </c:catAx>
      <c:valAx>
        <c:axId val="148938112"/>
        <c:scaling>
          <c:orientation val="minMax"/>
        </c:scaling>
        <c:axPos val="l"/>
        <c:majorGridlines/>
        <c:numFmt formatCode="General" sourceLinked="1"/>
        <c:majorTickMark val="none"/>
        <c:tickLblPos val="nextTo"/>
        <c:spPr>
          <a:ln w="9525">
            <a:noFill/>
          </a:ln>
        </c:spPr>
        <c:crossAx val="148936576"/>
        <c:crosses val="autoZero"/>
        <c:crossBetween val="between"/>
      </c:valAx>
    </c:plotArea>
    <c:plotVisOnly val="1"/>
  </c:chart>
  <c:spPr>
    <a:solidFill>
      <a:schemeClr val="lt1"/>
    </a:solidFill>
    <a:ln w="25400" cap="flat" cmpd="sng" algn="ctr">
      <a:solidFill>
        <a:schemeClr val="accent2"/>
      </a:solidFill>
      <a:prstDash val="solid"/>
    </a:ln>
    <a:effectLst/>
  </c:spPr>
  <c:txPr>
    <a:bodyPr/>
    <a:lstStyle/>
    <a:p>
      <a:pPr>
        <a:defRPr sz="1500">
          <a:solidFill>
            <a:schemeClr val="dk1"/>
          </a:solidFill>
          <a:latin typeface="Times New Roman" pitchFamily="18" charset="0"/>
          <a:ea typeface="+mn-ea"/>
          <a:cs typeface="Times New Roman" pitchFamily="18" charset="0"/>
        </a:defRPr>
      </a:pPr>
      <a:endParaRPr lang="en-US"/>
    </a:p>
  </c:txPr>
  <c:printSettings>
    <c:headerFooter/>
    <c:pageMargins b="0.75000000000000089" l="0.70000000000000062" r="0.70000000000000062" t="0.7500000000000008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4"/>
  <c:pivotSource>
    <c:name>[Employee_Master_Data_Cleaning_Project 1.xlsx]Dashboard!PivotTable4</c:name>
    <c:fmtId val="0"/>
  </c:pivotSource>
  <c:chart>
    <c:title>
      <c:tx>
        <c:rich>
          <a:bodyPr/>
          <a:lstStyle/>
          <a:p>
            <a:pPr>
              <a:defRPr/>
            </a:pPr>
            <a:r>
              <a:rPr lang="en-US"/>
              <a:t>Gender Distribution</a:t>
            </a:r>
          </a:p>
        </c:rich>
      </c:tx>
      <c:layout/>
      <c:spPr>
        <a:solidFill>
          <a:schemeClr val="accent2">
            <a:lumMod val="60000"/>
            <a:lumOff val="40000"/>
          </a:schemeClr>
        </a:solidFill>
      </c:spPr>
    </c:title>
    <c:pivotFmts>
      <c:pivotFmt>
        <c:idx val="0"/>
        <c:marker>
          <c:symbol val="none"/>
        </c:marker>
        <c:dLbl>
          <c:idx val="0"/>
          <c:layout/>
          <c:spPr/>
          <c:txPr>
            <a:bodyPr/>
            <a:lstStyle/>
            <a:p>
              <a:pPr>
                <a:defRPr/>
              </a:pPr>
              <a:endParaRPr lang="en-US"/>
            </a:p>
          </c:txPr>
          <c:dLblPos val="ctr"/>
          <c:showPercent val="1"/>
        </c:dLbl>
      </c:pivotFmt>
    </c:pivotFmts>
    <c:plotArea>
      <c:layout/>
      <c:pieChart>
        <c:varyColors val="1"/>
        <c:ser>
          <c:idx val="0"/>
          <c:order val="0"/>
          <c:tx>
            <c:strRef>
              <c:f>Dashboard!$H$10</c:f>
              <c:strCache>
                <c:ptCount val="1"/>
                <c:pt idx="0">
                  <c:v>Total</c:v>
                </c:pt>
              </c:strCache>
            </c:strRef>
          </c:tx>
          <c:explosion val="19"/>
          <c:dPt>
            <c:idx val="0"/>
            <c:explosion val="26"/>
          </c:dPt>
          <c:dPt>
            <c:idx val="1"/>
            <c:explosion val="8"/>
          </c:dPt>
          <c:dLbls>
            <c:spPr/>
            <c:txPr>
              <a:bodyPr/>
              <a:lstStyle/>
              <a:p>
                <a:pPr>
                  <a:defRPr/>
                </a:pPr>
                <a:endParaRPr lang="en-US"/>
              </a:p>
            </c:txPr>
            <c:dLblPos val="ctr"/>
            <c:showPercent val="1"/>
            <c:showLeaderLines val="1"/>
          </c:dLbls>
          <c:cat>
            <c:strRef>
              <c:f>Dashboard!$G$11:$G$13</c:f>
              <c:strCache>
                <c:ptCount val="2"/>
                <c:pt idx="0">
                  <c:v>Female</c:v>
                </c:pt>
                <c:pt idx="1">
                  <c:v>Male</c:v>
                </c:pt>
              </c:strCache>
            </c:strRef>
          </c:cat>
          <c:val>
            <c:numRef>
              <c:f>Dashboard!$H$11:$H$13</c:f>
              <c:numCache>
                <c:formatCode>General</c:formatCode>
                <c:ptCount val="2"/>
                <c:pt idx="0">
                  <c:v>597</c:v>
                </c:pt>
                <c:pt idx="1">
                  <c:v>403</c:v>
                </c:pt>
              </c:numCache>
            </c:numRef>
          </c:val>
        </c:ser>
        <c:dLbls>
          <c:showPercent val="1"/>
        </c:dLbls>
        <c:firstSliceAng val="0"/>
      </c:pieChart>
    </c:plotArea>
    <c:legend>
      <c:legendPos val="r"/>
      <c:layout>
        <c:manualLayout>
          <c:xMode val="edge"/>
          <c:yMode val="edge"/>
          <c:x val="0.77911424418431185"/>
          <c:y val="0.3436699512414767"/>
          <c:w val="0.20751212139188294"/>
          <c:h val="0.32012621399178393"/>
        </c:manualLayout>
      </c:layout>
    </c:legend>
    <c:plotVisOnly val="1"/>
  </c:chart>
  <c:spPr>
    <a:solidFill>
      <a:schemeClr val="lt1"/>
    </a:solidFill>
    <a:ln w="25400" cap="flat" cmpd="sng" algn="ctr">
      <a:solidFill>
        <a:schemeClr val="accent2"/>
      </a:solidFill>
      <a:prstDash val="solid"/>
    </a:ln>
    <a:effectLst/>
  </c:spPr>
  <c:txPr>
    <a:bodyPr/>
    <a:lstStyle/>
    <a:p>
      <a:pPr>
        <a:defRPr sz="1500">
          <a:solidFill>
            <a:schemeClr val="dk1"/>
          </a:solidFill>
          <a:latin typeface="Times New Roman" pitchFamily="18" charset="0"/>
          <a:ea typeface="+mn-ea"/>
          <a:cs typeface="Times New Roman" pitchFamily="18" charset="0"/>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pivotSource>
    <c:name>[Employee_Master_Data_Cleaning_Project 1.xlsx]Dashboard!PivotTable5</c:name>
    <c:fmtId val="0"/>
  </c:pivotSource>
  <c:chart>
    <c:title>
      <c:tx>
        <c:rich>
          <a:bodyPr/>
          <a:lstStyle/>
          <a:p>
            <a:pPr>
              <a:defRPr/>
            </a:pPr>
            <a:r>
              <a:rPr lang="en-US"/>
              <a:t>Position Distribution</a:t>
            </a:r>
          </a:p>
        </c:rich>
      </c:tx>
      <c:layout/>
      <c:spPr>
        <a:solidFill>
          <a:schemeClr val="tx2">
            <a:lumMod val="40000"/>
            <a:lumOff val="60000"/>
          </a:schemeClr>
        </a:solidFill>
      </c:spPr>
    </c:title>
    <c:pivotFmts>
      <c:pivotFmt>
        <c:idx val="0"/>
        <c:marker>
          <c:symbol val="none"/>
        </c:marker>
        <c:dLbl>
          <c:idx val="0"/>
          <c:layout/>
          <c:dLblPos val="outEnd"/>
          <c:showVal val="1"/>
        </c:dLbl>
      </c:pivotFmt>
    </c:pivotFmts>
    <c:plotArea>
      <c:layout/>
      <c:barChart>
        <c:barDir val="bar"/>
        <c:grouping val="clustered"/>
        <c:ser>
          <c:idx val="0"/>
          <c:order val="0"/>
          <c:tx>
            <c:strRef>
              <c:f>Dashboard!$K$23</c:f>
              <c:strCache>
                <c:ptCount val="1"/>
                <c:pt idx="0">
                  <c:v>Total</c:v>
                </c:pt>
              </c:strCache>
            </c:strRef>
          </c:tx>
          <c:dLbls>
            <c:spPr/>
            <c:txPr>
              <a:bodyPr/>
              <a:lstStyle/>
              <a:p>
                <a:pPr>
                  <a:defRPr/>
                </a:pPr>
                <a:endParaRPr lang="en-US"/>
              </a:p>
            </c:txPr>
            <c:dLblPos val="outEnd"/>
            <c:showVal val="1"/>
          </c:dLbls>
          <c:cat>
            <c:strRef>
              <c:f>Dashboard!$J$24:$J$33</c:f>
              <c:strCache>
                <c:ptCount val="9"/>
                <c:pt idx="0">
                  <c:v>Finance Admin</c:v>
                </c:pt>
                <c:pt idx="1">
                  <c:v>HR Staff</c:v>
                </c:pt>
                <c:pt idx="2">
                  <c:v>IT Support</c:v>
                </c:pt>
                <c:pt idx="3">
                  <c:v>Marketing Staff</c:v>
                </c:pt>
                <c:pt idx="4">
                  <c:v>Operator</c:v>
                </c:pt>
                <c:pt idx="5">
                  <c:v>Purchasing Staff</c:v>
                </c:pt>
                <c:pt idx="6">
                  <c:v>QC Inspector</c:v>
                </c:pt>
                <c:pt idx="7">
                  <c:v>Technician</c:v>
                </c:pt>
                <c:pt idx="8">
                  <c:v>Warehouse Staff</c:v>
                </c:pt>
              </c:strCache>
            </c:strRef>
          </c:cat>
          <c:val>
            <c:numRef>
              <c:f>Dashboard!$K$24:$K$33</c:f>
              <c:numCache>
                <c:formatCode>General</c:formatCode>
                <c:ptCount val="9"/>
                <c:pt idx="0">
                  <c:v>18</c:v>
                </c:pt>
                <c:pt idx="1">
                  <c:v>18</c:v>
                </c:pt>
                <c:pt idx="2">
                  <c:v>32</c:v>
                </c:pt>
                <c:pt idx="3">
                  <c:v>15</c:v>
                </c:pt>
                <c:pt idx="4">
                  <c:v>638</c:v>
                </c:pt>
                <c:pt idx="5">
                  <c:v>12</c:v>
                </c:pt>
                <c:pt idx="6">
                  <c:v>102</c:v>
                </c:pt>
                <c:pt idx="7">
                  <c:v>68</c:v>
                </c:pt>
                <c:pt idx="8">
                  <c:v>97</c:v>
                </c:pt>
              </c:numCache>
            </c:numRef>
          </c:val>
        </c:ser>
        <c:dLbls>
          <c:showVal val="1"/>
        </c:dLbls>
        <c:axId val="149079936"/>
        <c:axId val="149081472"/>
      </c:barChart>
      <c:catAx>
        <c:axId val="149079936"/>
        <c:scaling>
          <c:orientation val="minMax"/>
        </c:scaling>
        <c:axPos val="l"/>
        <c:tickLblPos val="nextTo"/>
        <c:crossAx val="149081472"/>
        <c:crosses val="autoZero"/>
        <c:auto val="1"/>
        <c:lblAlgn val="ctr"/>
        <c:lblOffset val="100"/>
      </c:catAx>
      <c:valAx>
        <c:axId val="149081472"/>
        <c:scaling>
          <c:orientation val="minMax"/>
        </c:scaling>
        <c:axPos val="b"/>
        <c:majorGridlines/>
        <c:numFmt formatCode="General" sourceLinked="1"/>
        <c:tickLblPos val="nextTo"/>
        <c:crossAx val="149079936"/>
        <c:crosses val="autoZero"/>
        <c:crossBetween val="between"/>
      </c:valAx>
    </c:plotArea>
    <c:plotVisOnly val="1"/>
  </c:chart>
  <c:spPr>
    <a:solidFill>
      <a:schemeClr val="lt1"/>
    </a:solidFill>
    <a:ln w="25400" cap="flat" cmpd="sng" algn="ctr">
      <a:solidFill>
        <a:schemeClr val="accent1"/>
      </a:solidFill>
      <a:prstDash val="solid"/>
    </a:ln>
    <a:effectLst/>
  </c:spPr>
  <c:txPr>
    <a:bodyPr/>
    <a:lstStyle/>
    <a:p>
      <a:pPr>
        <a:defRPr sz="1500">
          <a:solidFill>
            <a:schemeClr val="dk1"/>
          </a:solidFill>
          <a:latin typeface="Times New Roman" pitchFamily="18" charset="0"/>
          <a:ea typeface="+mn-ea"/>
          <a:cs typeface="Times New Roman" pitchFamily="18" charset="0"/>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6</xdr:row>
      <xdr:rowOff>6405</xdr:rowOff>
    </xdr:from>
    <xdr:to>
      <xdr:col>5</xdr:col>
      <xdr:colOff>1088572</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195060</xdr:rowOff>
    </xdr:from>
    <xdr:to>
      <xdr:col>5</xdr:col>
      <xdr:colOff>1102178</xdr:colOff>
      <xdr:row>36</xdr:row>
      <xdr:rowOff>46424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1401536</xdr:colOff>
      <xdr:row>6</xdr:row>
      <xdr:rowOff>17608</xdr:rowOff>
    </xdr:from>
    <xdr:to>
      <xdr:col>11</xdr:col>
      <xdr:colOff>43224</xdr:colOff>
      <xdr:row>19</xdr:row>
      <xdr:rowOff>27213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1483179</xdr:colOff>
      <xdr:row>21</xdr:row>
      <xdr:rowOff>23371</xdr:rowOff>
    </xdr:from>
    <xdr:to>
      <xdr:col>11</xdr:col>
      <xdr:colOff>68037</xdr:colOff>
      <xdr:row>36</xdr:row>
      <xdr:rowOff>53628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218.465760300925" createdVersion="3" refreshedVersion="3" minRefreshableVersion="3" recordCount="1000">
  <cacheSource type="worksheet">
    <worksheetSource ref="A2:K1002" sheet="Clean Data"/>
  </cacheSource>
  <cacheFields count="11">
    <cacheField name="No " numFmtId="0">
      <sharedItems containsSemiMixedTypes="0" containsString="0" containsNumber="1" containsInteger="1" minValue="1" maxValue="1000"/>
    </cacheField>
    <cacheField name="Employee ID" numFmtId="0">
      <sharedItems count="10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haredItems>
    </cacheField>
    <cacheField name="Full Name" numFmtId="49">
      <sharedItems/>
    </cacheField>
    <cacheField name="Gender" numFmtId="49">
      <sharedItems/>
    </cacheField>
    <cacheField name="DOB" numFmtId="164">
      <sharedItems containsSemiMixedTypes="0" containsNonDate="0" containsDate="1" containsString="0" minDate="1985-02-02T00:00:00" maxDate="2004-03-01T00:00:00"/>
    </cacheField>
    <cacheField name="Join Date" numFmtId="164">
      <sharedItems containsSemiMixedTypes="0" containsNonDate="0" containsDate="1" containsString="0" minDate="2018-01-03T00:00:00" maxDate="2025-09-02T00:00:00"/>
    </cacheField>
    <cacheField name="Department" numFmtId="0">
      <sharedItems count="9">
        <s v="Production"/>
        <s v="QC"/>
        <s v="Purchasing"/>
        <s v="Finance"/>
        <s v="Engineering"/>
        <s v="Warehouse"/>
        <s v="IT"/>
        <s v="Marketing"/>
        <s v="HR"/>
      </sharedItems>
    </cacheField>
    <cacheField name="Position" numFmtId="0">
      <sharedItems count="9">
        <s v="Operator"/>
        <s v="QC Inspector"/>
        <s v="Purchasing Staff"/>
        <s v="Finance Admin"/>
        <s v="Technician"/>
        <s v="Warehouse Staff"/>
        <s v="IT Support"/>
        <s v="Marketing Staff"/>
        <s v="HR Staff"/>
      </sharedItems>
    </cacheField>
    <cacheField name="Status" numFmtId="0">
      <sharedItems/>
    </cacheField>
    <cacheField name="Email" numFmtId="0">
      <sharedItems/>
    </cacheField>
    <cacheField name="Phone" numFmtId="0">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218.471895601855" createdVersion="3" refreshedVersion="3" minRefreshableVersion="3" recordCount="1000">
  <cacheSource type="worksheet">
    <worksheetSource ref="B2:K1002" sheet="Clean Data"/>
  </cacheSource>
  <cacheFields count="10">
    <cacheField name="Employee ID" numFmtId="0">
      <sharedItems/>
    </cacheField>
    <cacheField name="Full Name" numFmtId="49">
      <sharedItems/>
    </cacheField>
    <cacheField name="Gender" numFmtId="49">
      <sharedItems count="2">
        <s v="Male"/>
        <s v="Female"/>
      </sharedItems>
    </cacheField>
    <cacheField name="DOB" numFmtId="164">
      <sharedItems containsSemiMixedTypes="0" containsNonDate="0" containsDate="1" containsString="0" minDate="1985-02-02T00:00:00" maxDate="2004-03-01T00:00:00"/>
    </cacheField>
    <cacheField name="Join Date" numFmtId="164">
      <sharedItems containsSemiMixedTypes="0" containsNonDate="0" containsDate="1" containsString="0" minDate="2018-01-03T00:00:00" maxDate="2025-09-02T00:00:00"/>
    </cacheField>
    <cacheField name="Department" numFmtId="0">
      <sharedItems count="9">
        <s v="Production"/>
        <s v="QC"/>
        <s v="Purchasing"/>
        <s v="Finance"/>
        <s v="Engineering"/>
        <s v="Warehouse"/>
        <s v="IT"/>
        <s v="Marketing"/>
        <s v="HR"/>
      </sharedItems>
    </cacheField>
    <cacheField name="Position" numFmtId="0">
      <sharedItems count="9">
        <s v="Operator"/>
        <s v="QC Inspector"/>
        <s v="Purchasing Staff"/>
        <s v="Finance Admin"/>
        <s v="Technician"/>
        <s v="Warehouse Staff"/>
        <s v="IT Support"/>
        <s v="Marketing Staff"/>
        <s v="HR Staff"/>
      </sharedItems>
    </cacheField>
    <cacheField name="Status" numFmtId="0">
      <sharedItems count="3">
        <s v="Active"/>
        <s v="Resigned"/>
        <s v="Probation"/>
      </sharedItems>
    </cacheField>
    <cacheField name="Email" numFmtId="0">
      <sharedItems/>
    </cacheField>
    <cacheField name="Phone" numFmtId="0">
      <sharedItems/>
    </cacheField>
  </cacheFields>
</pivotCacheDefinition>
</file>

<file path=xl/pivotCache/pivotCacheRecords1.xml><?xml version="1.0" encoding="utf-8"?>
<pivotCacheRecords xmlns="http://schemas.openxmlformats.org/spreadsheetml/2006/main" xmlns:r="http://schemas.openxmlformats.org/officeDocument/2006/relationships" count="1000">
  <r>
    <n v="1"/>
    <x v="0"/>
    <s v="Ridwan Akmaluddin"/>
    <s v="Male"/>
    <d v="1988-05-25T00:00:00"/>
    <d v="2022-12-29T00:00:00"/>
    <x v="0"/>
    <x v="0"/>
    <s v="Active"/>
    <s v="ridwanakmaluddin@email.com"/>
    <s v="082188191195"/>
  </r>
  <r>
    <n v="2"/>
    <x v="1"/>
    <s v="Siti Maghfiroh"/>
    <s v="Female"/>
    <d v="1986-10-02T00:00:00"/>
    <d v="2024-10-12T00:00:00"/>
    <x v="0"/>
    <x v="0"/>
    <s v="Active"/>
    <s v="sitimaghfiroh@email.com"/>
    <s v="0893260231"/>
  </r>
  <r>
    <n v="3"/>
    <x v="2"/>
    <s v="Diyah Rhodhotul Avivah"/>
    <s v="Female"/>
    <d v="1994-10-02T00:00:00"/>
    <d v="2025-09-01T00:00:00"/>
    <x v="1"/>
    <x v="1"/>
    <s v="Resigned"/>
    <s v="diyahrhodhotulavivah@email.com"/>
    <s v="088550888361"/>
  </r>
  <r>
    <n v="4"/>
    <x v="3"/>
    <s v="Avielva Zhelviany"/>
    <s v="Female"/>
    <d v="2003-05-04T00:00:00"/>
    <d v="2023-01-02T00:00:00"/>
    <x v="2"/>
    <x v="2"/>
    <s v="Active"/>
    <s v="avielvazhelviany@email.com"/>
    <s v="085713227015"/>
  </r>
  <r>
    <n v="5"/>
    <x v="4"/>
    <s v="Dede Mulyaningsih"/>
    <s v="Female"/>
    <d v="1997-11-23T00:00:00"/>
    <d v="2023-04-08T00:00:00"/>
    <x v="0"/>
    <x v="0"/>
    <s v="Active"/>
    <s v="dedemulyaningsih@email.com"/>
    <s v="080015675393"/>
  </r>
  <r>
    <n v="6"/>
    <x v="5"/>
    <s v="Ferri Riyanto"/>
    <s v="Male"/>
    <d v="2002-06-16T00:00:00"/>
    <d v="2024-11-30T00:00:00"/>
    <x v="0"/>
    <x v="0"/>
    <s v="Probation"/>
    <s v="ferririyanto@email.com"/>
    <s v="082274087008"/>
  </r>
  <r>
    <n v="7"/>
    <x v="6"/>
    <s v="Alfi Nur Fadilah"/>
    <s v="Female"/>
    <d v="1986-10-25T00:00:00"/>
    <d v="2024-02-14T00:00:00"/>
    <x v="1"/>
    <x v="1"/>
    <s v="Active"/>
    <s v="alfinurfadilah@email.com"/>
    <s v="083226933728"/>
  </r>
  <r>
    <n v="8"/>
    <x v="7"/>
    <s v="Latif Ainur Rokhmah"/>
    <s v="Female"/>
    <d v="1988-10-05T00:00:00"/>
    <d v="2021-12-02T00:00:00"/>
    <x v="2"/>
    <x v="2"/>
    <s v="Active"/>
    <s v="latifainurrokhmah@email.com"/>
    <s v="087585339477"/>
  </r>
  <r>
    <n v="9"/>
    <x v="8"/>
    <s v="Fajar B Pratama"/>
    <s v="Male"/>
    <d v="1993-10-27T00:00:00"/>
    <d v="2021-11-29T00:00:00"/>
    <x v="0"/>
    <x v="0"/>
    <s v="Probation"/>
    <s v="fajarbpratama@email.com"/>
    <s v="089883379308"/>
  </r>
  <r>
    <n v="10"/>
    <x v="9"/>
    <s v="Veby Astriani"/>
    <s v="Female"/>
    <d v="1988-03-14T00:00:00"/>
    <d v="2025-06-10T00:00:00"/>
    <x v="0"/>
    <x v="0"/>
    <s v="Resigned"/>
    <s v="vebyastriani@email.com"/>
    <s v="085418191103"/>
  </r>
  <r>
    <n v="11"/>
    <x v="10"/>
    <s v="A Khoirurroziqin"/>
    <s v="Male"/>
    <d v="1998-03-28T00:00:00"/>
    <d v="2022-07-27T00:00:00"/>
    <x v="3"/>
    <x v="3"/>
    <s v="Probation"/>
    <s v="akhoirurroziqin@email.com"/>
    <s v="085944301279"/>
  </r>
  <r>
    <n v="12"/>
    <x v="11"/>
    <s v="Dian Nur Ardilla"/>
    <s v="Male"/>
    <d v="1998-11-02T00:00:00"/>
    <d v="2019-11-14T00:00:00"/>
    <x v="4"/>
    <x v="4"/>
    <s v="Active"/>
    <s v="diannurardilla@email.com"/>
    <s v="0803522114"/>
  </r>
  <r>
    <n v="13"/>
    <x v="12"/>
    <s v="Lutfi Ardiansyah"/>
    <s v="Male"/>
    <d v="2001-07-30T00:00:00"/>
    <d v="2020-12-11T00:00:00"/>
    <x v="0"/>
    <x v="0"/>
    <s v="Probation"/>
    <s v="lutfiardiansyah@email.com"/>
    <s v="087480756904"/>
  </r>
  <r>
    <n v="14"/>
    <x v="13"/>
    <s v="Rahmayanti"/>
    <s v="Female"/>
    <d v="2003-10-12T00:00:00"/>
    <d v="2020-03-31T00:00:00"/>
    <x v="0"/>
    <x v="0"/>
    <s v="Active"/>
    <s v="rahmayanti@email.com"/>
    <s v="084798489654"/>
  </r>
  <r>
    <n v="15"/>
    <x v="14"/>
    <s v="Rahma Yuliana"/>
    <s v="Female"/>
    <d v="1999-06-16T00:00:00"/>
    <d v="2020-07-07T00:00:00"/>
    <x v="0"/>
    <x v="0"/>
    <s v="Probation"/>
    <s v="rahmayuliana@email.com"/>
    <s v="0853887755"/>
  </r>
  <r>
    <n v="16"/>
    <x v="15"/>
    <s v="Wawan Setiawan Wandi"/>
    <s v="Male"/>
    <d v="2004-01-02T00:00:00"/>
    <d v="2023-06-01T00:00:00"/>
    <x v="5"/>
    <x v="5"/>
    <s v="Probation"/>
    <s v="wawansetiawanwandi@email.com"/>
    <s v="080556387310"/>
  </r>
  <r>
    <n v="17"/>
    <x v="16"/>
    <s v="Nur Aisyah"/>
    <s v="Female"/>
    <d v="1987-11-16T00:00:00"/>
    <d v="2019-05-10T00:00:00"/>
    <x v="3"/>
    <x v="3"/>
    <s v="Probation"/>
    <s v="nuraisyah@email.com"/>
    <s v="085278436321"/>
  </r>
  <r>
    <n v="18"/>
    <x v="17"/>
    <s v="Muhammad Rifal Ilyas"/>
    <s v="Male"/>
    <d v="1986-04-13T00:00:00"/>
    <d v="2024-07-09T00:00:00"/>
    <x v="6"/>
    <x v="6"/>
    <s v="Active"/>
    <s v="muhammadrifalilyas@email.com"/>
    <s v="086137380821"/>
  </r>
  <r>
    <n v="19"/>
    <x v="18"/>
    <s v="Tiyo Aryo"/>
    <s v="Male"/>
    <d v="1999-07-15T00:00:00"/>
    <d v="2021-11-25T00:00:00"/>
    <x v="0"/>
    <x v="0"/>
    <s v="Probation"/>
    <s v="tiyoaryo@email.com"/>
    <s v="085740892375"/>
  </r>
  <r>
    <n v="20"/>
    <x v="19"/>
    <s v="Aditya Nugraha"/>
    <s v="Male"/>
    <d v="2000-07-25T00:00:00"/>
    <d v="2018-01-16T00:00:00"/>
    <x v="7"/>
    <x v="7"/>
    <s v="Active"/>
    <s v="adityanugraha@email.com"/>
    <s v="087056427531"/>
  </r>
  <r>
    <n v="21"/>
    <x v="20"/>
    <s v="Abdul Aziz"/>
    <s v="Male"/>
    <d v="1994-07-20T00:00:00"/>
    <d v="2020-06-02T00:00:00"/>
    <x v="4"/>
    <x v="4"/>
    <s v="Active"/>
    <s v="abdulaziz@email.com"/>
    <s v="081418040871"/>
  </r>
  <r>
    <n v="22"/>
    <x v="21"/>
    <s v="Ozi Priyanto"/>
    <s v="Male"/>
    <d v="1987-09-27T00:00:00"/>
    <d v="2018-04-15T00:00:00"/>
    <x v="0"/>
    <x v="0"/>
    <s v="Probation"/>
    <s v="ozipriyanto@email.com"/>
    <s v="087596693717"/>
  </r>
  <r>
    <n v="23"/>
    <x v="22"/>
    <s v="M Aditya Mumin Ansori"/>
    <s v="Male"/>
    <d v="1985-08-16T00:00:00"/>
    <d v="2023-08-23T00:00:00"/>
    <x v="7"/>
    <x v="7"/>
    <s v="Active"/>
    <s v="madityamuminansori@email.com"/>
    <s v="084236403700"/>
  </r>
  <r>
    <n v="24"/>
    <x v="23"/>
    <s v="Siti Rochanah"/>
    <s v="Female"/>
    <d v="1985-06-30T00:00:00"/>
    <d v="2022-01-15T00:00:00"/>
    <x v="0"/>
    <x v="0"/>
    <s v="Resigned"/>
    <s v="sitirochanah@email.com"/>
    <s v="089977416966"/>
  </r>
  <r>
    <n v="25"/>
    <x v="24"/>
    <s v="Miske Nur Agustina"/>
    <s v="Male"/>
    <d v="1995-05-03T00:00:00"/>
    <d v="2021-08-30T00:00:00"/>
    <x v="5"/>
    <x v="5"/>
    <s v="Resigned"/>
    <s v="miskenuragustina@email.com"/>
    <s v="085419858274"/>
  </r>
  <r>
    <n v="26"/>
    <x v="25"/>
    <s v="Novi Wulandari"/>
    <s v="Female"/>
    <d v="1985-03-02T00:00:00"/>
    <d v="2024-12-05T00:00:00"/>
    <x v="0"/>
    <x v="0"/>
    <s v="Probation"/>
    <s v="noviwulandari@email.com"/>
    <s v="084291820015"/>
  </r>
  <r>
    <n v="27"/>
    <x v="26"/>
    <s v="Rohmat"/>
    <s v="Male"/>
    <d v="1994-02-13T00:00:00"/>
    <d v="2020-12-27T00:00:00"/>
    <x v="0"/>
    <x v="0"/>
    <s v="Probation"/>
    <s v="rohmat@email.com"/>
    <s v="085701851280"/>
  </r>
  <r>
    <n v="28"/>
    <x v="27"/>
    <s v="Feni Khoeru Nisa"/>
    <s v="Female"/>
    <d v="1997-05-20T00:00:00"/>
    <d v="2019-09-07T00:00:00"/>
    <x v="3"/>
    <x v="3"/>
    <s v="Probation"/>
    <s v="fenikhoerunisa@email.com"/>
    <s v="088403857882"/>
  </r>
  <r>
    <n v="29"/>
    <x v="28"/>
    <s v="Hendri Setiawan"/>
    <s v="Male"/>
    <d v="1994-01-20T00:00:00"/>
    <d v="2024-07-31T00:00:00"/>
    <x v="0"/>
    <x v="0"/>
    <s v="Active"/>
    <s v="hendrisetiawan@email.com"/>
    <s v="087137516884"/>
  </r>
  <r>
    <n v="30"/>
    <x v="29"/>
    <s v="Samsul Bahri"/>
    <s v="Male"/>
    <d v="1996-08-24T00:00:00"/>
    <d v="2025-03-15T00:00:00"/>
    <x v="0"/>
    <x v="0"/>
    <s v="Probation"/>
    <s v="samsulbahri@email.com"/>
    <s v="085431036796"/>
  </r>
  <r>
    <n v="31"/>
    <x v="30"/>
    <s v="Nur Laeli Isna Marziatun"/>
    <s v="Female"/>
    <d v="1999-01-18T00:00:00"/>
    <d v="2022-03-08T00:00:00"/>
    <x v="0"/>
    <x v="0"/>
    <s v="Resigned"/>
    <s v="nurlaeliisnamarziatun@email.com"/>
    <s v="086879016495"/>
  </r>
  <r>
    <n v="32"/>
    <x v="31"/>
    <s v="Shinanda Saraswati"/>
    <s v="Female"/>
    <d v="2000-09-27T00:00:00"/>
    <d v="2023-06-06T00:00:00"/>
    <x v="1"/>
    <x v="1"/>
    <s v="Resigned"/>
    <s v="shinandasaraswati@email.com"/>
    <s v="081775706565"/>
  </r>
  <r>
    <n v="33"/>
    <x v="32"/>
    <s v="Adinda Ayu Ramadhani"/>
    <s v="Female"/>
    <d v="2003-03-18T00:00:00"/>
    <d v="2018-01-17T00:00:00"/>
    <x v="0"/>
    <x v="0"/>
    <s v="Resigned"/>
    <s v="adindaayuramadhani@email.com"/>
    <s v="083582405884"/>
  </r>
  <r>
    <n v="34"/>
    <x v="33"/>
    <s v="Rismayana Sahira"/>
    <s v="Female"/>
    <d v="1997-03-26T00:00:00"/>
    <d v="2019-04-08T00:00:00"/>
    <x v="0"/>
    <x v="0"/>
    <s v="Active"/>
    <s v="rismayanasahira@email.com"/>
    <s v="089475551432"/>
  </r>
  <r>
    <n v="35"/>
    <x v="34"/>
    <s v="Muhammad Nur Iskandar"/>
    <s v="Male"/>
    <d v="2003-06-21T00:00:00"/>
    <d v="2019-07-17T00:00:00"/>
    <x v="0"/>
    <x v="0"/>
    <s v="Probation"/>
    <s v="muhammadnuriskandar@email.com"/>
    <s v="087146296583"/>
  </r>
  <r>
    <n v="36"/>
    <x v="35"/>
    <s v="Aditya Rohmatika"/>
    <s v="Male"/>
    <d v="2000-04-04T00:00:00"/>
    <d v="2022-11-10T00:00:00"/>
    <x v="8"/>
    <x v="8"/>
    <s v="Active"/>
    <s v="adityarohmatika@email.com"/>
    <s v="080650130549"/>
  </r>
  <r>
    <n v="37"/>
    <x v="36"/>
    <s v="Rizqi Amalia"/>
    <s v="Female"/>
    <d v="1989-11-04T00:00:00"/>
    <d v="2021-02-06T00:00:00"/>
    <x v="0"/>
    <x v="0"/>
    <s v="Resigned"/>
    <s v="rizqiamalia@email.com"/>
    <s v="086508782132"/>
  </r>
  <r>
    <n v="38"/>
    <x v="37"/>
    <s v="Beni"/>
    <s v="Male"/>
    <d v="2001-03-09T00:00:00"/>
    <d v="2020-06-23T00:00:00"/>
    <x v="0"/>
    <x v="0"/>
    <s v="Active"/>
    <s v="beni@email.com"/>
    <s v="0846922616"/>
  </r>
  <r>
    <n v="39"/>
    <x v="38"/>
    <s v="Vitriya Amanda Putri"/>
    <s v="Female"/>
    <d v="2004-01-25T00:00:00"/>
    <d v="2021-08-08T00:00:00"/>
    <x v="8"/>
    <x v="8"/>
    <s v="Active"/>
    <s v="vitriyaamandaputri@email.com"/>
    <s v="086460584576"/>
  </r>
  <r>
    <n v="40"/>
    <x v="39"/>
    <s v="Alda Surya Wijaya"/>
    <s v="Male"/>
    <d v="1988-01-26T00:00:00"/>
    <d v="2021-07-23T00:00:00"/>
    <x v="0"/>
    <x v="0"/>
    <s v="Resigned"/>
    <s v="aldasuryawijaya@email.com"/>
    <s v="088873927718"/>
  </r>
  <r>
    <n v="41"/>
    <x v="40"/>
    <s v="Fika Suci Sanawaliyah"/>
    <s v="Female"/>
    <d v="1987-11-24T00:00:00"/>
    <d v="2022-09-28T00:00:00"/>
    <x v="0"/>
    <x v="0"/>
    <s v="Probation"/>
    <s v="fikasucisanawaliyah@email.com"/>
    <s v="085636332286"/>
  </r>
  <r>
    <n v="42"/>
    <x v="41"/>
    <s v="Bagus Wiranto"/>
    <s v="Male"/>
    <d v="1990-05-01T00:00:00"/>
    <d v="2022-02-28T00:00:00"/>
    <x v="2"/>
    <x v="2"/>
    <s v="Active"/>
    <s v="baguswiranto@email.com"/>
    <s v="082626918134"/>
  </r>
  <r>
    <n v="43"/>
    <x v="42"/>
    <s v="Sahrul Faizal Ramadhon"/>
    <s v="Male"/>
    <d v="1990-01-10T00:00:00"/>
    <d v="2019-06-26T00:00:00"/>
    <x v="0"/>
    <x v="0"/>
    <s v="Active"/>
    <s v="sahrulfaizalramadhon@email.com"/>
    <s v="084739492257"/>
  </r>
  <r>
    <n v="44"/>
    <x v="43"/>
    <s v="Dian Prastiana"/>
    <s v="Male"/>
    <d v="1987-01-08T00:00:00"/>
    <d v="2018-05-31T00:00:00"/>
    <x v="0"/>
    <x v="0"/>
    <s v="Probation"/>
    <s v="dianprastiana@email.com"/>
    <s v="086451989393"/>
  </r>
  <r>
    <n v="45"/>
    <x v="44"/>
    <s v="Uswatun Khasanah"/>
    <s v="Female"/>
    <d v="1989-12-22T00:00:00"/>
    <d v="2025-05-29T00:00:00"/>
    <x v="0"/>
    <x v="0"/>
    <s v="Active"/>
    <s v="uswatunkhasanah@email.com"/>
    <s v="084176066224"/>
  </r>
  <r>
    <n v="46"/>
    <x v="45"/>
    <s v="Ika Risyifa Khaerunissa"/>
    <s v="Female"/>
    <d v="1996-10-18T00:00:00"/>
    <d v="2018-05-18T00:00:00"/>
    <x v="0"/>
    <x v="0"/>
    <s v="Active"/>
    <s v="ikarisyifakhaerunissa@email.com"/>
    <s v="082084751572"/>
  </r>
  <r>
    <n v="47"/>
    <x v="46"/>
    <s v="Ayu Pratmawati"/>
    <s v="Female"/>
    <d v="1993-10-06T00:00:00"/>
    <d v="2020-01-29T00:00:00"/>
    <x v="0"/>
    <x v="0"/>
    <s v="Probation"/>
    <s v="ayupratmawati@email.com"/>
    <s v="086743969318"/>
  </r>
  <r>
    <n v="48"/>
    <x v="47"/>
    <s v="Ilman Nafiuddin"/>
    <s v="Male"/>
    <d v="1985-02-11T00:00:00"/>
    <d v="2022-03-17T00:00:00"/>
    <x v="5"/>
    <x v="5"/>
    <s v="Active"/>
    <s v="ilmannafiuddin@email.com"/>
    <s v="083285892002"/>
  </r>
  <r>
    <n v="49"/>
    <x v="48"/>
    <s v="Nur Laela Pitriyana"/>
    <s v="Female"/>
    <d v="1997-12-25T00:00:00"/>
    <d v="2022-08-28T00:00:00"/>
    <x v="0"/>
    <x v="0"/>
    <s v="Active"/>
    <s v="nurlaelapitriyana@email.com"/>
    <s v="086710387241"/>
  </r>
  <r>
    <n v="50"/>
    <x v="49"/>
    <s v="Riski Ayu Fahrun Nisa"/>
    <s v="Female"/>
    <d v="1995-08-14T00:00:00"/>
    <d v="2023-06-09T00:00:00"/>
    <x v="0"/>
    <x v="0"/>
    <s v="Probation"/>
    <s v="riskiayufahrunnisa@email.com"/>
    <s v="082425208158"/>
  </r>
  <r>
    <n v="51"/>
    <x v="50"/>
    <s v="Sasti Frayoga"/>
    <s v="Male"/>
    <d v="2002-06-07T00:00:00"/>
    <d v="2019-10-20T00:00:00"/>
    <x v="0"/>
    <x v="0"/>
    <s v="Probation"/>
    <s v="sastifrayoga@email.com"/>
    <s v="085853897382"/>
  </r>
  <r>
    <n v="52"/>
    <x v="51"/>
    <s v="Artania Putri Purniawan"/>
    <s v="Female"/>
    <d v="1990-07-04T00:00:00"/>
    <d v="2023-08-22T00:00:00"/>
    <x v="2"/>
    <x v="2"/>
    <s v="Active"/>
    <s v="artaniaputripurniawan@email.com"/>
    <s v="082967656623"/>
  </r>
  <r>
    <n v="53"/>
    <x v="52"/>
    <s v="Robi Alfandi"/>
    <s v="Male"/>
    <d v="2000-02-09T00:00:00"/>
    <d v="2022-03-17T00:00:00"/>
    <x v="5"/>
    <x v="5"/>
    <s v="Probation"/>
    <s v="robialfandi@email.com"/>
    <s v="085855267614"/>
  </r>
  <r>
    <n v="54"/>
    <x v="53"/>
    <s v="Nur Royanah"/>
    <s v="Female"/>
    <d v="2002-01-14T00:00:00"/>
    <d v="2022-12-12T00:00:00"/>
    <x v="2"/>
    <x v="2"/>
    <s v="Active"/>
    <s v="nurroyanah@email.com"/>
    <s v="089326367902"/>
  </r>
  <r>
    <n v="55"/>
    <x v="54"/>
    <s v="Dwi Feri Susanto"/>
    <s v="Male"/>
    <d v="2000-12-11T00:00:00"/>
    <d v="2018-06-03T00:00:00"/>
    <x v="6"/>
    <x v="6"/>
    <s v="Active"/>
    <s v="dwiferisusanto@email.com"/>
    <s v="087568168986"/>
  </r>
  <r>
    <n v="56"/>
    <x v="55"/>
    <s v="Nur Khasanah"/>
    <s v="Female"/>
    <d v="1996-06-14T00:00:00"/>
    <d v="2019-07-31T00:00:00"/>
    <x v="0"/>
    <x v="0"/>
    <s v="Active"/>
    <s v="nurkhasanah@email.com"/>
    <s v="087271267681"/>
  </r>
  <r>
    <n v="57"/>
    <x v="56"/>
    <s v="Aghnia Maghfiroh"/>
    <s v="Female"/>
    <d v="2002-04-10T00:00:00"/>
    <d v="2021-04-14T00:00:00"/>
    <x v="0"/>
    <x v="0"/>
    <s v="Probation"/>
    <s v="aghniamaghfiroh@email.com"/>
    <s v="084633059082"/>
  </r>
  <r>
    <n v="58"/>
    <x v="57"/>
    <s v="Wina Cahaya"/>
    <s v="Female"/>
    <d v="1988-08-24T00:00:00"/>
    <d v="2021-01-01T00:00:00"/>
    <x v="0"/>
    <x v="0"/>
    <s v="Resigned"/>
    <s v="winacahaya@email.com"/>
    <s v="086957931301"/>
  </r>
  <r>
    <n v="59"/>
    <x v="58"/>
    <s v="Nur Fadilah"/>
    <s v="Male"/>
    <d v="1987-09-06T00:00:00"/>
    <d v="2025-04-25T00:00:00"/>
    <x v="0"/>
    <x v="0"/>
    <s v="Probation"/>
    <s v="nurfadilah@email.com"/>
    <s v="084846589712"/>
  </r>
  <r>
    <n v="60"/>
    <x v="59"/>
    <s v="Ashar Sabiila"/>
    <s v="Male"/>
    <d v="1989-03-29T00:00:00"/>
    <d v="2022-06-24T00:00:00"/>
    <x v="5"/>
    <x v="5"/>
    <s v="Active"/>
    <s v="asharsabiila@email.com"/>
    <s v="088701669874"/>
  </r>
  <r>
    <n v="61"/>
    <x v="60"/>
    <s v="Umiyati Salamiyah"/>
    <s v="Female"/>
    <d v="1992-05-12T00:00:00"/>
    <d v="2019-09-06T00:00:00"/>
    <x v="3"/>
    <x v="3"/>
    <s v="Probation"/>
    <s v="umiyatisalamiyah@email.com"/>
    <s v="085800467107"/>
  </r>
  <r>
    <n v="62"/>
    <x v="61"/>
    <s v="Marsa Dwi Widodo"/>
    <s v="Female"/>
    <d v="1992-10-11T00:00:00"/>
    <d v="2024-02-17T00:00:00"/>
    <x v="0"/>
    <x v="0"/>
    <s v="Resigned"/>
    <s v="marsadwiwidodo@email.com"/>
    <s v="084247612506"/>
  </r>
  <r>
    <n v="63"/>
    <x v="62"/>
    <s v="Bayu Eman Setiawan"/>
    <s v="Male"/>
    <d v="1987-04-11T00:00:00"/>
    <d v="2019-02-14T00:00:00"/>
    <x v="0"/>
    <x v="0"/>
    <s v="Resigned"/>
    <s v="bayuemansetiawan@email.com"/>
    <s v="085663466221"/>
  </r>
  <r>
    <n v="64"/>
    <x v="63"/>
    <s v="Muh Rasya Nur Rizki"/>
    <s v="Male"/>
    <d v="1993-07-26T00:00:00"/>
    <d v="2022-06-09T00:00:00"/>
    <x v="6"/>
    <x v="6"/>
    <s v="Active"/>
    <s v="muhrasyanurrizki@email.com"/>
    <s v="082791580056"/>
  </r>
  <r>
    <n v="65"/>
    <x v="64"/>
    <s v="Dafid Silva"/>
    <s v="Male"/>
    <d v="1990-03-24T00:00:00"/>
    <d v="2019-10-22T00:00:00"/>
    <x v="5"/>
    <x v="5"/>
    <s v="Resigned"/>
    <s v="dafidsilva@email.com"/>
    <s v="081129466478"/>
  </r>
  <r>
    <n v="66"/>
    <x v="65"/>
    <s v="Wulan Ariska"/>
    <s v="Female"/>
    <d v="1989-03-18T00:00:00"/>
    <d v="2023-02-23T00:00:00"/>
    <x v="0"/>
    <x v="0"/>
    <s v="Active"/>
    <s v="wulanariska@email.com"/>
    <s v="081629677537"/>
  </r>
  <r>
    <n v="67"/>
    <x v="66"/>
    <s v="Kholifatun Khasanah"/>
    <s v="Female"/>
    <d v="1998-06-19T00:00:00"/>
    <d v="2023-02-13T00:00:00"/>
    <x v="3"/>
    <x v="3"/>
    <s v="Probation"/>
    <s v="kholifatunkhasanah@email.com"/>
    <s v="082454429356"/>
  </r>
  <r>
    <n v="68"/>
    <x v="67"/>
    <s v="Izatul Khayati"/>
    <s v="Female"/>
    <d v="1986-06-11T00:00:00"/>
    <d v="2019-10-03T00:00:00"/>
    <x v="0"/>
    <x v="0"/>
    <s v="Probation"/>
    <s v="izatulkhayati@email.com"/>
    <s v="082198448957"/>
  </r>
  <r>
    <n v="69"/>
    <x v="68"/>
    <s v="Cucu Sahari"/>
    <s v="Male"/>
    <d v="2001-11-04T00:00:00"/>
    <d v="2021-07-22T00:00:00"/>
    <x v="1"/>
    <x v="1"/>
    <s v="Active"/>
    <s v="cucusahari@email.com"/>
    <s v="086925636611"/>
  </r>
  <r>
    <n v="70"/>
    <x v="69"/>
    <s v="Septi Wulandari"/>
    <s v="Female"/>
    <d v="1988-11-01T00:00:00"/>
    <d v="2021-06-16T00:00:00"/>
    <x v="1"/>
    <x v="1"/>
    <s v="Active"/>
    <s v="septiwulandari@email.com"/>
    <s v="080685453445"/>
  </r>
  <r>
    <n v="71"/>
    <x v="70"/>
    <s v="Egi Retno Faluqi"/>
    <s v="Male"/>
    <d v="1999-08-23T00:00:00"/>
    <d v="2019-10-02T00:00:00"/>
    <x v="6"/>
    <x v="6"/>
    <s v="Active"/>
    <s v="egiretnofaluqi@email.com"/>
    <s v="0887061541"/>
  </r>
  <r>
    <n v="72"/>
    <x v="71"/>
    <s v="Catur Difta Kahantoro"/>
    <s v="Male"/>
    <d v="1993-09-06T00:00:00"/>
    <d v="2021-09-11T00:00:00"/>
    <x v="0"/>
    <x v="0"/>
    <s v="Active"/>
    <s v="caturdiftakahantoro@email.com"/>
    <s v="086944276726"/>
  </r>
  <r>
    <n v="73"/>
    <x v="72"/>
    <s v="David Erlangga"/>
    <s v="Male"/>
    <d v="1996-01-26T00:00:00"/>
    <d v="2019-10-15T00:00:00"/>
    <x v="0"/>
    <x v="0"/>
    <s v="Resigned"/>
    <s v="daviderlangga@email.com"/>
    <s v="082354936722"/>
  </r>
  <r>
    <n v="74"/>
    <x v="73"/>
    <s v="Syafik Mirza"/>
    <s v="Male"/>
    <d v="2002-08-22T00:00:00"/>
    <d v="2020-03-04T00:00:00"/>
    <x v="0"/>
    <x v="0"/>
    <s v="Probation"/>
    <s v="syafikmirza@email.com"/>
    <s v="081052279862"/>
  </r>
  <r>
    <n v="75"/>
    <x v="74"/>
    <s v="Eka Saputra Ramadhan"/>
    <s v="Male"/>
    <d v="2003-10-22T00:00:00"/>
    <d v="2020-07-15T00:00:00"/>
    <x v="7"/>
    <x v="7"/>
    <s v="Active"/>
    <s v="ekasaputraramadhan@email.com"/>
    <s v="083515663912"/>
  </r>
  <r>
    <n v="76"/>
    <x v="75"/>
    <s v="Lulu Syarifatul Ulum"/>
    <s v="Female"/>
    <d v="1995-08-05T00:00:00"/>
    <d v="2024-12-25T00:00:00"/>
    <x v="0"/>
    <x v="0"/>
    <s v="Resigned"/>
    <s v="lulusyarifatululum@email.com"/>
    <s v="084424934801"/>
  </r>
  <r>
    <n v="77"/>
    <x v="76"/>
    <s v="Lutfatul Latifah"/>
    <s v="Female"/>
    <d v="1996-07-24T00:00:00"/>
    <d v="2024-12-22T00:00:00"/>
    <x v="0"/>
    <x v="0"/>
    <s v="Probation"/>
    <s v="lutfatullatifah@email.com"/>
    <s v="088492207423"/>
  </r>
  <r>
    <n v="78"/>
    <x v="77"/>
    <s v="Rahmaditya Chandra"/>
    <s v="Male"/>
    <d v="1990-01-01T00:00:00"/>
    <d v="2024-11-18T00:00:00"/>
    <x v="0"/>
    <x v="0"/>
    <s v="Resigned"/>
    <s v="rahmadityachandra@email.com"/>
    <s v="088492207411"/>
  </r>
  <r>
    <n v="79"/>
    <x v="78"/>
    <s v="Topari"/>
    <s v="Male"/>
    <d v="1993-11-27T00:00:00"/>
    <d v="2019-03-10T00:00:00"/>
    <x v="0"/>
    <x v="0"/>
    <s v="Probation"/>
    <s v="topari@email.com"/>
    <s v="084236884910"/>
  </r>
  <r>
    <n v="80"/>
    <x v="79"/>
    <s v="Asep Maulana"/>
    <s v="Male"/>
    <d v="1990-01-05T00:00:00"/>
    <d v="2018-11-18T00:00:00"/>
    <x v="0"/>
    <x v="0"/>
    <s v="Resigned"/>
    <s v="asepmaulana@email.com"/>
    <s v="087125018420"/>
  </r>
  <r>
    <n v="81"/>
    <x v="80"/>
    <s v="Reza Pratama"/>
    <s v="Male"/>
    <d v="2003-12-11T00:00:00"/>
    <d v="2018-03-11T00:00:00"/>
    <x v="4"/>
    <x v="4"/>
    <s v="Active"/>
    <s v="rezapratama@email.com"/>
    <s v="083529677134"/>
  </r>
  <r>
    <n v="82"/>
    <x v="81"/>
    <s v="Adinda Kuni Zakiyah"/>
    <s v="Female"/>
    <d v="1985-06-09T00:00:00"/>
    <d v="2024-10-01T00:00:00"/>
    <x v="0"/>
    <x v="0"/>
    <s v="Resigned"/>
    <s v="adindakunizakiyah@email.com"/>
    <s v="081728334904"/>
  </r>
  <r>
    <n v="83"/>
    <x v="82"/>
    <s v="Hendra Nur Priharto"/>
    <s v="Male"/>
    <d v="1986-04-28T00:00:00"/>
    <d v="2019-06-27T00:00:00"/>
    <x v="1"/>
    <x v="1"/>
    <s v="Active"/>
    <s v="hendranurpriharto@email.com"/>
    <s v="089098975533"/>
  </r>
  <r>
    <n v="84"/>
    <x v="83"/>
    <s v="Ina Rotul Koni"/>
    <s v="Female"/>
    <d v="2003-11-19T00:00:00"/>
    <d v="2024-09-26T00:00:00"/>
    <x v="2"/>
    <x v="2"/>
    <s v="Active"/>
    <s v="inarotulkoni@email.com"/>
    <s v="082773814282"/>
  </r>
  <r>
    <n v="85"/>
    <x v="84"/>
    <s v="Silvia Ayu Nurhasanah"/>
    <s v="Female"/>
    <d v="1996-05-25T00:00:00"/>
    <d v="2024-06-19T00:00:00"/>
    <x v="0"/>
    <x v="0"/>
    <s v="Active"/>
    <s v="silviaayunurhasanah@email.com"/>
    <s v="0887161188"/>
  </r>
  <r>
    <n v="86"/>
    <x v="85"/>
    <s v="Rosi Anggraeni"/>
    <s v="Female"/>
    <d v="1998-11-24T00:00:00"/>
    <d v="2018-04-23T00:00:00"/>
    <x v="0"/>
    <x v="0"/>
    <s v="Probation"/>
    <s v="rosianggraeni@email.com"/>
    <s v="082876489069"/>
  </r>
  <r>
    <n v="87"/>
    <x v="86"/>
    <s v="Galang Dimas Aditya"/>
    <s v="Male"/>
    <d v="1995-07-24T00:00:00"/>
    <d v="2021-06-29T00:00:00"/>
    <x v="0"/>
    <x v="0"/>
    <s v="Probation"/>
    <s v="galangdimasaditya@email.com"/>
    <s v="080083620338"/>
  </r>
  <r>
    <n v="88"/>
    <x v="87"/>
    <s v="Alaysh Awaliyah"/>
    <s v="Female"/>
    <d v="2002-12-08T00:00:00"/>
    <d v="2020-05-17T00:00:00"/>
    <x v="0"/>
    <x v="0"/>
    <s v="Probation"/>
    <s v="alayshawaliyah@email.com"/>
    <s v="080361557947"/>
  </r>
  <r>
    <n v="89"/>
    <x v="88"/>
    <s v="Iqmah Faiqoh"/>
    <s v="Female"/>
    <d v="1993-09-15T00:00:00"/>
    <d v="2020-08-20T00:00:00"/>
    <x v="1"/>
    <x v="1"/>
    <s v="Probation"/>
    <s v="iqmahfaiqoh@email.com"/>
    <s v="080361557955"/>
  </r>
  <r>
    <n v="90"/>
    <x v="89"/>
    <s v="Afidah"/>
    <s v="Female"/>
    <d v="1999-01-25T00:00:00"/>
    <d v="2019-08-18T00:00:00"/>
    <x v="1"/>
    <x v="1"/>
    <s v="Active"/>
    <s v="afidah@email.com"/>
    <s v="088804434111"/>
  </r>
  <r>
    <n v="91"/>
    <x v="90"/>
    <s v="Amellia Putri"/>
    <s v="Female"/>
    <d v="1986-03-23T00:00:00"/>
    <d v="2023-12-12T00:00:00"/>
    <x v="1"/>
    <x v="1"/>
    <s v="Resigned"/>
    <s v="amelliaputri@email.com"/>
    <s v="086393498031"/>
  </r>
  <r>
    <n v="92"/>
    <x v="91"/>
    <s v="Idris Nurfauzi"/>
    <s v="Male"/>
    <d v="2002-04-03T00:00:00"/>
    <d v="2018-01-07T00:00:00"/>
    <x v="0"/>
    <x v="0"/>
    <s v="Active"/>
    <s v="idrisnurfauzi@email.com"/>
    <s v="089337550722"/>
  </r>
  <r>
    <n v="93"/>
    <x v="92"/>
    <s v="Adi Sepriono"/>
    <s v="Male"/>
    <d v="1988-11-14T00:00:00"/>
    <d v="2025-03-27T00:00:00"/>
    <x v="5"/>
    <x v="5"/>
    <s v="Resigned"/>
    <s v="adisepriono@email.com"/>
    <s v="085159161376"/>
  </r>
  <r>
    <n v="94"/>
    <x v="93"/>
    <s v="Adi Ratno"/>
    <s v="Male"/>
    <d v="1992-10-01T00:00:00"/>
    <d v="2018-10-25T00:00:00"/>
    <x v="4"/>
    <x v="4"/>
    <s v="Active"/>
    <s v="adiratno@email.com"/>
    <s v="084680353271"/>
  </r>
  <r>
    <n v="95"/>
    <x v="94"/>
    <s v="Nur Ahmad Riski"/>
    <s v="Male"/>
    <d v="1995-07-22T00:00:00"/>
    <d v="2021-09-21T00:00:00"/>
    <x v="0"/>
    <x v="0"/>
    <s v="Probation"/>
    <s v="nurahmadriski@email.com"/>
    <s v="080549868671"/>
  </r>
  <r>
    <n v="96"/>
    <x v="95"/>
    <s v="Santi Widiastuti"/>
    <s v="Female"/>
    <d v="1991-03-01T00:00:00"/>
    <d v="2021-05-09T00:00:00"/>
    <x v="0"/>
    <x v="0"/>
    <s v="Probation"/>
    <s v="santiwidiastuti@email.com"/>
    <s v="089133580201"/>
  </r>
  <r>
    <n v="97"/>
    <x v="96"/>
    <s v="Ulil Hidayati"/>
    <s v="Female"/>
    <d v="1999-10-19T00:00:00"/>
    <d v="2024-06-04T00:00:00"/>
    <x v="0"/>
    <x v="0"/>
    <s v="Probation"/>
    <s v="ulilhidayati@email.com"/>
    <s v="081049312552"/>
  </r>
  <r>
    <n v="98"/>
    <x v="97"/>
    <s v="Imelia"/>
    <s v="Female"/>
    <d v="1990-11-29T00:00:00"/>
    <d v="2022-04-24T00:00:00"/>
    <x v="1"/>
    <x v="1"/>
    <s v="Active"/>
    <s v="imelia@email.com"/>
    <s v="086771796215"/>
  </r>
  <r>
    <n v="99"/>
    <x v="98"/>
    <s v="Nurmala Destriana"/>
    <s v="Female"/>
    <d v="1985-05-18T00:00:00"/>
    <d v="2024-09-24T00:00:00"/>
    <x v="0"/>
    <x v="0"/>
    <s v="Probation"/>
    <s v="nurmaladestriana@email.com"/>
    <s v="082274534759"/>
  </r>
  <r>
    <n v="100"/>
    <x v="99"/>
    <s v="Moh Arham Samudro"/>
    <s v="Male"/>
    <d v="1989-03-02T00:00:00"/>
    <d v="2019-12-02T00:00:00"/>
    <x v="0"/>
    <x v="0"/>
    <s v="Probation"/>
    <s v="moharhamsamudro@email.com"/>
    <s v="082065990266"/>
  </r>
  <r>
    <n v="101"/>
    <x v="100"/>
    <s v="Wahyu Umar Said"/>
    <s v="Male"/>
    <d v="1993-09-05T00:00:00"/>
    <d v="2022-09-02T00:00:00"/>
    <x v="4"/>
    <x v="4"/>
    <s v="Active"/>
    <s v="wahyuumarsaid@email.com"/>
    <s v="081638057793"/>
  </r>
  <r>
    <n v="102"/>
    <x v="101"/>
    <s v="Muhamad Mahatier"/>
    <s v="Male"/>
    <d v="1986-11-26T00:00:00"/>
    <d v="2018-06-24T00:00:00"/>
    <x v="6"/>
    <x v="6"/>
    <s v="Active"/>
    <s v="muhamadmahatier@email.com"/>
    <s v="087738020218"/>
  </r>
  <r>
    <n v="103"/>
    <x v="102"/>
    <s v="Siti Amisa"/>
    <s v="Female"/>
    <d v="1992-05-18T00:00:00"/>
    <d v="2020-03-16T00:00:00"/>
    <x v="0"/>
    <x v="0"/>
    <s v="Probation"/>
    <s v="sitiamisa@email.com"/>
    <s v="083493161963"/>
  </r>
  <r>
    <n v="104"/>
    <x v="103"/>
    <s v="Evi Latifah"/>
    <s v="Female"/>
    <d v="1989-02-17T00:00:00"/>
    <d v="2021-01-17T00:00:00"/>
    <x v="0"/>
    <x v="0"/>
    <s v="Active"/>
    <s v="evilatifah@email.com"/>
    <s v="082613151224"/>
  </r>
  <r>
    <n v="105"/>
    <x v="104"/>
    <s v="Wawas Setiawati"/>
    <s v="Female"/>
    <d v="1992-05-18T00:00:00"/>
    <d v="2023-11-20T00:00:00"/>
    <x v="0"/>
    <x v="0"/>
    <s v="Active"/>
    <s v="wawassetiawati@email.com"/>
    <s v="084719932746"/>
  </r>
  <r>
    <n v="106"/>
    <x v="105"/>
    <s v="Dinda Permata Mariza"/>
    <s v="Female"/>
    <d v="1988-01-26T00:00:00"/>
    <d v="2023-03-02T00:00:00"/>
    <x v="0"/>
    <x v="0"/>
    <s v="Resigned"/>
    <s v="dindapermatamariza@email.com"/>
    <s v="087950986555"/>
  </r>
  <r>
    <n v="107"/>
    <x v="106"/>
    <s v="Reva"/>
    <s v="Female"/>
    <d v="1985-02-08T00:00:00"/>
    <d v="2025-06-28T00:00:00"/>
    <x v="7"/>
    <x v="7"/>
    <s v="Active"/>
    <s v="reva@email.com"/>
    <s v="088885842906"/>
  </r>
  <r>
    <n v="108"/>
    <x v="107"/>
    <s v="Nita Nurlita"/>
    <s v="Female"/>
    <d v="1986-11-11T00:00:00"/>
    <d v="2022-12-20T00:00:00"/>
    <x v="0"/>
    <x v="0"/>
    <s v="Active"/>
    <s v="nitanurlita@email.com"/>
    <s v="083569004708"/>
  </r>
  <r>
    <n v="109"/>
    <x v="108"/>
    <s v="Imam Widiyanto"/>
    <s v="Male"/>
    <d v="2004-02-29T00:00:00"/>
    <d v="2021-03-14T00:00:00"/>
    <x v="0"/>
    <x v="0"/>
    <s v="Probation"/>
    <s v="imamwidiyanto@email.com"/>
    <s v="086262055874"/>
  </r>
  <r>
    <n v="110"/>
    <x v="109"/>
    <s v="Soni Haryanto"/>
    <s v="Male"/>
    <d v="1986-04-20T00:00:00"/>
    <d v="2018-10-05T00:00:00"/>
    <x v="5"/>
    <x v="5"/>
    <s v="Resigned"/>
    <s v="soniharyanto@email.com"/>
    <s v="084197987717"/>
  </r>
  <r>
    <n v="111"/>
    <x v="110"/>
    <s v="Siti Nur Aeni"/>
    <s v="Female"/>
    <d v="1999-12-04T00:00:00"/>
    <d v="2023-05-18T00:00:00"/>
    <x v="0"/>
    <x v="0"/>
    <s v="Probation"/>
    <s v="sitinuraeni@email.com"/>
    <s v="080514331296"/>
  </r>
  <r>
    <n v="112"/>
    <x v="111"/>
    <s v="Naya Meisya Fiantika"/>
    <s v="Female"/>
    <d v="1993-07-01T00:00:00"/>
    <d v="2022-06-18T00:00:00"/>
    <x v="2"/>
    <x v="2"/>
    <s v="Active"/>
    <s v="nayameisyafiantika@email.com"/>
    <s v="084172630598"/>
  </r>
  <r>
    <n v="113"/>
    <x v="112"/>
    <s v="Hermawati"/>
    <s v="Female"/>
    <d v="1991-07-12T00:00:00"/>
    <d v="2024-11-14T00:00:00"/>
    <x v="0"/>
    <x v="0"/>
    <s v="Probation"/>
    <s v="hermawati@email.com"/>
    <s v="082913790841"/>
  </r>
  <r>
    <n v="114"/>
    <x v="113"/>
    <s v="Nurul Mulyaningsih"/>
    <s v="Female"/>
    <d v="2000-07-26T00:00:00"/>
    <d v="2025-03-14T00:00:00"/>
    <x v="0"/>
    <x v="0"/>
    <s v="Probation"/>
    <s v="nurulmulyaningsih@email.com"/>
    <s v="085018323941"/>
  </r>
  <r>
    <n v="115"/>
    <x v="114"/>
    <s v="Ragil Amalia Az Zahrah"/>
    <s v="Female"/>
    <d v="2001-03-16T00:00:00"/>
    <d v="2018-09-23T00:00:00"/>
    <x v="0"/>
    <x v="0"/>
    <s v="Probation"/>
    <s v="ragilamaliaazzahrah@email.com"/>
    <s v="085018323931"/>
  </r>
  <r>
    <n v="116"/>
    <x v="115"/>
    <s v="Mochamad Erwin Rois"/>
    <s v="Male"/>
    <d v="1997-05-21T00:00:00"/>
    <d v="2022-08-27T00:00:00"/>
    <x v="0"/>
    <x v="0"/>
    <s v="Active"/>
    <s v="mochamaderwinrois@email.com"/>
    <s v="081941365199"/>
  </r>
  <r>
    <n v="117"/>
    <x v="116"/>
    <s v="Muhammad Syahrul Ahnan"/>
    <s v="Male"/>
    <d v="1987-01-25T00:00:00"/>
    <d v="2022-03-03T00:00:00"/>
    <x v="5"/>
    <x v="5"/>
    <s v="Active"/>
    <s v="muhammadsyahrulahnan@email.com"/>
    <s v="082104364954"/>
  </r>
  <r>
    <n v="118"/>
    <x v="117"/>
    <s v="Didi Agus Setiawan"/>
    <s v="Male"/>
    <d v="1993-09-09T00:00:00"/>
    <d v="2025-07-15T00:00:00"/>
    <x v="0"/>
    <x v="0"/>
    <s v="Resigned"/>
    <s v="didiagussetiawan@email.com"/>
    <s v="086559762033"/>
  </r>
  <r>
    <n v="119"/>
    <x v="118"/>
    <s v="Khayrunisha Salsabila"/>
    <s v="Female"/>
    <d v="1994-08-07T00:00:00"/>
    <d v="2020-10-09T00:00:00"/>
    <x v="0"/>
    <x v="0"/>
    <s v="Probation"/>
    <s v="khayrunishasalsabila@email.com"/>
    <s v="080752089213"/>
  </r>
  <r>
    <n v="120"/>
    <x v="119"/>
    <s v="Diah Safitri"/>
    <s v="Female"/>
    <d v="1994-10-20T00:00:00"/>
    <d v="2023-06-12T00:00:00"/>
    <x v="0"/>
    <x v="0"/>
    <s v="Resigned"/>
    <s v="diahsafitri@email.com"/>
    <s v="089265929501"/>
  </r>
  <r>
    <n v="121"/>
    <x v="120"/>
    <s v="Gandhis Sekar Taji"/>
    <s v="Female"/>
    <d v="1986-06-17T00:00:00"/>
    <d v="2024-04-22T00:00:00"/>
    <x v="8"/>
    <x v="8"/>
    <s v="Active"/>
    <s v="gandhissekartaji@email.com"/>
    <s v="082824785186"/>
  </r>
  <r>
    <n v="122"/>
    <x v="121"/>
    <s v="Aditya Eka Saputra"/>
    <s v="Male"/>
    <d v="1995-06-11T00:00:00"/>
    <d v="2022-08-31T00:00:00"/>
    <x v="0"/>
    <x v="0"/>
    <s v="Resigned"/>
    <s v="adityaekasaputra@email.com"/>
    <s v="089965861330"/>
  </r>
  <r>
    <n v="123"/>
    <x v="122"/>
    <s v="Khofiatus Syukur Pratama"/>
    <s v="Male"/>
    <d v="1989-11-27T00:00:00"/>
    <d v="2024-08-17T00:00:00"/>
    <x v="0"/>
    <x v="0"/>
    <s v="Active"/>
    <s v="khofiatussyukurpratama@email.com"/>
    <s v="0868658328"/>
  </r>
  <r>
    <n v="124"/>
    <x v="123"/>
    <s v="Nimas Serli Purwanti"/>
    <s v="Female"/>
    <d v="1991-08-03T00:00:00"/>
    <d v="2024-06-25T00:00:00"/>
    <x v="8"/>
    <x v="8"/>
    <s v="Resigned"/>
    <s v="nimasserlipurwanti@email.com"/>
    <s v="084191247802"/>
  </r>
  <r>
    <n v="125"/>
    <x v="124"/>
    <s v="Oki Feri Nursandi"/>
    <s v="Male"/>
    <d v="1995-08-07T00:00:00"/>
    <d v="2020-01-02T00:00:00"/>
    <x v="0"/>
    <x v="0"/>
    <s v="Resigned"/>
    <s v="okiferinursandi@email.com"/>
    <s v="082940326329"/>
  </r>
  <r>
    <n v="126"/>
    <x v="125"/>
    <s v="Muhamad Parikhi"/>
    <s v="Male"/>
    <d v="1997-07-26T00:00:00"/>
    <d v="2022-02-13T00:00:00"/>
    <x v="6"/>
    <x v="6"/>
    <s v="Active"/>
    <s v="muhamadparikhi@email.com"/>
    <s v="082102612193"/>
  </r>
  <r>
    <n v="127"/>
    <x v="126"/>
    <s v="Rian Adi Saputra"/>
    <s v="Male"/>
    <d v="1991-10-26T00:00:00"/>
    <d v="2022-11-14T00:00:00"/>
    <x v="0"/>
    <x v="0"/>
    <s v="Probation"/>
    <s v="rianadisaputra@email.com"/>
    <s v="0854279230"/>
  </r>
  <r>
    <n v="128"/>
    <x v="127"/>
    <s v="Sepria Adimulya"/>
    <s v="Male"/>
    <d v="2000-12-27T00:00:00"/>
    <d v="2023-10-14T00:00:00"/>
    <x v="5"/>
    <x v="5"/>
    <s v="Active"/>
    <s v="sepriaadimulya@email.com"/>
    <s v="082635081873"/>
  </r>
  <r>
    <n v="129"/>
    <x v="128"/>
    <s v="Ismiatun Maghfiroh"/>
    <s v="Female"/>
    <d v="1996-12-26T00:00:00"/>
    <d v="2025-05-11T00:00:00"/>
    <x v="2"/>
    <x v="2"/>
    <s v="Active"/>
    <s v="ismiatunmaghfiroh@email.com"/>
    <s v="088933868092"/>
  </r>
  <r>
    <n v="130"/>
    <x v="129"/>
    <s v="Krisna Juni Pamungkas"/>
    <s v="Male"/>
    <d v="2002-10-25T00:00:00"/>
    <d v="2022-08-27T00:00:00"/>
    <x v="0"/>
    <x v="0"/>
    <s v="Active"/>
    <s v="krisnajunipamungkas@email.com"/>
    <s v="085493560022"/>
  </r>
  <r>
    <n v="131"/>
    <x v="130"/>
    <s v="Azzahra Mulyaningtyas"/>
    <s v="Female"/>
    <d v="2003-04-06T00:00:00"/>
    <d v="2019-03-07T00:00:00"/>
    <x v="0"/>
    <x v="0"/>
    <s v="Resigned"/>
    <s v="azzahramulyaningtyas@email.com"/>
    <s v="087827766076"/>
  </r>
  <r>
    <n v="132"/>
    <x v="131"/>
    <s v="Siti Rahayu"/>
    <s v="Female"/>
    <d v="2003-09-26T00:00:00"/>
    <d v="2025-03-17T00:00:00"/>
    <x v="0"/>
    <x v="0"/>
    <s v="Probation"/>
    <s v="sitirahayu@email.com"/>
    <s v="083069540028"/>
  </r>
  <r>
    <n v="133"/>
    <x v="132"/>
    <s v="Cintiya Meilina"/>
    <s v="Female"/>
    <d v="1992-09-22T00:00:00"/>
    <d v="2019-04-17T00:00:00"/>
    <x v="8"/>
    <x v="8"/>
    <s v="Active"/>
    <s v="cintiyameilina@email.com"/>
    <s v="085794523761"/>
  </r>
  <r>
    <n v="134"/>
    <x v="133"/>
    <s v="Wiwik Juniarsih"/>
    <s v="Female"/>
    <d v="1992-05-13T00:00:00"/>
    <d v="2018-05-20T00:00:00"/>
    <x v="0"/>
    <x v="0"/>
    <s v="Resigned"/>
    <s v="wiwikjuniarsih@email.com"/>
    <s v="0801337301"/>
  </r>
  <r>
    <n v="135"/>
    <x v="134"/>
    <s v="Dian Elga Prastika"/>
    <s v="Female"/>
    <d v="2000-09-07T00:00:00"/>
    <d v="2023-01-19T00:00:00"/>
    <x v="0"/>
    <x v="0"/>
    <s v="Active"/>
    <s v="dianelgaprastika@email.com"/>
    <s v="088375734850"/>
  </r>
  <r>
    <n v="136"/>
    <x v="135"/>
    <s v="M Niki Cahaya Purnomo"/>
    <s v="Male"/>
    <d v="1988-02-19T00:00:00"/>
    <d v="2018-09-18T00:00:00"/>
    <x v="0"/>
    <x v="0"/>
    <s v="Resigned"/>
    <s v="mnikicahayapurnomo@email.com"/>
    <s v="084665500406"/>
  </r>
  <r>
    <n v="137"/>
    <x v="136"/>
    <s v="Ranti Livia Sari"/>
    <s v="Female"/>
    <d v="1987-08-26T00:00:00"/>
    <d v="2019-02-14T00:00:00"/>
    <x v="1"/>
    <x v="1"/>
    <s v="Resigned"/>
    <s v="rantiliviasari@email.com"/>
    <s v="082870294285"/>
  </r>
  <r>
    <n v="138"/>
    <x v="137"/>
    <s v="Yuliasih"/>
    <s v="Female"/>
    <d v="1998-01-25T00:00:00"/>
    <d v="2019-03-22T00:00:00"/>
    <x v="0"/>
    <x v="0"/>
    <s v="Resigned"/>
    <s v="yuliasih@email.com"/>
    <s v="088362340887"/>
  </r>
  <r>
    <n v="139"/>
    <x v="138"/>
    <s v="Akhmad Faozi Saputra"/>
    <s v="Male"/>
    <d v="1991-09-16T00:00:00"/>
    <d v="2019-11-15T00:00:00"/>
    <x v="0"/>
    <x v="0"/>
    <s v="Probation"/>
    <s v="akhmadfaozisaputra@email.com"/>
    <s v="085111368796"/>
  </r>
  <r>
    <n v="140"/>
    <x v="139"/>
    <s v="Juwita Atika Putri"/>
    <s v="Female"/>
    <d v="1985-04-21T00:00:00"/>
    <d v="2023-08-03T00:00:00"/>
    <x v="0"/>
    <x v="0"/>
    <s v="Resigned"/>
    <s v="juwitaatikaputri@email.com"/>
    <s v="088499097733"/>
  </r>
  <r>
    <n v="141"/>
    <x v="140"/>
    <s v="Muhammad Nur Asfa Fuadi"/>
    <s v="Male"/>
    <d v="1989-09-07T00:00:00"/>
    <d v="2018-09-22T00:00:00"/>
    <x v="5"/>
    <x v="5"/>
    <s v="Resigned"/>
    <s v="muhammadnurasfafuadi@email.com"/>
    <s v="087974595486"/>
  </r>
  <r>
    <n v="142"/>
    <x v="141"/>
    <s v="Dea Putri Amelia"/>
    <s v="Female"/>
    <d v="1998-12-18T00:00:00"/>
    <d v="2022-02-16T00:00:00"/>
    <x v="0"/>
    <x v="0"/>
    <s v="Active"/>
    <s v="deaputriamelia@email.com"/>
    <s v="089166006042"/>
  </r>
  <r>
    <n v="143"/>
    <x v="142"/>
    <s v="Atika Putri Dhiniarie"/>
    <s v="Female"/>
    <d v="1997-11-18T00:00:00"/>
    <d v="2024-09-02T00:00:00"/>
    <x v="8"/>
    <x v="8"/>
    <s v="Active"/>
    <s v="atikaputridhiniarie@email.com"/>
    <s v="088279748493"/>
  </r>
  <r>
    <n v="144"/>
    <x v="143"/>
    <s v="Ahmad Rafi Rifkyansyah"/>
    <s v="Male"/>
    <d v="1988-04-05T00:00:00"/>
    <d v="2022-05-28T00:00:00"/>
    <x v="0"/>
    <x v="0"/>
    <s v="Resigned"/>
    <s v="ahmadrafirifkyansyah@email.com"/>
    <s v="083778725832"/>
  </r>
  <r>
    <n v="145"/>
    <x v="144"/>
    <s v="Wilda Islami"/>
    <s v="Male"/>
    <d v="2003-08-12T00:00:00"/>
    <d v="2018-03-21T00:00:00"/>
    <x v="5"/>
    <x v="5"/>
    <s v="Resigned"/>
    <s v="wildaislami@email.com"/>
    <s v="080649427962"/>
  </r>
  <r>
    <n v="146"/>
    <x v="145"/>
    <s v="Rahma Elsantanawati"/>
    <s v="Female"/>
    <d v="1997-11-13T00:00:00"/>
    <d v="2024-12-10T00:00:00"/>
    <x v="0"/>
    <x v="0"/>
    <s v="Active"/>
    <s v="rahmaelsantanawati@email.com"/>
    <s v="085368578737"/>
  </r>
  <r>
    <n v="147"/>
    <x v="146"/>
    <s v="Sri Aidah"/>
    <s v="Female"/>
    <d v="1994-11-12T00:00:00"/>
    <d v="2023-06-21T00:00:00"/>
    <x v="2"/>
    <x v="2"/>
    <s v="Active"/>
    <s v="sriaidah@email.com"/>
    <s v="084830286333"/>
  </r>
  <r>
    <n v="148"/>
    <x v="147"/>
    <s v="Syamsudin"/>
    <s v="Male"/>
    <d v="1985-12-06T00:00:00"/>
    <d v="2019-05-01T00:00:00"/>
    <x v="5"/>
    <x v="5"/>
    <s v="Active"/>
    <s v="syamsudin@email.com"/>
    <s v="080677650320"/>
  </r>
  <r>
    <n v="149"/>
    <x v="148"/>
    <s v="Nisaul Fatimah"/>
    <s v="Female"/>
    <d v="1997-08-08T00:00:00"/>
    <d v="2024-04-07T00:00:00"/>
    <x v="0"/>
    <x v="0"/>
    <s v="Probation"/>
    <s v="nisaulfatimah@email.com"/>
    <s v="087067563633"/>
  </r>
  <r>
    <n v="150"/>
    <x v="149"/>
    <s v="Irma Elfiana"/>
    <s v="Female"/>
    <d v="1990-08-16T00:00:00"/>
    <d v="2019-03-30T00:00:00"/>
    <x v="0"/>
    <x v="0"/>
    <s v="Probation"/>
    <s v="irmaelfiana@email.com"/>
    <s v="080222482162"/>
  </r>
  <r>
    <n v="151"/>
    <x v="150"/>
    <s v="Davit Hendriansyah"/>
    <s v="Male"/>
    <d v="2003-05-25T00:00:00"/>
    <d v="2019-09-11T00:00:00"/>
    <x v="4"/>
    <x v="4"/>
    <s v="Resigned"/>
    <s v="davithendriansyah@email.com"/>
    <s v="089748802594"/>
  </r>
  <r>
    <n v="152"/>
    <x v="151"/>
    <s v="Raafi Naafiu Ghaniy"/>
    <s v="Male"/>
    <d v="1985-08-21T00:00:00"/>
    <d v="2022-08-27T00:00:00"/>
    <x v="0"/>
    <x v="0"/>
    <s v="Probation"/>
    <s v="raafinaafiughaniy@email.com"/>
    <s v="086176764120"/>
  </r>
  <r>
    <n v="153"/>
    <x v="152"/>
    <s v="Misbah Syahru Ramadhan"/>
    <s v="Male"/>
    <d v="1990-10-09T00:00:00"/>
    <d v="2020-05-22T00:00:00"/>
    <x v="0"/>
    <x v="0"/>
    <s v="Probation"/>
    <s v="misbahsyahruramadhan@email.com"/>
    <s v="086793761594"/>
  </r>
  <r>
    <n v="154"/>
    <x v="153"/>
    <s v="Siti Mutiara Nikmah"/>
    <s v="Female"/>
    <d v="1988-01-17T00:00:00"/>
    <d v="2025-07-12T00:00:00"/>
    <x v="0"/>
    <x v="0"/>
    <s v="Active"/>
    <s v="sitimutiaranikmah@email.com"/>
    <s v="082348105181"/>
  </r>
  <r>
    <n v="155"/>
    <x v="154"/>
    <s v="Hadi Setiadi"/>
    <s v="Male"/>
    <d v="2002-08-19T00:00:00"/>
    <d v="2018-03-27T00:00:00"/>
    <x v="1"/>
    <x v="1"/>
    <s v="Probation"/>
    <s v="hadisetiadi@email.com"/>
    <s v="089785724196"/>
  </r>
  <r>
    <n v="156"/>
    <x v="155"/>
    <s v="Siti Masito"/>
    <s v="Female"/>
    <d v="1985-12-26T00:00:00"/>
    <d v="2018-02-17T00:00:00"/>
    <x v="0"/>
    <x v="0"/>
    <s v="Probation"/>
    <s v="sitimasito@email.com"/>
    <s v="089881253114"/>
  </r>
  <r>
    <n v="157"/>
    <x v="156"/>
    <s v="Nurjahidin"/>
    <s v="Male"/>
    <d v="1988-03-16T00:00:00"/>
    <d v="2019-01-03T00:00:00"/>
    <x v="0"/>
    <x v="0"/>
    <s v="Probation"/>
    <s v="nurjahidin@email.com"/>
    <s v="089881253111"/>
  </r>
  <r>
    <n v="158"/>
    <x v="157"/>
    <s v="Suprihana"/>
    <s v="Male"/>
    <d v="1988-03-28T00:00:00"/>
    <d v="2022-11-10T00:00:00"/>
    <x v="0"/>
    <x v="0"/>
    <s v="Active"/>
    <s v="suprihana@email.com"/>
    <s v="080096953432"/>
  </r>
  <r>
    <n v="159"/>
    <x v="158"/>
    <s v="Putikha"/>
    <s v="Female"/>
    <d v="2000-10-11T00:00:00"/>
    <d v="2023-08-17T00:00:00"/>
    <x v="0"/>
    <x v="0"/>
    <s v="Resigned"/>
    <s v="putikha@email.com"/>
    <s v="088492264330"/>
  </r>
  <r>
    <n v="160"/>
    <x v="159"/>
    <s v="Nizar Abiyadin Nafis"/>
    <s v="Male"/>
    <d v="2004-01-27T00:00:00"/>
    <d v="2022-10-28T00:00:00"/>
    <x v="0"/>
    <x v="0"/>
    <s v="Active"/>
    <s v="nizarabiyadinnafis@email.com"/>
    <s v="086576856897"/>
  </r>
  <r>
    <n v="161"/>
    <x v="160"/>
    <s v="Ikhfa Ghouzaly Gymnastiar"/>
    <s v="Male"/>
    <d v="2003-10-02T00:00:00"/>
    <d v="2021-11-19T00:00:00"/>
    <x v="0"/>
    <x v="0"/>
    <s v="Probation"/>
    <s v="ikhfaghouzalygymnastiar@email.com"/>
    <s v="0805677688"/>
  </r>
  <r>
    <n v="162"/>
    <x v="161"/>
    <s v="Ody Bambang Supriadi"/>
    <s v="Male"/>
    <d v="1985-04-26T00:00:00"/>
    <d v="2018-02-28T00:00:00"/>
    <x v="0"/>
    <x v="0"/>
    <s v="Active"/>
    <s v="odybambangsupriadi@email.com"/>
    <s v="080126343551"/>
  </r>
  <r>
    <n v="163"/>
    <x v="162"/>
    <s v="Juweriyah Anggrek Suryani"/>
    <s v="Female"/>
    <d v="1991-10-03T00:00:00"/>
    <d v="2022-10-29T00:00:00"/>
    <x v="0"/>
    <x v="0"/>
    <s v="Probation"/>
    <s v="juweriyahanggreksuryani@email.com"/>
    <s v="083563092361"/>
  </r>
  <r>
    <n v="164"/>
    <x v="163"/>
    <s v="Rizki Baehaqi"/>
    <s v="Male"/>
    <d v="1996-07-09T00:00:00"/>
    <d v="2020-03-23T00:00:00"/>
    <x v="0"/>
    <x v="0"/>
    <s v="Probation"/>
    <s v="rizkibaehaqi@email.com"/>
    <s v="089683657517"/>
  </r>
  <r>
    <n v="165"/>
    <x v="164"/>
    <s v="Triyoso"/>
    <s v="Female"/>
    <d v="1998-01-17T00:00:00"/>
    <d v="2022-11-02T00:00:00"/>
    <x v="0"/>
    <x v="0"/>
    <s v="Active"/>
    <s v="triyoso@email.com"/>
    <s v="083254998230"/>
  </r>
  <r>
    <n v="166"/>
    <x v="165"/>
    <s v="Izza Fredata Endarto"/>
    <s v="Male"/>
    <d v="1994-02-15T00:00:00"/>
    <d v="2018-12-13T00:00:00"/>
    <x v="5"/>
    <x v="5"/>
    <s v="Active"/>
    <s v="izzafredataendarto@email.com"/>
    <s v="085069327482"/>
  </r>
  <r>
    <n v="167"/>
    <x v="166"/>
    <s v="Anis Alfiyati"/>
    <s v="Female"/>
    <d v="1996-06-11T00:00:00"/>
    <d v="2024-03-16T00:00:00"/>
    <x v="0"/>
    <x v="0"/>
    <s v="Probation"/>
    <s v="anisalfiyati@email.com"/>
    <s v="083968334425"/>
  </r>
  <r>
    <n v="168"/>
    <x v="167"/>
    <s v="Jihan Maulina"/>
    <s v="Female"/>
    <d v="2000-07-10T00:00:00"/>
    <d v="2022-03-09T00:00:00"/>
    <x v="0"/>
    <x v="0"/>
    <s v="Probation"/>
    <s v="jihanmaulina@email.com"/>
    <s v="083968334433"/>
  </r>
  <r>
    <n v="169"/>
    <x v="168"/>
    <s v="Khanina Lestary"/>
    <s v="Female"/>
    <d v="1995-03-20T00:00:00"/>
    <d v="2020-08-19T00:00:00"/>
    <x v="0"/>
    <x v="0"/>
    <s v="Resigned"/>
    <s v="khaninalestary@email.com"/>
    <s v="087316097167"/>
  </r>
  <r>
    <n v="170"/>
    <x v="169"/>
    <s v="Pipit Slamet Sugiarti Irawan"/>
    <s v="Female"/>
    <d v="1991-09-28T00:00:00"/>
    <d v="2020-06-12T00:00:00"/>
    <x v="0"/>
    <x v="0"/>
    <s v="Probation"/>
    <s v="pipitslametsugiartiirawan@email.com"/>
    <s v="083960626749"/>
  </r>
  <r>
    <n v="171"/>
    <x v="170"/>
    <s v="Witriyah"/>
    <s v="Female"/>
    <d v="1997-08-28T00:00:00"/>
    <d v="2023-08-01T00:00:00"/>
    <x v="0"/>
    <x v="0"/>
    <s v="Active"/>
    <s v="witriyah@email.com"/>
    <s v="089677465415"/>
  </r>
  <r>
    <n v="172"/>
    <x v="171"/>
    <s v="Ragil Baehaqy Hidayat"/>
    <s v="Male"/>
    <d v="1998-12-15T00:00:00"/>
    <d v="2022-03-13T00:00:00"/>
    <x v="0"/>
    <x v="0"/>
    <s v="Active"/>
    <s v="ragilbaehaqyhidayat@email.com"/>
    <s v="082083313264"/>
  </r>
  <r>
    <n v="173"/>
    <x v="172"/>
    <s v="Erni Suherni"/>
    <s v="Female"/>
    <d v="1986-04-03T00:00:00"/>
    <d v="2024-02-15T00:00:00"/>
    <x v="0"/>
    <x v="0"/>
    <s v="Probation"/>
    <s v="ernisuherni@email.com"/>
    <s v="083317041046"/>
  </r>
  <r>
    <n v="174"/>
    <x v="173"/>
    <s v="Rahel Riyandi"/>
    <s v="Male"/>
    <d v="1991-12-24T00:00:00"/>
    <d v="2023-05-18T00:00:00"/>
    <x v="1"/>
    <x v="1"/>
    <s v="Probation"/>
    <s v="rahelriyandi@email.com"/>
    <s v="083771735539"/>
  </r>
  <r>
    <n v="175"/>
    <x v="174"/>
    <s v="Agus Lukiana"/>
    <s v="Female"/>
    <d v="1999-08-16T00:00:00"/>
    <d v="2019-10-17T00:00:00"/>
    <x v="0"/>
    <x v="0"/>
    <s v="Active"/>
    <s v="aguslukiana@email.com"/>
    <s v="089756465511"/>
  </r>
  <r>
    <n v="176"/>
    <x v="175"/>
    <s v="Ridwan"/>
    <s v="Male"/>
    <d v="2002-08-07T00:00:00"/>
    <d v="2024-05-13T00:00:00"/>
    <x v="0"/>
    <x v="0"/>
    <s v="Active"/>
    <s v="ridwan@email.com"/>
    <s v="088192048658"/>
  </r>
  <r>
    <n v="177"/>
    <x v="176"/>
    <s v="Nughni Al Gauran"/>
    <s v="Male"/>
    <d v="1986-09-13T00:00:00"/>
    <d v="2019-07-02T00:00:00"/>
    <x v="0"/>
    <x v="0"/>
    <s v="Probation"/>
    <s v="nughnialgauran@email.com"/>
    <s v="082333826760"/>
  </r>
  <r>
    <n v="178"/>
    <x v="177"/>
    <s v="Yudha Rizki Wibowo"/>
    <s v="Male"/>
    <d v="1997-12-28T00:00:00"/>
    <d v="2018-03-28T00:00:00"/>
    <x v="5"/>
    <x v="5"/>
    <s v="Active"/>
    <s v="yudharizkiwibowo@email.com"/>
    <s v="080904867517"/>
  </r>
  <r>
    <n v="179"/>
    <x v="178"/>
    <s v="Wandi Ardiansyah Putra"/>
    <s v="Male"/>
    <d v="1997-06-27T00:00:00"/>
    <d v="2024-04-13T00:00:00"/>
    <x v="0"/>
    <x v="0"/>
    <s v="Probation"/>
    <s v="wandiardiansyahputra@email.com"/>
    <s v="085085830341"/>
  </r>
  <r>
    <n v="180"/>
    <x v="179"/>
    <s v="Yunita Budiman"/>
    <s v="Female"/>
    <d v="1996-12-24T00:00:00"/>
    <d v="2024-09-12T00:00:00"/>
    <x v="0"/>
    <x v="0"/>
    <s v="Active"/>
    <s v="yunitabudiman@email.com"/>
    <s v="088926642021"/>
  </r>
  <r>
    <n v="181"/>
    <x v="180"/>
    <s v="Affan Bagas Arokhman"/>
    <s v="Male"/>
    <d v="1986-05-27T00:00:00"/>
    <d v="2021-06-18T00:00:00"/>
    <x v="0"/>
    <x v="0"/>
    <s v="Probation"/>
    <s v="affanbagasarokhman@email.com"/>
    <s v="087849737440"/>
  </r>
  <r>
    <n v="182"/>
    <x v="181"/>
    <s v="Anugrah Nur Fristian"/>
    <s v="Male"/>
    <d v="1985-08-13T00:00:00"/>
    <d v="2024-01-06T00:00:00"/>
    <x v="0"/>
    <x v="0"/>
    <s v="Probation"/>
    <s v="anugrahnurfristian@email.com"/>
    <s v="080327938947"/>
  </r>
  <r>
    <n v="183"/>
    <x v="182"/>
    <s v="Ahmal Ardianto"/>
    <s v="Male"/>
    <d v="2000-10-21T00:00:00"/>
    <d v="2019-09-08T00:00:00"/>
    <x v="6"/>
    <x v="6"/>
    <s v="Active"/>
    <s v="ahmalardianto@email.com"/>
    <s v="082584753759"/>
  </r>
  <r>
    <n v="184"/>
    <x v="183"/>
    <s v="Laelatul Azizah"/>
    <s v="Female"/>
    <d v="1992-11-14T00:00:00"/>
    <d v="2018-04-18T00:00:00"/>
    <x v="0"/>
    <x v="0"/>
    <s v="Active"/>
    <s v="laelatulazizah@email.com"/>
    <s v="086353185776"/>
  </r>
  <r>
    <n v="185"/>
    <x v="184"/>
    <s v="Fitriya Wijayanti"/>
    <s v="Female"/>
    <d v="1988-08-18T00:00:00"/>
    <d v="2023-04-26T00:00:00"/>
    <x v="0"/>
    <x v="0"/>
    <s v="Probation"/>
    <s v="fitriyawijayanti@email.com"/>
    <s v="083020293852"/>
  </r>
  <r>
    <n v="186"/>
    <x v="185"/>
    <s v="Windi Santia Andrayani"/>
    <s v="Female"/>
    <d v="1993-05-10T00:00:00"/>
    <d v="2024-03-15T00:00:00"/>
    <x v="1"/>
    <x v="1"/>
    <s v="Probation"/>
    <s v="windisantiaandrayani@email.com"/>
    <s v="082376334892"/>
  </r>
  <r>
    <n v="187"/>
    <x v="186"/>
    <s v="Shilvia Saputri"/>
    <s v="Female"/>
    <d v="1996-04-03T00:00:00"/>
    <d v="2025-08-18T00:00:00"/>
    <x v="0"/>
    <x v="0"/>
    <s v="Probation"/>
    <s v="shilviasaputri@email.com"/>
    <s v="086593252106"/>
  </r>
  <r>
    <n v="188"/>
    <x v="187"/>
    <s v="Iin Tanisah"/>
    <s v="Female"/>
    <d v="1994-05-23T00:00:00"/>
    <d v="2022-11-18T00:00:00"/>
    <x v="0"/>
    <x v="0"/>
    <s v="Active"/>
    <s v="iintanisah@email.com"/>
    <s v="087640417872"/>
  </r>
  <r>
    <n v="189"/>
    <x v="188"/>
    <s v="Muhamad Ainun Umam"/>
    <s v="Male"/>
    <d v="1986-05-28T00:00:00"/>
    <d v="2018-02-08T00:00:00"/>
    <x v="5"/>
    <x v="5"/>
    <s v="Active"/>
    <s v="muhamadainunumam@email.com"/>
    <s v="080648538826"/>
  </r>
  <r>
    <n v="190"/>
    <x v="189"/>
    <s v="Nugi Rangga Rantausia"/>
    <s v="Male"/>
    <d v="1994-06-07T00:00:00"/>
    <d v="2024-03-18T00:00:00"/>
    <x v="0"/>
    <x v="0"/>
    <s v="Probation"/>
    <s v="nugiranggarantausia@email.com"/>
    <s v="084444910257"/>
  </r>
  <r>
    <n v="191"/>
    <x v="190"/>
    <s v="Siti Mulyati"/>
    <s v="Female"/>
    <d v="1985-11-05T00:00:00"/>
    <d v="2023-04-10T00:00:00"/>
    <x v="0"/>
    <x v="0"/>
    <s v="Probation"/>
    <s v="sitimulyati@email.com"/>
    <s v="086036752515"/>
  </r>
  <r>
    <n v="192"/>
    <x v="191"/>
    <s v="Resgiyan Trenanda"/>
    <s v="Male"/>
    <d v="1989-05-24T00:00:00"/>
    <d v="2023-07-15T00:00:00"/>
    <x v="0"/>
    <x v="0"/>
    <s v="Resigned"/>
    <s v="resgiyantrenanda@email.com"/>
    <s v="085941668963"/>
  </r>
  <r>
    <n v="193"/>
    <x v="192"/>
    <s v="Kadinda Nur Agustin"/>
    <s v="Female"/>
    <d v="1985-02-23T00:00:00"/>
    <d v="2022-08-31T00:00:00"/>
    <x v="0"/>
    <x v="0"/>
    <s v="Probation"/>
    <s v="kadindanuragustin@email.com"/>
    <s v="082821076136"/>
  </r>
  <r>
    <n v="194"/>
    <x v="193"/>
    <s v="Galuh Fitri Ningrum"/>
    <s v="Female"/>
    <d v="2001-05-15T00:00:00"/>
    <d v="2022-03-22T00:00:00"/>
    <x v="8"/>
    <x v="8"/>
    <s v="Resigned"/>
    <s v="galuhfitriningrum@email.com"/>
    <s v="086276420087"/>
  </r>
  <r>
    <n v="195"/>
    <x v="194"/>
    <s v="Nur Oftavia"/>
    <s v="Female"/>
    <d v="1995-11-03T00:00:00"/>
    <d v="2024-08-05T00:00:00"/>
    <x v="0"/>
    <x v="0"/>
    <s v="Probation"/>
    <s v="nuroftavia@email.com"/>
    <s v="088018470946"/>
  </r>
  <r>
    <n v="196"/>
    <x v="195"/>
    <s v="Aji Sanjaya"/>
    <s v="Male"/>
    <d v="1988-07-06T00:00:00"/>
    <d v="2021-02-07T00:00:00"/>
    <x v="6"/>
    <x v="6"/>
    <s v="Active"/>
    <s v="ajisanjaya@email.com"/>
    <s v="087849774444"/>
  </r>
  <r>
    <n v="197"/>
    <x v="196"/>
    <s v="Citra Ayu Saputri"/>
    <s v="Female"/>
    <d v="1991-07-07T00:00:00"/>
    <d v="2023-11-16T00:00:00"/>
    <x v="0"/>
    <x v="0"/>
    <s v="Resigned"/>
    <s v="citraayusaputri@email.com"/>
    <s v="087998291028"/>
  </r>
  <r>
    <n v="198"/>
    <x v="197"/>
    <s v="Aisyah Ummu Latifah"/>
    <s v="Female"/>
    <d v="2001-01-24T00:00:00"/>
    <d v="2024-01-14T00:00:00"/>
    <x v="0"/>
    <x v="0"/>
    <s v="Probation"/>
    <s v="aisyahummulatifah@email.com"/>
    <s v="081391052764"/>
  </r>
  <r>
    <n v="199"/>
    <x v="198"/>
    <s v="Ruri Septiana"/>
    <s v="Female"/>
    <d v="1999-11-24T00:00:00"/>
    <d v="2024-01-21T00:00:00"/>
    <x v="0"/>
    <x v="0"/>
    <s v="Active"/>
    <s v="ruriseptiana@email.com"/>
    <s v="087653690003"/>
  </r>
  <r>
    <n v="200"/>
    <x v="199"/>
    <s v="Wika Dwi Nopelia"/>
    <s v="Female"/>
    <d v="1998-11-05T00:00:00"/>
    <d v="2023-10-31T00:00:00"/>
    <x v="0"/>
    <x v="0"/>
    <s v="Probation"/>
    <s v="wikadwinopelia@email.com"/>
    <s v="088087005974"/>
  </r>
  <r>
    <n v="201"/>
    <x v="200"/>
    <s v="Tia Atikah"/>
    <s v="Female"/>
    <d v="1990-03-15T00:00:00"/>
    <d v="2019-06-14T00:00:00"/>
    <x v="0"/>
    <x v="0"/>
    <s v="Active"/>
    <s v="tiaatikah@email.com"/>
    <s v="081281889962"/>
  </r>
  <r>
    <n v="202"/>
    <x v="201"/>
    <s v="Fasikha"/>
    <s v="Female"/>
    <d v="1996-10-26T00:00:00"/>
    <d v="2022-06-18T00:00:00"/>
    <x v="0"/>
    <x v="0"/>
    <s v="Active"/>
    <s v="fasikha@email.com"/>
    <s v="082513621873"/>
  </r>
  <r>
    <n v="203"/>
    <x v="202"/>
    <s v="Misbahul Anam"/>
    <s v="Male"/>
    <d v="1997-03-25T00:00:00"/>
    <d v="2019-02-04T00:00:00"/>
    <x v="0"/>
    <x v="0"/>
    <s v="Probation"/>
    <s v="misbahulanam@email.com"/>
    <s v="083367478357"/>
  </r>
  <r>
    <n v="204"/>
    <x v="203"/>
    <s v="Dimas Aditya B. R"/>
    <s v="Male"/>
    <d v="2003-03-03T00:00:00"/>
    <d v="2021-04-20T00:00:00"/>
    <x v="0"/>
    <x v="0"/>
    <s v="Probation"/>
    <s v="dimasadityab.r@email.com"/>
    <s v="080493094292"/>
  </r>
  <r>
    <n v="205"/>
    <x v="204"/>
    <s v="Khuswatun Khasanah"/>
    <s v="Female"/>
    <d v="1995-09-11T00:00:00"/>
    <d v="2018-12-11T00:00:00"/>
    <x v="0"/>
    <x v="0"/>
    <s v="Probation"/>
    <s v="khuswatunkhasanah@email.com"/>
    <s v="083694878858"/>
  </r>
  <r>
    <n v="206"/>
    <x v="205"/>
    <s v="Rifky Agustian Dwi Putra"/>
    <s v="Male"/>
    <d v="1987-08-24T00:00:00"/>
    <d v="2021-11-16T00:00:00"/>
    <x v="7"/>
    <x v="7"/>
    <s v="Active"/>
    <s v="rifkyagustiandwiputra@email.com"/>
    <s v="083401117691"/>
  </r>
  <r>
    <n v="207"/>
    <x v="206"/>
    <s v="Riski Ikhbal Afdani"/>
    <s v="Male"/>
    <d v="2002-08-28T00:00:00"/>
    <d v="2025-08-20T00:00:00"/>
    <x v="0"/>
    <x v="0"/>
    <s v="Probation"/>
    <s v="riskiikhbalafdani@email.com"/>
    <s v="085649407257"/>
  </r>
  <r>
    <n v="208"/>
    <x v="207"/>
    <s v="Dalpa Nakia"/>
    <s v="Female"/>
    <d v="2001-10-31T00:00:00"/>
    <d v="2018-03-19T00:00:00"/>
    <x v="0"/>
    <x v="0"/>
    <s v="Resigned"/>
    <s v="dalpanakia@email.com"/>
    <s v="086639118590"/>
  </r>
  <r>
    <n v="209"/>
    <x v="208"/>
    <s v="Defi Restu Anandari"/>
    <s v="Female"/>
    <d v="1999-01-27T00:00:00"/>
    <d v="2024-03-13T00:00:00"/>
    <x v="8"/>
    <x v="8"/>
    <s v="Resigned"/>
    <s v="defirestuanandari@email.com"/>
    <s v="089421192674"/>
  </r>
  <r>
    <n v="210"/>
    <x v="209"/>
    <s v="Nur Adi Pramono"/>
    <s v="Male"/>
    <d v="1995-02-10T00:00:00"/>
    <d v="2018-06-02T00:00:00"/>
    <x v="6"/>
    <x v="6"/>
    <s v="Active"/>
    <s v="nuradipramono@email.com"/>
    <s v="084640460500"/>
  </r>
  <r>
    <n v="211"/>
    <x v="210"/>
    <s v="Riyan Fauzi"/>
    <s v="Male"/>
    <d v="1987-05-06T00:00:00"/>
    <d v="2025-05-10T00:00:00"/>
    <x v="6"/>
    <x v="6"/>
    <s v="Active"/>
    <s v="riyanfauzi@email.com"/>
    <s v="080585238873"/>
  </r>
  <r>
    <n v="212"/>
    <x v="211"/>
    <s v="Santi"/>
    <s v="Female"/>
    <d v="2001-01-09T00:00:00"/>
    <d v="2019-01-13T00:00:00"/>
    <x v="0"/>
    <x v="0"/>
    <s v="Probation"/>
    <s v="santi@email.com"/>
    <s v="082648773684"/>
  </r>
  <r>
    <n v="213"/>
    <x v="212"/>
    <s v="Aditya Prasetyo"/>
    <s v="Male"/>
    <d v="1996-03-24T00:00:00"/>
    <d v="2019-05-23T00:00:00"/>
    <x v="5"/>
    <x v="5"/>
    <s v="Active"/>
    <s v="adityaprasetyo@email.com"/>
    <s v="085055845495"/>
  </r>
  <r>
    <n v="214"/>
    <x v="213"/>
    <s v="Dwi Arum Muyita"/>
    <s v="Female"/>
    <d v="1995-07-01T00:00:00"/>
    <d v="2019-08-28T00:00:00"/>
    <x v="0"/>
    <x v="0"/>
    <s v="Resigned"/>
    <s v="dwiarummuyita@email.com"/>
    <s v="083299186976"/>
  </r>
  <r>
    <n v="215"/>
    <x v="214"/>
    <s v="Riyanto"/>
    <s v="Male"/>
    <d v="2002-08-12T00:00:00"/>
    <d v="2024-03-20T00:00:00"/>
    <x v="0"/>
    <x v="0"/>
    <s v="Probation"/>
    <s v="riyanto@email.com"/>
    <s v="085291245465"/>
  </r>
  <r>
    <n v="216"/>
    <x v="215"/>
    <s v="Saeful Iman"/>
    <s v="Male"/>
    <d v="1990-07-15T00:00:00"/>
    <d v="2018-03-26T00:00:00"/>
    <x v="4"/>
    <x v="4"/>
    <s v="Active"/>
    <s v="saefuliman@email.com"/>
    <s v="089548676531"/>
  </r>
  <r>
    <n v="217"/>
    <x v="216"/>
    <s v="Umi Satun Munawaroh"/>
    <s v="Female"/>
    <d v="2000-11-09T00:00:00"/>
    <d v="2022-12-05T00:00:00"/>
    <x v="0"/>
    <x v="0"/>
    <s v="Resigned"/>
    <s v="umisatunmunawaroh@email.com"/>
    <s v="089336842967"/>
  </r>
  <r>
    <n v="218"/>
    <x v="217"/>
    <s v="Riska Kurniasih"/>
    <s v="Female"/>
    <d v="1992-11-15T00:00:00"/>
    <d v="2020-04-18T00:00:00"/>
    <x v="0"/>
    <x v="0"/>
    <s v="Active"/>
    <s v="riskakurniasih@email.com"/>
    <s v="086236445006"/>
  </r>
  <r>
    <n v="219"/>
    <x v="218"/>
    <s v="Mukhamad Ilham Basuki"/>
    <s v="Male"/>
    <d v="1987-12-07T00:00:00"/>
    <d v="2019-01-12T00:00:00"/>
    <x v="1"/>
    <x v="1"/>
    <s v="Resigned"/>
    <s v="mukhamadilhambasuki@email.com"/>
    <s v="082703604408"/>
  </r>
  <r>
    <n v="220"/>
    <x v="219"/>
    <s v="Rizky Artolariek Syah"/>
    <s v="Male"/>
    <d v="2001-07-12T00:00:00"/>
    <d v="2022-10-02T00:00:00"/>
    <x v="8"/>
    <x v="8"/>
    <s v="Resigned"/>
    <s v="rizkyartolarieksyah@email.com"/>
    <s v="088210644596"/>
  </r>
  <r>
    <n v="221"/>
    <x v="220"/>
    <s v="Toto Iskandar"/>
    <s v="Male"/>
    <d v="1987-07-27T00:00:00"/>
    <d v="2018-02-13T00:00:00"/>
    <x v="0"/>
    <x v="0"/>
    <s v="Probation"/>
    <s v="totoiskandar@email.com"/>
    <s v="089652083675"/>
  </r>
  <r>
    <n v="222"/>
    <x v="221"/>
    <s v="Anisa Izaki"/>
    <s v="Female"/>
    <d v="1999-09-30T00:00:00"/>
    <d v="2024-09-26T00:00:00"/>
    <x v="0"/>
    <x v="0"/>
    <s v="Active"/>
    <s v="anisaizaki@email.com"/>
    <s v="089303531056"/>
  </r>
  <r>
    <n v="223"/>
    <x v="222"/>
    <s v="Gina Rosdiana"/>
    <s v="Female"/>
    <d v="1997-01-06T00:00:00"/>
    <d v="2020-12-09T00:00:00"/>
    <x v="0"/>
    <x v="0"/>
    <s v="Probation"/>
    <s v="ginarosdiana@email.com"/>
    <s v="087002089046"/>
  </r>
  <r>
    <n v="224"/>
    <x v="223"/>
    <s v="Wawan Gunawan"/>
    <s v="Male"/>
    <d v="2003-07-09T00:00:00"/>
    <d v="2025-01-06T00:00:00"/>
    <x v="0"/>
    <x v="0"/>
    <s v="Resigned"/>
    <s v="wawangunawan@email.com"/>
    <s v="087434160593"/>
  </r>
  <r>
    <n v="225"/>
    <x v="224"/>
    <s v="Aulia Putri Nuraini"/>
    <s v="Female"/>
    <d v="1997-03-19T00:00:00"/>
    <d v="2020-03-07T00:00:00"/>
    <x v="1"/>
    <x v="1"/>
    <s v="Resigned"/>
    <s v="auliaputrinuraini@email.com"/>
    <s v="084665379821"/>
  </r>
  <r>
    <n v="226"/>
    <x v="225"/>
    <s v="Sandi Sopandi"/>
    <s v="Male"/>
    <d v="1993-11-23T00:00:00"/>
    <d v="2020-10-09T00:00:00"/>
    <x v="0"/>
    <x v="0"/>
    <s v="Probation"/>
    <s v="sandisopandi@email.com"/>
    <s v="088221674427"/>
  </r>
  <r>
    <n v="227"/>
    <x v="226"/>
    <s v="Sri Surya Suganda"/>
    <s v="Male"/>
    <d v="1999-01-05T00:00:00"/>
    <d v="2023-02-01T00:00:00"/>
    <x v="0"/>
    <x v="0"/>
    <s v="Active"/>
    <s v="srisuryasuganda@email.com"/>
    <s v="084893074751"/>
  </r>
  <r>
    <n v="228"/>
    <x v="227"/>
    <s v="Egi Ardhanariswati"/>
    <s v="Female"/>
    <d v="1996-06-24T00:00:00"/>
    <d v="2023-06-15T00:00:00"/>
    <x v="0"/>
    <x v="0"/>
    <s v="Active"/>
    <s v="egiardhanariswati@email.com"/>
    <s v="089756465522"/>
  </r>
  <r>
    <n v="229"/>
    <x v="228"/>
    <s v="Sahrul Aripin"/>
    <s v="Male"/>
    <d v="1990-10-24T00:00:00"/>
    <d v="2024-08-23T00:00:00"/>
    <x v="0"/>
    <x v="0"/>
    <s v="Probation"/>
    <s v="sahrularipin@email.com"/>
    <s v="088036018550"/>
  </r>
  <r>
    <n v="230"/>
    <x v="229"/>
    <s v="Nur Oktavia"/>
    <s v="Female"/>
    <d v="1993-02-02T00:00:00"/>
    <d v="2022-05-27T00:00:00"/>
    <x v="0"/>
    <x v="0"/>
    <s v="Active"/>
    <s v="nuroktavia@email.com"/>
    <s v="086800942032"/>
  </r>
  <r>
    <n v="231"/>
    <x v="230"/>
    <s v="Hikmatul Maula"/>
    <s v="Female"/>
    <d v="1991-09-15T00:00:00"/>
    <d v="2018-03-01T00:00:00"/>
    <x v="0"/>
    <x v="0"/>
    <s v="Probation"/>
    <s v="hikmatulmaula@email.com"/>
    <s v="089756465533"/>
  </r>
  <r>
    <n v="232"/>
    <x v="231"/>
    <s v="Muhamad Tedi Ramadan"/>
    <s v="Male"/>
    <d v="2002-08-13T00:00:00"/>
    <d v="2021-09-23T00:00:00"/>
    <x v="4"/>
    <x v="4"/>
    <s v="Active"/>
    <s v="muhamadtediramadan@email.com"/>
    <s v="085218842261"/>
  </r>
  <r>
    <n v="233"/>
    <x v="232"/>
    <s v="Selvi Astriani"/>
    <s v="Female"/>
    <d v="1987-04-14T00:00:00"/>
    <d v="2020-11-06T00:00:00"/>
    <x v="0"/>
    <x v="0"/>
    <s v="Active"/>
    <s v="selviastriani@email.com"/>
    <s v="083865954360"/>
  </r>
  <r>
    <n v="234"/>
    <x v="233"/>
    <s v="Abdul Wahab"/>
    <s v="Male"/>
    <d v="1993-09-19T00:00:00"/>
    <d v="2021-08-13T00:00:00"/>
    <x v="5"/>
    <x v="5"/>
    <s v="Active"/>
    <s v="abdulwahab@email.com"/>
    <s v="085264729669"/>
  </r>
  <r>
    <n v="235"/>
    <x v="234"/>
    <s v="Indah Astrianingsih"/>
    <s v="Female"/>
    <d v="1990-08-10T00:00:00"/>
    <d v="2025-03-14T00:00:00"/>
    <x v="7"/>
    <x v="7"/>
    <s v="Active"/>
    <s v="indahastrianingsih@email.com"/>
    <s v="083523345025"/>
  </r>
  <r>
    <n v="236"/>
    <x v="235"/>
    <s v="Moh Dava Rangga Febrian"/>
    <s v="Male"/>
    <d v="1995-05-02T00:00:00"/>
    <d v="2019-04-02T00:00:00"/>
    <x v="5"/>
    <x v="5"/>
    <s v="Probation"/>
    <s v="mohdavaranggafebrian@email.com"/>
    <s v="086101911315"/>
  </r>
  <r>
    <n v="237"/>
    <x v="236"/>
    <s v="Hanika Amanda"/>
    <s v="Female"/>
    <d v="1996-04-11T00:00:00"/>
    <d v="2022-10-16T00:00:00"/>
    <x v="0"/>
    <x v="0"/>
    <s v="Probation"/>
    <s v="hanikaamanda@email.com"/>
    <s v="082238348604"/>
  </r>
  <r>
    <n v="238"/>
    <x v="237"/>
    <s v="Ahmad Nurfauzi"/>
    <s v="Male"/>
    <d v="1985-08-14T00:00:00"/>
    <d v="2019-10-21T00:00:00"/>
    <x v="6"/>
    <x v="6"/>
    <s v="Active"/>
    <s v="ahmadnurfauzi@email.com"/>
    <s v="085648720088"/>
  </r>
  <r>
    <n v="239"/>
    <x v="238"/>
    <s v="Tri Apriani Utami"/>
    <s v="Female"/>
    <d v="1995-08-01T00:00:00"/>
    <d v="2020-08-15T00:00:00"/>
    <x v="0"/>
    <x v="0"/>
    <s v="Active"/>
    <s v="triaprianiutami@email.com"/>
    <s v="086080273171"/>
  </r>
  <r>
    <n v="240"/>
    <x v="239"/>
    <s v="Windi Apriliyani"/>
    <s v="Female"/>
    <d v="1992-07-13T00:00:00"/>
    <d v="2024-04-29T00:00:00"/>
    <x v="8"/>
    <x v="8"/>
    <s v="Resigned"/>
    <s v="windiapriliyani@email.com"/>
    <s v="088322285591"/>
  </r>
  <r>
    <n v="241"/>
    <x v="240"/>
    <s v="Muhammad Izzun Azhar"/>
    <s v="Male"/>
    <d v="1995-07-02T00:00:00"/>
    <d v="2020-05-07T00:00:00"/>
    <x v="0"/>
    <x v="0"/>
    <s v="Probation"/>
    <s v="muhammadizzunazhar@email.com"/>
    <s v="0898360387"/>
  </r>
  <r>
    <n v="242"/>
    <x v="241"/>
    <s v="Hasmi Ari Pinayung"/>
    <s v="Female"/>
    <d v="2003-08-11T00:00:00"/>
    <d v="2018-12-22T00:00:00"/>
    <x v="0"/>
    <x v="0"/>
    <s v="Probation"/>
    <s v="hasmiaripinayung@email.com"/>
    <s v="087402779797"/>
  </r>
  <r>
    <n v="243"/>
    <x v="242"/>
    <s v="Lasmaria Sihombing"/>
    <s v="Female"/>
    <d v="1991-04-18T00:00:00"/>
    <d v="2018-10-09T00:00:00"/>
    <x v="0"/>
    <x v="0"/>
    <s v="Resigned"/>
    <s v="lasmariasihombing@email.com"/>
    <s v="081213507856"/>
  </r>
  <r>
    <n v="244"/>
    <x v="243"/>
    <s v="Latifatun Nisa"/>
    <s v="Female"/>
    <d v="1994-01-13T00:00:00"/>
    <d v="2022-04-19T00:00:00"/>
    <x v="1"/>
    <x v="1"/>
    <s v="Probation"/>
    <s v="latifatunnisa@email.com"/>
    <s v="0816468879"/>
  </r>
  <r>
    <n v="245"/>
    <x v="244"/>
    <s v="Adira Noviya Ardani"/>
    <s v="Female"/>
    <d v="1997-11-04T00:00:00"/>
    <d v="2021-03-02T00:00:00"/>
    <x v="0"/>
    <x v="0"/>
    <s v="Active"/>
    <s v="adiranoviyaardani@email.com"/>
    <s v="089756465544"/>
  </r>
  <r>
    <n v="246"/>
    <x v="245"/>
    <s v="Hasriyah"/>
    <s v="Female"/>
    <d v="1988-02-06T00:00:00"/>
    <d v="2018-02-21T00:00:00"/>
    <x v="1"/>
    <x v="1"/>
    <s v="Probation"/>
    <s v="hasriyah@email.com"/>
    <s v="083286890319"/>
  </r>
  <r>
    <n v="247"/>
    <x v="246"/>
    <s v="Nur Armala Putri"/>
    <s v="Female"/>
    <d v="2000-06-28T00:00:00"/>
    <d v="2018-05-28T00:00:00"/>
    <x v="0"/>
    <x v="0"/>
    <s v="Active"/>
    <s v="nurarmalaputri@email.com"/>
    <s v="083233185527"/>
  </r>
  <r>
    <n v="248"/>
    <x v="247"/>
    <s v="Teguh Pradesa"/>
    <s v="Male"/>
    <d v="2002-03-09T00:00:00"/>
    <d v="2019-11-10T00:00:00"/>
    <x v="0"/>
    <x v="0"/>
    <s v="Probation"/>
    <s v="teguhpradesa@email.com"/>
    <s v="084897224253"/>
  </r>
  <r>
    <n v="249"/>
    <x v="248"/>
    <s v="Nur Mahmudah"/>
    <s v="Female"/>
    <d v="1998-08-25T00:00:00"/>
    <d v="2023-06-28T00:00:00"/>
    <x v="0"/>
    <x v="0"/>
    <s v="Active"/>
    <s v="nurmahmudah@email.com"/>
    <s v="082765562117"/>
  </r>
  <r>
    <n v="250"/>
    <x v="249"/>
    <s v="Muhamad Teguh Arissianto"/>
    <s v="Male"/>
    <d v="1993-12-28T00:00:00"/>
    <d v="2021-12-12T00:00:00"/>
    <x v="5"/>
    <x v="5"/>
    <s v="Resigned"/>
    <s v="muhamadteguharissianto@email.com"/>
    <s v="083053952508"/>
  </r>
  <r>
    <n v="251"/>
    <x v="250"/>
    <s v="Nayla Maylanti"/>
    <s v="Female"/>
    <d v="1986-05-17T00:00:00"/>
    <d v="2023-07-24T00:00:00"/>
    <x v="0"/>
    <x v="0"/>
    <s v="Active"/>
    <s v="naylamaylanti@email.com"/>
    <s v="086256939975"/>
  </r>
  <r>
    <n v="252"/>
    <x v="251"/>
    <s v="Maulani"/>
    <s v="Male"/>
    <d v="1986-03-03T00:00:00"/>
    <d v="2018-08-29T00:00:00"/>
    <x v="4"/>
    <x v="4"/>
    <s v="Active"/>
    <s v="maulani@email.com"/>
    <s v="088001255488"/>
  </r>
  <r>
    <n v="253"/>
    <x v="252"/>
    <s v="Nur Amaliyah"/>
    <s v="Female"/>
    <d v="1985-02-02T00:00:00"/>
    <d v="2023-01-10T00:00:00"/>
    <x v="0"/>
    <x v="0"/>
    <s v="Active"/>
    <s v="nuramaliyah@email.com"/>
    <s v="081851884123"/>
  </r>
  <r>
    <n v="254"/>
    <x v="253"/>
    <s v="Nida Ul Umaim"/>
    <s v="Female"/>
    <d v="1998-07-31T00:00:00"/>
    <d v="2024-12-16T00:00:00"/>
    <x v="0"/>
    <x v="0"/>
    <s v="Probation"/>
    <s v="nidaulumaim@email.com"/>
    <s v="084908886008"/>
  </r>
  <r>
    <n v="255"/>
    <x v="254"/>
    <s v="Umar Syaifulloh"/>
    <s v="Male"/>
    <d v="1991-01-19T00:00:00"/>
    <d v="2024-08-06T00:00:00"/>
    <x v="0"/>
    <x v="0"/>
    <s v="Probation"/>
    <s v="umarsyaifulloh@email.com"/>
    <s v="083497465230"/>
  </r>
  <r>
    <n v="256"/>
    <x v="255"/>
    <s v="Eka Fitriyani"/>
    <s v="Female"/>
    <d v="1991-04-27T00:00:00"/>
    <d v="2023-03-14T00:00:00"/>
    <x v="0"/>
    <x v="0"/>
    <s v="Probation"/>
    <s v="ekafitriyani@email.com"/>
    <s v="082519661747"/>
  </r>
  <r>
    <n v="257"/>
    <x v="256"/>
    <s v="Cindy Aulia"/>
    <s v="Female"/>
    <d v="1991-02-03T00:00:00"/>
    <d v="2024-09-28T00:00:00"/>
    <x v="1"/>
    <x v="1"/>
    <s v="Active"/>
    <s v="cindyaulia@email.com"/>
    <s v="086411890828"/>
  </r>
  <r>
    <n v="258"/>
    <x v="257"/>
    <s v="Sepira Nurmalasari"/>
    <s v="Female"/>
    <d v="1988-12-19T00:00:00"/>
    <d v="2023-11-27T00:00:00"/>
    <x v="0"/>
    <x v="0"/>
    <s v="Active"/>
    <s v="sepiranurmalasari@email.com"/>
    <s v="088836868762"/>
  </r>
  <r>
    <n v="259"/>
    <x v="258"/>
    <s v="Sumiyati"/>
    <s v="Female"/>
    <d v="1990-10-02T00:00:00"/>
    <d v="2020-11-02T00:00:00"/>
    <x v="7"/>
    <x v="7"/>
    <s v="Active"/>
    <s v="sumiyati@email.com"/>
    <s v="086647919849"/>
  </r>
  <r>
    <n v="260"/>
    <x v="259"/>
    <s v="Irfan Maulana"/>
    <s v="Male"/>
    <d v="1999-10-01T00:00:00"/>
    <d v="2018-02-09T00:00:00"/>
    <x v="5"/>
    <x v="5"/>
    <s v="Active"/>
    <s v="irfanmaulana@email.com"/>
    <s v="085344394675"/>
  </r>
  <r>
    <n v="261"/>
    <x v="260"/>
    <s v="Koisah"/>
    <s v="Female"/>
    <d v="1989-06-25T00:00:00"/>
    <d v="2025-06-29T00:00:00"/>
    <x v="0"/>
    <x v="0"/>
    <s v="Probation"/>
    <s v="koisah@email.com"/>
    <s v="088518586978"/>
  </r>
  <r>
    <n v="262"/>
    <x v="261"/>
    <s v="Ade Irfan"/>
    <s v="Male"/>
    <d v="1999-09-21T00:00:00"/>
    <d v="2021-10-26T00:00:00"/>
    <x v="5"/>
    <x v="5"/>
    <s v="Resigned"/>
    <s v="adeirfan@email.com"/>
    <s v="088941037927"/>
  </r>
  <r>
    <n v="263"/>
    <x v="262"/>
    <s v="Realita Febri"/>
    <s v="Female"/>
    <d v="1989-04-08T00:00:00"/>
    <d v="2022-11-12T00:00:00"/>
    <x v="8"/>
    <x v="8"/>
    <s v="Resigned"/>
    <s v="realitafebri@email.com"/>
    <s v="085328871915"/>
  </r>
  <r>
    <n v="264"/>
    <x v="263"/>
    <s v="Hilda Nova Aprilia"/>
    <s v="Female"/>
    <d v="2002-11-15T00:00:00"/>
    <d v="2025-05-13T00:00:00"/>
    <x v="0"/>
    <x v="0"/>
    <s v="Active"/>
    <s v="hildanovaaprilia@email.com"/>
    <s v="085812054669"/>
  </r>
  <r>
    <n v="265"/>
    <x v="264"/>
    <s v="Dian Ayu Rizqianah"/>
    <s v="Female"/>
    <d v="2003-03-15T00:00:00"/>
    <d v="2019-02-24T00:00:00"/>
    <x v="0"/>
    <x v="0"/>
    <s v="Active"/>
    <s v="dianayurizqianah@email.com"/>
    <s v="083204613263"/>
  </r>
  <r>
    <n v="266"/>
    <x v="265"/>
    <s v="Widya Aminur Alifah"/>
    <s v="Female"/>
    <d v="1989-12-05T00:00:00"/>
    <d v="2020-12-24T00:00:00"/>
    <x v="1"/>
    <x v="1"/>
    <s v="Active"/>
    <s v="widyaaminuralifah@email.com"/>
    <s v="086777671457"/>
  </r>
  <r>
    <n v="267"/>
    <x v="266"/>
    <s v="Zidan Alfarizi"/>
    <s v="Male"/>
    <d v="1994-12-26T00:00:00"/>
    <d v="2022-01-28T00:00:00"/>
    <x v="0"/>
    <x v="0"/>
    <s v="Active"/>
    <s v="zidanalfarizi@email.com"/>
    <s v="081399632970"/>
  </r>
  <r>
    <n v="268"/>
    <x v="267"/>
    <s v="Revalina Ramadhani"/>
    <s v="Female"/>
    <d v="1992-01-25T00:00:00"/>
    <d v="2019-05-21T00:00:00"/>
    <x v="0"/>
    <x v="0"/>
    <s v="Resigned"/>
    <s v="revalinaramadhani@email.com"/>
    <s v="089219814415"/>
  </r>
  <r>
    <n v="269"/>
    <x v="268"/>
    <s v="Nur Isnaaeni"/>
    <s v="Female"/>
    <d v="1990-11-03T00:00:00"/>
    <d v="2023-01-03T00:00:00"/>
    <x v="1"/>
    <x v="1"/>
    <s v="Active"/>
    <s v="nurisnaaeni@email.com"/>
    <s v="082243536884"/>
  </r>
  <r>
    <n v="270"/>
    <x v="269"/>
    <s v="Dika Aditiyani"/>
    <s v="Female"/>
    <d v="2000-07-18T00:00:00"/>
    <d v="2019-10-09T00:00:00"/>
    <x v="7"/>
    <x v="7"/>
    <s v="Active"/>
    <s v="dikaaditiyani@email.com"/>
    <s v="085556350458"/>
  </r>
  <r>
    <n v="271"/>
    <x v="270"/>
    <s v="Nur Afifah"/>
    <s v="Female"/>
    <d v="2004-02-09T00:00:00"/>
    <d v="2020-09-25T00:00:00"/>
    <x v="0"/>
    <x v="0"/>
    <s v="Resigned"/>
    <s v="nurafifah@email.com"/>
    <s v="083201761619"/>
  </r>
  <r>
    <n v="272"/>
    <x v="271"/>
    <s v="Anggih Sulistyono"/>
    <s v="Male"/>
    <d v="1993-12-27T00:00:00"/>
    <d v="2023-04-02T00:00:00"/>
    <x v="0"/>
    <x v="0"/>
    <s v="Probation"/>
    <s v="anggihsulistyono@email.com"/>
    <s v="081572364090"/>
  </r>
  <r>
    <n v="273"/>
    <x v="272"/>
    <s v="Dzaki Taufiqul Hakim"/>
    <s v="Male"/>
    <d v="2003-08-27T00:00:00"/>
    <d v="2023-01-11T00:00:00"/>
    <x v="5"/>
    <x v="5"/>
    <s v="Probation"/>
    <s v="dzakitaufiqulhakim@email.com"/>
    <s v="086425188366"/>
  </r>
  <r>
    <n v="274"/>
    <x v="273"/>
    <s v="Akhmad An Nur Fachri"/>
    <s v="Male"/>
    <d v="1994-05-18T00:00:00"/>
    <d v="2021-06-05T00:00:00"/>
    <x v="1"/>
    <x v="1"/>
    <s v="Active"/>
    <s v="akhmadannurfachri@email.com"/>
    <s v="089264006078"/>
  </r>
  <r>
    <n v="275"/>
    <x v="274"/>
    <s v="Ulfianah"/>
    <s v="Female"/>
    <d v="2004-02-08T00:00:00"/>
    <d v="2019-03-26T00:00:00"/>
    <x v="1"/>
    <x v="1"/>
    <s v="Probation"/>
    <s v="ulfianah@email.com"/>
    <s v="082897937353"/>
  </r>
  <r>
    <n v="276"/>
    <x v="275"/>
    <s v="Tarmidi Tahir"/>
    <s v="Male"/>
    <d v="1990-06-08T00:00:00"/>
    <d v="2024-01-24T00:00:00"/>
    <x v="7"/>
    <x v="7"/>
    <s v="Active"/>
    <s v="tarmiditahir@email.com"/>
    <s v="080681631711"/>
  </r>
  <r>
    <n v="277"/>
    <x v="276"/>
    <s v="Sri Diana"/>
    <s v="Female"/>
    <d v="1998-02-27T00:00:00"/>
    <d v="2025-03-16T00:00:00"/>
    <x v="0"/>
    <x v="0"/>
    <s v="Active"/>
    <s v="sridiana@email.com"/>
    <s v="084950636994"/>
  </r>
  <r>
    <n v="278"/>
    <x v="277"/>
    <s v="Imtiya Zul Ilmi"/>
    <s v="Female"/>
    <d v="2000-12-20T00:00:00"/>
    <d v="2018-10-25T00:00:00"/>
    <x v="0"/>
    <x v="0"/>
    <s v="Active"/>
    <s v="imtiyazulilmi@email.com"/>
    <s v="087995370073"/>
  </r>
  <r>
    <n v="279"/>
    <x v="278"/>
    <s v="Andini Khoirun Nisa"/>
    <s v="Female"/>
    <d v="2003-12-04T00:00:00"/>
    <d v="2023-10-15T00:00:00"/>
    <x v="8"/>
    <x v="8"/>
    <s v="Resigned"/>
    <s v="andinikhoirunnisa@email.com"/>
    <s v="084005949454"/>
  </r>
  <r>
    <n v="280"/>
    <x v="279"/>
    <s v="Naira Eksa Nita"/>
    <s v="Female"/>
    <d v="1998-04-24T00:00:00"/>
    <d v="2020-10-15T00:00:00"/>
    <x v="0"/>
    <x v="0"/>
    <s v="Probation"/>
    <s v="nairaeksanita@email.com"/>
    <s v="087395297678"/>
  </r>
  <r>
    <n v="281"/>
    <x v="280"/>
    <s v="Wini Siti Nuraeni"/>
    <s v="Female"/>
    <d v="2002-09-18T00:00:00"/>
    <d v="2024-05-12T00:00:00"/>
    <x v="0"/>
    <x v="0"/>
    <s v="Active"/>
    <s v="winisitinuraeni@email.com"/>
    <s v="084792719755"/>
  </r>
  <r>
    <n v="282"/>
    <x v="281"/>
    <s v="Revi Reviyanti"/>
    <s v="Female"/>
    <d v="2004-01-01T00:00:00"/>
    <d v="2018-11-10T00:00:00"/>
    <x v="1"/>
    <x v="1"/>
    <s v="Active"/>
    <s v="revireviyanti@email.com"/>
    <s v="085798893902"/>
  </r>
  <r>
    <n v="283"/>
    <x v="282"/>
    <s v="Isnin Irnia Analia"/>
    <s v="Female"/>
    <d v="1997-08-12T00:00:00"/>
    <d v="2024-10-24T00:00:00"/>
    <x v="0"/>
    <x v="0"/>
    <s v="Active"/>
    <s v="isninirniaanalia@email.com"/>
    <s v="089680971831"/>
  </r>
  <r>
    <n v="284"/>
    <x v="283"/>
    <s v="Siska Triputri"/>
    <s v="Female"/>
    <d v="2002-05-05T00:00:00"/>
    <d v="2024-01-24T00:00:00"/>
    <x v="0"/>
    <x v="0"/>
    <s v="Active"/>
    <s v="siskatriputri@email.com"/>
    <s v="082662492697"/>
  </r>
  <r>
    <n v="285"/>
    <x v="284"/>
    <s v="Linda Dwi Pertiwi"/>
    <s v="Female"/>
    <d v="1999-08-05T00:00:00"/>
    <d v="2023-02-08T00:00:00"/>
    <x v="0"/>
    <x v="0"/>
    <s v="Probation"/>
    <s v="lindadwipertiwi@email.com"/>
    <s v="082344626681"/>
  </r>
  <r>
    <n v="286"/>
    <x v="285"/>
    <s v="Tomi Purnomo"/>
    <s v="Male"/>
    <d v="1992-11-29T00:00:00"/>
    <d v="2023-05-09T00:00:00"/>
    <x v="0"/>
    <x v="0"/>
    <s v="Resigned"/>
    <s v="tomipurnomo@email.com"/>
    <s v="080753601125"/>
  </r>
  <r>
    <n v="287"/>
    <x v="286"/>
    <s v="Muchamad Luthfi"/>
    <s v="Male"/>
    <d v="2001-09-30T00:00:00"/>
    <d v="2023-02-11T00:00:00"/>
    <x v="5"/>
    <x v="5"/>
    <s v="Probation"/>
    <s v="muchamadluthfi@email.com"/>
    <s v="0863808382"/>
  </r>
  <r>
    <n v="288"/>
    <x v="287"/>
    <s v="Neng Rika Nuraeni"/>
    <s v="Female"/>
    <d v="1993-01-30T00:00:00"/>
    <d v="2018-12-07T00:00:00"/>
    <x v="0"/>
    <x v="0"/>
    <s v="Probation"/>
    <s v="nengrikanuraeni@email.com"/>
    <s v="081409073277"/>
  </r>
  <r>
    <n v="289"/>
    <x v="288"/>
    <s v="Faisol Komari Zamwn"/>
    <s v="Male"/>
    <d v="1987-09-12T00:00:00"/>
    <d v="2022-09-11T00:00:00"/>
    <x v="4"/>
    <x v="4"/>
    <s v="Resigned"/>
    <s v="faisolkomarizamwn@email.com"/>
    <s v="089756465555"/>
  </r>
  <r>
    <n v="290"/>
    <x v="289"/>
    <s v="Hekel Badrusalam"/>
    <s v="Male"/>
    <d v="1996-03-18T00:00:00"/>
    <d v="2019-03-11T00:00:00"/>
    <x v="4"/>
    <x v="4"/>
    <s v="Active"/>
    <s v="hekelbadrusalam@email.com"/>
    <s v="081025454676"/>
  </r>
  <r>
    <n v="291"/>
    <x v="290"/>
    <s v="Fika Amala"/>
    <s v="Female"/>
    <d v="1987-02-21T00:00:00"/>
    <d v="2024-04-30T00:00:00"/>
    <x v="0"/>
    <x v="0"/>
    <s v="Active"/>
    <s v="fikaamala@email.com"/>
    <s v="082722374650"/>
  </r>
  <r>
    <n v="292"/>
    <x v="291"/>
    <s v="Gofar Ismail"/>
    <s v="Male"/>
    <d v="2002-09-28T00:00:00"/>
    <d v="2023-09-29T00:00:00"/>
    <x v="0"/>
    <x v="0"/>
    <s v="Probation"/>
    <s v="gofarismail@email.com"/>
    <s v="084154020880"/>
  </r>
  <r>
    <n v="293"/>
    <x v="292"/>
    <s v="Sri Rahayu Wanti"/>
    <s v="Female"/>
    <d v="1996-03-25T00:00:00"/>
    <d v="2020-01-26T00:00:00"/>
    <x v="0"/>
    <x v="0"/>
    <s v="Active"/>
    <s v="srirahayuwanti@email.com"/>
    <s v="086248609386"/>
  </r>
  <r>
    <n v="294"/>
    <x v="293"/>
    <s v="Sakila Rahmawati"/>
    <s v="Female"/>
    <d v="1993-08-16T00:00:00"/>
    <d v="2020-09-06T00:00:00"/>
    <x v="0"/>
    <x v="0"/>
    <s v="Active"/>
    <s v="sakilarahmawati@email.com"/>
    <s v="088967779287"/>
  </r>
  <r>
    <n v="295"/>
    <x v="294"/>
    <s v="Cindy Apriliyana"/>
    <s v="Female"/>
    <d v="2001-03-25T00:00:00"/>
    <d v="2018-05-14T00:00:00"/>
    <x v="0"/>
    <x v="0"/>
    <s v="Probation"/>
    <s v="cindyapriliyana@email.com"/>
    <s v="082007649810"/>
  </r>
  <r>
    <n v="296"/>
    <x v="295"/>
    <s v="Elen Amelia"/>
    <s v="Female"/>
    <d v="1999-03-05T00:00:00"/>
    <d v="2021-01-21T00:00:00"/>
    <x v="0"/>
    <x v="0"/>
    <s v="Resigned"/>
    <s v="elenamelia@email.com"/>
    <s v="080981909684"/>
  </r>
  <r>
    <n v="297"/>
    <x v="296"/>
    <s v="Hana Apriana"/>
    <s v="Female"/>
    <d v="1987-08-18T00:00:00"/>
    <d v="2018-10-08T00:00:00"/>
    <x v="7"/>
    <x v="7"/>
    <s v="Active"/>
    <s v="hanaapriana@email.com"/>
    <s v="083088039869"/>
  </r>
  <r>
    <n v="298"/>
    <x v="297"/>
    <s v="Dina Apriliani"/>
    <s v="Female"/>
    <d v="2000-02-24T00:00:00"/>
    <d v="2023-09-19T00:00:00"/>
    <x v="1"/>
    <x v="1"/>
    <s v="Probation"/>
    <s v="dinaapriliani@email.com"/>
    <s v="082989865263"/>
  </r>
  <r>
    <n v="299"/>
    <x v="298"/>
    <s v="Yudhistira Afriezal Priyono"/>
    <s v="Male"/>
    <d v="1988-02-21T00:00:00"/>
    <d v="2019-01-26T00:00:00"/>
    <x v="5"/>
    <x v="5"/>
    <s v="Resigned"/>
    <s v="yudhistiraafriezalpriyono@email.com"/>
    <s v="085922605307"/>
  </r>
  <r>
    <n v="300"/>
    <x v="299"/>
    <s v="Lia Mulyati"/>
    <s v="Female"/>
    <d v="1992-04-27T00:00:00"/>
    <d v="2022-05-06T00:00:00"/>
    <x v="0"/>
    <x v="0"/>
    <s v="Active"/>
    <s v="liamulyati@email.com"/>
    <s v="085696231658"/>
  </r>
  <r>
    <n v="301"/>
    <x v="300"/>
    <s v="Agus Sopian"/>
    <s v="Male"/>
    <d v="2003-09-06T00:00:00"/>
    <d v="2020-07-31T00:00:00"/>
    <x v="0"/>
    <x v="0"/>
    <s v="Probation"/>
    <s v="agussopian@email.com"/>
    <s v="0847077668"/>
  </r>
  <r>
    <n v="302"/>
    <x v="301"/>
    <s v="Ikhlasul Amal"/>
    <s v="Male"/>
    <d v="2002-08-19T00:00:00"/>
    <d v="2018-01-31T00:00:00"/>
    <x v="4"/>
    <x v="4"/>
    <s v="Active"/>
    <s v="ikhlasulamal@email.com"/>
    <s v="088558385853"/>
  </r>
  <r>
    <n v="303"/>
    <x v="302"/>
    <s v="Windy Septiani"/>
    <s v="Female"/>
    <d v="1994-07-13T00:00:00"/>
    <d v="2022-07-02T00:00:00"/>
    <x v="0"/>
    <x v="0"/>
    <s v="Probation"/>
    <s v="windyseptiani@email.com"/>
    <s v="081786251395"/>
  </r>
  <r>
    <n v="304"/>
    <x v="303"/>
    <s v="Sukma Alam"/>
    <s v="Male"/>
    <d v="1989-04-03T00:00:00"/>
    <d v="2023-05-11T00:00:00"/>
    <x v="6"/>
    <x v="6"/>
    <s v="Active"/>
    <s v="sukmaalam@email.com"/>
    <s v="089577763289"/>
  </r>
  <r>
    <n v="305"/>
    <x v="304"/>
    <s v="Samsul Maarip"/>
    <s v="Male"/>
    <d v="1985-09-15T00:00:00"/>
    <d v="2018-12-23T00:00:00"/>
    <x v="4"/>
    <x v="4"/>
    <s v="Active"/>
    <s v="samsulmaarip@email.com"/>
    <s v="0844030954"/>
  </r>
  <r>
    <n v="306"/>
    <x v="305"/>
    <s v="Aldo Eka Saputra"/>
    <s v="Male"/>
    <d v="1996-03-27T00:00:00"/>
    <d v="2020-03-13T00:00:00"/>
    <x v="0"/>
    <x v="0"/>
    <s v="Resigned"/>
    <s v="aldoekasaputra@email.com"/>
    <s v="083996754666"/>
  </r>
  <r>
    <n v="307"/>
    <x v="306"/>
    <s v="Nur Febrianti"/>
    <s v="Female"/>
    <d v="1999-06-20T00:00:00"/>
    <d v="2023-08-09T00:00:00"/>
    <x v="1"/>
    <x v="1"/>
    <s v="Active"/>
    <s v="nurfebrianti@email.com"/>
    <s v="089398376538"/>
  </r>
  <r>
    <n v="308"/>
    <x v="307"/>
    <s v="Yono Cahyono"/>
    <s v="Male"/>
    <d v="2001-07-07T00:00:00"/>
    <d v="2023-05-19T00:00:00"/>
    <x v="0"/>
    <x v="0"/>
    <s v="Resigned"/>
    <s v="yonocahyono@email.com"/>
    <s v="087708784322"/>
  </r>
  <r>
    <n v="309"/>
    <x v="308"/>
    <s v="Gugun Gunawan"/>
    <s v="Male"/>
    <d v="1990-11-16T00:00:00"/>
    <d v="2022-09-22T00:00:00"/>
    <x v="4"/>
    <x v="4"/>
    <s v="Active"/>
    <s v="gugungunawan@email.com"/>
    <s v="0853666689"/>
  </r>
  <r>
    <n v="310"/>
    <x v="309"/>
    <s v="Zlatan Ibrahim Yusup"/>
    <s v="Male"/>
    <d v="1989-06-30T00:00:00"/>
    <d v="2019-12-18T00:00:00"/>
    <x v="0"/>
    <x v="0"/>
    <s v="Resigned"/>
    <s v="zlatanibrahimyusup@email.com"/>
    <s v="083946204559"/>
  </r>
  <r>
    <n v="311"/>
    <x v="310"/>
    <s v="Teguh Adi Prayogi"/>
    <s v="Male"/>
    <d v="1990-10-26T00:00:00"/>
    <d v="2024-01-16T00:00:00"/>
    <x v="0"/>
    <x v="0"/>
    <s v="Active"/>
    <s v="teguhadiprayogi@email.com"/>
    <s v="0852203466"/>
  </r>
  <r>
    <n v="312"/>
    <x v="311"/>
    <s v="Yuana Giraldien"/>
    <s v="Male"/>
    <d v="2002-02-08T00:00:00"/>
    <d v="2025-05-03T00:00:00"/>
    <x v="0"/>
    <x v="0"/>
    <s v="Resigned"/>
    <s v="yuanagiraldien@email.com"/>
    <s v="080466791537"/>
  </r>
  <r>
    <n v="313"/>
    <x v="312"/>
    <s v="Zidni Ilman Al Hakim"/>
    <s v="Male"/>
    <d v="1985-12-16T00:00:00"/>
    <d v="2022-01-08T00:00:00"/>
    <x v="5"/>
    <x v="5"/>
    <s v="Active"/>
    <s v="zidniilmanalhakim@email.com"/>
    <s v="085870363029"/>
  </r>
  <r>
    <n v="314"/>
    <x v="313"/>
    <s v="Muhamad Fiqih Abdul Ghoni"/>
    <s v="Male"/>
    <d v="1997-04-15T00:00:00"/>
    <d v="2023-11-29T00:00:00"/>
    <x v="8"/>
    <x v="8"/>
    <s v="Resigned"/>
    <s v="muhamadfiqihabdulghoni@email.com"/>
    <s v="088617796296"/>
  </r>
  <r>
    <n v="315"/>
    <x v="314"/>
    <s v="Nabilla Nurul Asyifa"/>
    <s v="Female"/>
    <d v="2003-01-12T00:00:00"/>
    <d v="2022-01-25T00:00:00"/>
    <x v="0"/>
    <x v="0"/>
    <s v="Active"/>
    <s v="nabillanurulasyifa@email.com"/>
    <s v="086082286336"/>
  </r>
  <r>
    <n v="316"/>
    <x v="315"/>
    <s v="Tedi Surahman"/>
    <s v="Male"/>
    <d v="1990-04-07T00:00:00"/>
    <d v="2022-10-10T00:00:00"/>
    <x v="0"/>
    <x v="0"/>
    <s v="Probation"/>
    <s v="tedisurahman@email.com"/>
    <s v="089756465566"/>
  </r>
  <r>
    <n v="317"/>
    <x v="316"/>
    <s v="Ayuni Dini Guniawati"/>
    <s v="Female"/>
    <d v="1993-11-13T00:00:00"/>
    <d v="2025-03-29T00:00:00"/>
    <x v="0"/>
    <x v="0"/>
    <s v="Probation"/>
    <s v="ayunidiniguniawati@email.com"/>
    <s v="086091454516"/>
  </r>
  <r>
    <n v="318"/>
    <x v="317"/>
    <s v="Sujimin"/>
    <s v="Male"/>
    <d v="1998-11-25T00:00:00"/>
    <d v="2018-09-24T00:00:00"/>
    <x v="6"/>
    <x v="6"/>
    <s v="Active"/>
    <s v="sujimin@email.com"/>
    <s v="086237684454"/>
  </r>
  <r>
    <n v="319"/>
    <x v="318"/>
    <s v="Andina Ferdinand"/>
    <s v="Male"/>
    <d v="1990-02-01T00:00:00"/>
    <d v="2021-06-25T00:00:00"/>
    <x v="1"/>
    <x v="1"/>
    <s v="Probation"/>
    <s v="andinaferdinand@email.com"/>
    <s v="080796687481"/>
  </r>
  <r>
    <n v="320"/>
    <x v="319"/>
    <s v="Eva Indriyani"/>
    <s v="Female"/>
    <d v="2000-02-23T00:00:00"/>
    <d v="2023-11-14T00:00:00"/>
    <x v="0"/>
    <x v="0"/>
    <s v="Active"/>
    <s v="evaindriyani@email.com"/>
    <s v="080346583259"/>
  </r>
  <r>
    <n v="321"/>
    <x v="320"/>
    <s v="Ona Suryana"/>
    <s v="Male"/>
    <d v="2001-12-05T00:00:00"/>
    <d v="2023-11-02T00:00:00"/>
    <x v="5"/>
    <x v="5"/>
    <s v="Resigned"/>
    <s v="onasuryana@email.com"/>
    <s v="086007418345"/>
  </r>
  <r>
    <n v="322"/>
    <x v="321"/>
    <s v="Mety Elvira Dwi Zahra"/>
    <s v="Female"/>
    <d v="1988-07-07T00:00:00"/>
    <d v="2020-05-09T00:00:00"/>
    <x v="0"/>
    <x v="0"/>
    <s v="Probation"/>
    <s v="metyelviradwizahra@email.com"/>
    <s v="081827284029"/>
  </r>
  <r>
    <n v="323"/>
    <x v="322"/>
    <s v="Siti Khopipah"/>
    <s v="Female"/>
    <d v="1997-12-19T00:00:00"/>
    <d v="2018-03-01T00:00:00"/>
    <x v="0"/>
    <x v="0"/>
    <s v="Active"/>
    <s v="sitikhopipah@email.com"/>
    <s v="088107698617"/>
  </r>
  <r>
    <n v="324"/>
    <x v="323"/>
    <s v="Muhammad Afwan Munir Maulana"/>
    <s v="Male"/>
    <d v="1996-04-30T00:00:00"/>
    <d v="2025-04-25T00:00:00"/>
    <x v="0"/>
    <x v="0"/>
    <s v="Probation"/>
    <s v="muhammadafwanmunirmaulana@email.com"/>
    <s v="089756465578"/>
  </r>
  <r>
    <n v="325"/>
    <x v="324"/>
    <s v="Muhamad Irfan"/>
    <s v="Male"/>
    <d v="1985-03-02T00:00:00"/>
    <d v="2023-10-28T00:00:00"/>
    <x v="5"/>
    <x v="5"/>
    <s v="Resigned"/>
    <s v="muhamadirfan@email.com"/>
    <s v="084686121160"/>
  </r>
  <r>
    <n v="326"/>
    <x v="325"/>
    <s v="Syahidullah Muhammad Al Qawi"/>
    <s v="Male"/>
    <d v="1994-05-19T00:00:00"/>
    <d v="2020-12-24T00:00:00"/>
    <x v="6"/>
    <x v="6"/>
    <s v="Active"/>
    <s v="syahidullahmuhammadalqawi@email.com"/>
    <s v="087594122128"/>
  </r>
  <r>
    <n v="327"/>
    <x v="326"/>
    <s v="Marizka Tracyana"/>
    <s v="Female"/>
    <d v="1992-06-28T00:00:00"/>
    <d v="2023-01-05T00:00:00"/>
    <x v="0"/>
    <x v="0"/>
    <s v="Probation"/>
    <s v="marizkatracyana@email.com"/>
    <s v="083475679832"/>
  </r>
  <r>
    <n v="328"/>
    <x v="327"/>
    <s v="Wasifatul Hidayah"/>
    <s v="Female"/>
    <d v="1989-02-09T00:00:00"/>
    <d v="2018-09-27T00:00:00"/>
    <x v="0"/>
    <x v="0"/>
    <s v="Active"/>
    <s v="wasifatulhidayah@email.com"/>
    <s v="082332129248"/>
  </r>
  <r>
    <n v="329"/>
    <x v="328"/>
    <s v="Mohamad Adam Prasetyo"/>
    <s v="Male"/>
    <d v="1999-09-01T00:00:00"/>
    <d v="2019-10-15T00:00:00"/>
    <x v="6"/>
    <x v="6"/>
    <s v="Active"/>
    <s v="mohamadadamprasetyo@email.com"/>
    <s v="089248227605"/>
  </r>
  <r>
    <n v="330"/>
    <x v="329"/>
    <s v="Abdulah Ikhsanudin"/>
    <s v="Male"/>
    <d v="1986-03-07T00:00:00"/>
    <d v="2023-08-16T00:00:00"/>
    <x v="0"/>
    <x v="0"/>
    <s v="Probation"/>
    <s v="abdulahikhsanudin@email.com"/>
    <s v="089756465590"/>
  </r>
  <r>
    <n v="331"/>
    <x v="330"/>
    <s v="Irfan Junaedi"/>
    <s v="Male"/>
    <d v="1995-02-25T00:00:00"/>
    <d v="2023-07-14T00:00:00"/>
    <x v="5"/>
    <x v="5"/>
    <s v="Probation"/>
    <s v="irfanjunaedi@email.com"/>
    <s v="087653411663"/>
  </r>
  <r>
    <n v="332"/>
    <x v="331"/>
    <s v="Diya Mahdiya"/>
    <s v="Male"/>
    <d v="1995-10-05T00:00:00"/>
    <d v="2023-07-25T00:00:00"/>
    <x v="6"/>
    <x v="6"/>
    <s v="Active"/>
    <s v="diyamahdiya@email.com"/>
    <s v="084407552396"/>
  </r>
  <r>
    <n v="333"/>
    <x v="332"/>
    <s v="Tri Yuli Yanti"/>
    <s v="Female"/>
    <d v="1994-08-13T00:00:00"/>
    <d v="2021-06-12T00:00:00"/>
    <x v="0"/>
    <x v="0"/>
    <s v="Active"/>
    <s v="triyuliyanti@email.com"/>
    <s v="083216024259"/>
  </r>
  <r>
    <n v="334"/>
    <x v="333"/>
    <s v="Reva Kharisma Berlian Kosasih"/>
    <s v="Female"/>
    <d v="1989-07-12T00:00:00"/>
    <d v="2019-10-09T00:00:00"/>
    <x v="0"/>
    <x v="0"/>
    <s v="Resigned"/>
    <s v="revakharismaberliankosasih@email.com"/>
    <s v="081537356619"/>
  </r>
  <r>
    <n v="335"/>
    <x v="334"/>
    <s v="Annisa Fauziah Agustin"/>
    <s v="Female"/>
    <d v="1989-12-22T00:00:00"/>
    <d v="2025-05-23T00:00:00"/>
    <x v="0"/>
    <x v="0"/>
    <s v="Active"/>
    <s v="annisafauziahagustin@email.com"/>
    <s v="086420973962"/>
  </r>
  <r>
    <n v="336"/>
    <x v="335"/>
    <s v="Irza Prassetiyo"/>
    <s v="Male"/>
    <d v="1993-06-16T00:00:00"/>
    <d v="2019-10-17T00:00:00"/>
    <x v="0"/>
    <x v="0"/>
    <s v="Probation"/>
    <s v="irzaprassetiyo@email.com"/>
    <s v="083970990654"/>
  </r>
  <r>
    <n v="337"/>
    <x v="336"/>
    <s v="Lailatunnadipah"/>
    <s v="Female"/>
    <d v="1993-02-10T00:00:00"/>
    <d v="2021-04-16T00:00:00"/>
    <x v="1"/>
    <x v="1"/>
    <s v="Active"/>
    <s v="lailatunnadipah@email.com"/>
    <s v="080140650780"/>
  </r>
  <r>
    <n v="338"/>
    <x v="337"/>
    <s v="Friska Adhela"/>
    <s v="Female"/>
    <d v="1996-05-02T00:00:00"/>
    <d v="2018-04-23T00:00:00"/>
    <x v="0"/>
    <x v="0"/>
    <s v="Probation"/>
    <s v="friskaadhela@email.com"/>
    <s v="089527955623"/>
  </r>
  <r>
    <n v="339"/>
    <x v="338"/>
    <s v="Ashlih Abidah"/>
    <s v="Female"/>
    <d v="1986-12-08T00:00:00"/>
    <d v="2025-05-29T00:00:00"/>
    <x v="0"/>
    <x v="0"/>
    <s v="Probation"/>
    <s v="ashlihabidah@email.com"/>
    <s v="085656836924"/>
  </r>
  <r>
    <n v="340"/>
    <x v="339"/>
    <s v="Dea Kartika Sari"/>
    <s v="Female"/>
    <d v="1986-05-03T00:00:00"/>
    <d v="2023-10-23T00:00:00"/>
    <x v="1"/>
    <x v="1"/>
    <s v="Active"/>
    <s v="deakartikasari@email.com"/>
    <s v="084738711905"/>
  </r>
  <r>
    <n v="341"/>
    <x v="340"/>
    <s v="Ika Nurjanah"/>
    <s v="Female"/>
    <d v="1993-05-09T00:00:00"/>
    <d v="2020-06-05T00:00:00"/>
    <x v="0"/>
    <x v="0"/>
    <s v="Active"/>
    <s v="ikanurjanah@email.com"/>
    <s v="083058890198"/>
  </r>
  <r>
    <n v="342"/>
    <x v="341"/>
    <s v="Selvi Hindiyani"/>
    <s v="Female"/>
    <d v="1999-11-23T00:00:00"/>
    <d v="2018-07-25T00:00:00"/>
    <x v="0"/>
    <x v="0"/>
    <s v="Active"/>
    <s v="selvihindiyani@email.com"/>
    <s v="089653034442"/>
  </r>
  <r>
    <n v="343"/>
    <x v="342"/>
    <s v="Syahril Maulana Al Falah"/>
    <s v="Male"/>
    <d v="1985-09-21T00:00:00"/>
    <d v="2023-03-01T00:00:00"/>
    <x v="0"/>
    <x v="0"/>
    <s v="Active"/>
    <s v="syahrilmaulanaalfalah@email.com"/>
    <s v="085874761595"/>
  </r>
  <r>
    <n v="344"/>
    <x v="343"/>
    <s v="Widianingrum"/>
    <s v="Female"/>
    <d v="1993-11-02T00:00:00"/>
    <d v="2025-05-16T00:00:00"/>
    <x v="0"/>
    <x v="0"/>
    <s v="Resigned"/>
    <s v="widianingrum@email.com"/>
    <s v="087235078131"/>
  </r>
  <r>
    <n v="345"/>
    <x v="344"/>
    <s v="Rahda Sayrella Yolanda"/>
    <s v="Female"/>
    <d v="1990-01-23T00:00:00"/>
    <d v="2023-09-11T00:00:00"/>
    <x v="0"/>
    <x v="0"/>
    <s v="Active"/>
    <s v="rahdasayrellayolanda@email.com"/>
    <s v="086133931004"/>
  </r>
  <r>
    <n v="346"/>
    <x v="345"/>
    <s v="Ani Wahyuni"/>
    <s v="Female"/>
    <d v="1985-11-14T00:00:00"/>
    <d v="2019-11-03T00:00:00"/>
    <x v="0"/>
    <x v="0"/>
    <s v="Resigned"/>
    <s v="aniwahyuni@email.com"/>
    <s v="086751158565"/>
  </r>
  <r>
    <n v="347"/>
    <x v="346"/>
    <s v="Mohamad Farid Alamul Hudi"/>
    <s v="Male"/>
    <d v="1988-04-03T00:00:00"/>
    <d v="2019-10-04T00:00:00"/>
    <x v="0"/>
    <x v="0"/>
    <s v="Resigned"/>
    <s v="mohamadfaridalamulhudi@email.com"/>
    <s v="083347099457"/>
  </r>
  <r>
    <n v="348"/>
    <x v="347"/>
    <s v="Vivi Indriantika"/>
    <s v="Female"/>
    <d v="1991-04-30T00:00:00"/>
    <d v="2023-04-26T00:00:00"/>
    <x v="0"/>
    <x v="0"/>
    <s v="Active"/>
    <s v="viviindriantika@email.com"/>
    <s v="085013749216"/>
  </r>
  <r>
    <n v="349"/>
    <x v="348"/>
    <s v="Singgih Dwi Pangestu"/>
    <s v="Male"/>
    <d v="2000-03-10T00:00:00"/>
    <d v="2023-01-14T00:00:00"/>
    <x v="4"/>
    <x v="4"/>
    <s v="Active"/>
    <s v="singgihdwipangestu@email.com"/>
    <s v="088309660217"/>
  </r>
  <r>
    <n v="350"/>
    <x v="349"/>
    <s v="Erniati"/>
    <s v="Female"/>
    <d v="1996-07-01T00:00:00"/>
    <d v="2024-11-19T00:00:00"/>
    <x v="0"/>
    <x v="0"/>
    <s v="Probation"/>
    <s v="erniati@email.com"/>
    <s v="089026618380"/>
  </r>
  <r>
    <n v="351"/>
    <x v="350"/>
    <s v="Teguh Prianto"/>
    <s v="Male"/>
    <d v="1988-10-16T00:00:00"/>
    <d v="2024-07-30T00:00:00"/>
    <x v="5"/>
    <x v="5"/>
    <s v="Active"/>
    <s v="teguhprianto@email.com"/>
    <s v="08975646562"/>
  </r>
  <r>
    <n v="352"/>
    <x v="351"/>
    <s v="Sugeng Alvin Nanda"/>
    <s v="Male"/>
    <d v="1996-12-19T00:00:00"/>
    <d v="2021-09-30T00:00:00"/>
    <x v="0"/>
    <x v="0"/>
    <s v="Resigned"/>
    <s v="sugengalvinnanda@email.com"/>
    <s v="081723289079"/>
  </r>
  <r>
    <n v="353"/>
    <x v="352"/>
    <s v="Dina Rizqiani"/>
    <s v="Female"/>
    <d v="2001-10-16T00:00:00"/>
    <d v="2019-07-16T00:00:00"/>
    <x v="0"/>
    <x v="0"/>
    <s v="Resigned"/>
    <s v="dinarizqiani@email.com"/>
    <s v="082750533312"/>
  </r>
  <r>
    <n v="354"/>
    <x v="353"/>
    <s v="Dwi Prasetyani"/>
    <s v="Female"/>
    <d v="1987-08-25T00:00:00"/>
    <d v="2020-12-06T00:00:00"/>
    <x v="0"/>
    <x v="0"/>
    <s v="Probation"/>
    <s v="dwiprasetyani@email.com"/>
    <s v="089757377708"/>
  </r>
  <r>
    <n v="355"/>
    <x v="354"/>
    <s v="Yeni Widayanti"/>
    <s v="Female"/>
    <d v="1988-11-20T00:00:00"/>
    <d v="2022-11-19T00:00:00"/>
    <x v="0"/>
    <x v="0"/>
    <s v="Active"/>
    <s v="yeniwidayanti@email.com"/>
    <s v="087102861590"/>
  </r>
  <r>
    <n v="356"/>
    <x v="355"/>
    <s v="Tomy Supriyadi"/>
    <s v="Male"/>
    <d v="1996-10-06T00:00:00"/>
    <d v="2024-06-17T00:00:00"/>
    <x v="0"/>
    <x v="0"/>
    <s v="Resigned"/>
    <s v="tomysupriyadi@email.com"/>
    <s v="083952011033"/>
  </r>
  <r>
    <n v="357"/>
    <x v="356"/>
    <s v="Uswatun Khasanah"/>
    <s v="Female"/>
    <d v="2001-07-09T00:00:00"/>
    <d v="2024-04-14T00:00:00"/>
    <x v="0"/>
    <x v="0"/>
    <s v="Active"/>
    <s v="uswatunkhasanah@email.com"/>
    <s v="085660540800"/>
  </r>
  <r>
    <n v="358"/>
    <x v="357"/>
    <s v="Ela Winarsih"/>
    <s v="Female"/>
    <d v="1998-03-02T00:00:00"/>
    <d v="2018-06-27T00:00:00"/>
    <x v="1"/>
    <x v="1"/>
    <s v="Probation"/>
    <s v="elawinarsih@email.com"/>
    <s v="086295792466"/>
  </r>
  <r>
    <n v="359"/>
    <x v="358"/>
    <s v="Shakhilah Nurur Rohmah"/>
    <s v="Female"/>
    <d v="1988-07-20T00:00:00"/>
    <d v="2019-06-15T00:00:00"/>
    <x v="0"/>
    <x v="0"/>
    <s v="Probation"/>
    <s v="shakhilahnururrohmah@email.com"/>
    <s v="083422123468"/>
  </r>
  <r>
    <n v="360"/>
    <x v="359"/>
    <s v="Ratih Tri Nuraeni"/>
    <s v="Female"/>
    <d v="1993-03-23T00:00:00"/>
    <d v="2022-09-12T00:00:00"/>
    <x v="0"/>
    <x v="0"/>
    <s v="Resigned"/>
    <s v="ratihtrinuraeni@email.com"/>
    <s v="083123700238"/>
  </r>
  <r>
    <n v="361"/>
    <x v="360"/>
    <s v="Muhammad Alif Wisnu Murti"/>
    <s v="Male"/>
    <d v="1991-12-29T00:00:00"/>
    <d v="2024-09-17T00:00:00"/>
    <x v="5"/>
    <x v="5"/>
    <s v="Resigned"/>
    <s v="muhammadalifwisnumurti@email.com"/>
    <s v="085117795544"/>
  </r>
  <r>
    <n v="362"/>
    <x v="361"/>
    <s v="Muhammad Alwi Alrizky"/>
    <s v="Male"/>
    <d v="2002-10-25T00:00:00"/>
    <d v="2024-02-21T00:00:00"/>
    <x v="4"/>
    <x v="4"/>
    <s v="Active"/>
    <s v="muhammadalwialrizky@email.com"/>
    <s v="089756465581"/>
  </r>
  <r>
    <n v="363"/>
    <x v="362"/>
    <s v="Siti Mike Febiyanti"/>
    <s v="Female"/>
    <d v="1995-11-01T00:00:00"/>
    <d v="2025-03-08T00:00:00"/>
    <x v="0"/>
    <x v="0"/>
    <s v="Probation"/>
    <s v="sitimikefebiyanti@email.com"/>
    <s v="089738012974"/>
  </r>
  <r>
    <n v="364"/>
    <x v="363"/>
    <s v="Tiara Ninda Apriliany"/>
    <s v="Female"/>
    <d v="1997-07-14T00:00:00"/>
    <d v="2019-08-19T00:00:00"/>
    <x v="8"/>
    <x v="8"/>
    <s v="Probation"/>
    <s v="tiaranindaapriliany@email.com"/>
    <s v="081554714676"/>
  </r>
  <r>
    <n v="365"/>
    <x v="364"/>
    <s v="Elsa"/>
    <s v="Female"/>
    <d v="1997-05-26T00:00:00"/>
    <d v="2019-12-19T00:00:00"/>
    <x v="0"/>
    <x v="0"/>
    <s v="Probation"/>
    <s v="elsa@email.com"/>
    <s v="087401604929"/>
  </r>
  <r>
    <n v="366"/>
    <x v="365"/>
    <s v="Leni"/>
    <s v="Female"/>
    <d v="1996-04-22T00:00:00"/>
    <d v="2022-01-29T00:00:00"/>
    <x v="0"/>
    <x v="0"/>
    <s v="Probation"/>
    <s v="leni@email.com"/>
    <s v="083566793547"/>
  </r>
  <r>
    <n v="367"/>
    <x v="366"/>
    <s v="Maula Nurul Arifah"/>
    <s v="Female"/>
    <d v="1995-01-25T00:00:00"/>
    <d v="2023-10-19T00:00:00"/>
    <x v="1"/>
    <x v="1"/>
    <s v="Probation"/>
    <s v="maulanurularifah@email.com"/>
    <s v="088820214226"/>
  </r>
  <r>
    <n v="368"/>
    <x v="367"/>
    <s v="Riyanti"/>
    <s v="Female"/>
    <d v="1996-09-09T00:00:00"/>
    <d v="2020-05-03T00:00:00"/>
    <x v="0"/>
    <x v="0"/>
    <s v="Active"/>
    <s v="riyanti@email.com"/>
    <s v="0881386486"/>
  </r>
  <r>
    <n v="369"/>
    <x v="368"/>
    <s v="Anisah Nurhidayah"/>
    <s v="Female"/>
    <d v="1996-10-24T00:00:00"/>
    <d v="2023-04-25T00:00:00"/>
    <x v="1"/>
    <x v="1"/>
    <s v="Probation"/>
    <s v="anisahnurhidayah@email.com"/>
    <s v="089756465582"/>
  </r>
  <r>
    <n v="370"/>
    <x v="369"/>
    <s v="Naza Rahma Putrian"/>
    <s v="Female"/>
    <d v="2000-08-25T00:00:00"/>
    <d v="2018-09-04T00:00:00"/>
    <x v="0"/>
    <x v="0"/>
    <s v="Resigned"/>
    <s v="nazarahmaputrian@email.com"/>
    <s v="088993814078"/>
  </r>
  <r>
    <n v="371"/>
    <x v="370"/>
    <s v="Deva Silvana"/>
    <s v="Male"/>
    <d v="1994-03-05T00:00:00"/>
    <d v="2018-02-10T00:00:00"/>
    <x v="0"/>
    <x v="0"/>
    <s v="Probation"/>
    <s v="devasilvana@email.com"/>
    <s v="083369794727"/>
  </r>
  <r>
    <n v="372"/>
    <x v="371"/>
    <s v="Putri Anjani"/>
    <s v="Female"/>
    <d v="2001-01-11T00:00:00"/>
    <d v="2021-11-13T00:00:00"/>
    <x v="0"/>
    <x v="0"/>
    <s v="Active"/>
    <s v="putrianjani@email.com"/>
    <s v="082786665325"/>
  </r>
  <r>
    <n v="373"/>
    <x v="372"/>
    <s v="Fajar Bayu Aji D D"/>
    <s v="Male"/>
    <d v="1985-07-08T00:00:00"/>
    <d v="2022-03-22T00:00:00"/>
    <x v="1"/>
    <x v="1"/>
    <s v="Active"/>
    <s v="fajarbayuajidd@email.com"/>
    <s v="086427932449"/>
  </r>
  <r>
    <n v="374"/>
    <x v="373"/>
    <s v="Uswatun Khasanah"/>
    <s v="Female"/>
    <d v="2000-04-17T00:00:00"/>
    <d v="2019-03-29T00:00:00"/>
    <x v="0"/>
    <x v="0"/>
    <s v="Active"/>
    <s v="uswatunkhasanah@email.com"/>
    <s v="088633530638"/>
  </r>
  <r>
    <n v="375"/>
    <x v="374"/>
    <s v="Hakiki"/>
    <s v="Male"/>
    <d v="1987-03-17T00:00:00"/>
    <d v="2022-09-11T00:00:00"/>
    <x v="8"/>
    <x v="8"/>
    <s v="Resigned"/>
    <s v="hakiki@email.com"/>
    <s v="084094513587"/>
  </r>
  <r>
    <n v="376"/>
    <x v="375"/>
    <s v="Nur Hakiki Puji Lestari"/>
    <s v="Female"/>
    <d v="1986-03-20T00:00:00"/>
    <d v="2018-06-08T00:00:00"/>
    <x v="0"/>
    <x v="0"/>
    <s v="Active"/>
    <s v="nurhakikipujilestari@email.com"/>
    <s v="086528675973"/>
  </r>
  <r>
    <n v="377"/>
    <x v="376"/>
    <s v="Mutia Azzahra"/>
    <s v="Female"/>
    <d v="2001-12-03T00:00:00"/>
    <d v="2019-10-07T00:00:00"/>
    <x v="0"/>
    <x v="0"/>
    <s v="Active"/>
    <s v="mutiaazzahra@email.com"/>
    <s v="081088704276"/>
  </r>
  <r>
    <n v="378"/>
    <x v="377"/>
    <s v="Tri Laksana Andrian"/>
    <s v="Male"/>
    <d v="1993-12-22T00:00:00"/>
    <d v="2023-01-11T00:00:00"/>
    <x v="6"/>
    <x v="6"/>
    <s v="Active"/>
    <s v="trilaksanaandrian@email.com"/>
    <s v="088141446335"/>
  </r>
  <r>
    <n v="379"/>
    <x v="378"/>
    <s v="Fatma Nurlaela"/>
    <s v="Female"/>
    <d v="1988-08-23T00:00:00"/>
    <d v="2020-08-20T00:00:00"/>
    <x v="0"/>
    <x v="0"/>
    <s v="Active"/>
    <s v="fatmanurlaela@email.com"/>
    <s v="083946464173"/>
  </r>
  <r>
    <n v="380"/>
    <x v="379"/>
    <s v="Syahrul Anan"/>
    <s v="Male"/>
    <d v="1993-07-22T00:00:00"/>
    <d v="2020-06-10T00:00:00"/>
    <x v="6"/>
    <x v="6"/>
    <s v="Active"/>
    <s v="syahrulanan@email.com"/>
    <s v="086534627973"/>
  </r>
  <r>
    <n v="381"/>
    <x v="380"/>
    <s v="Sita Nurkhasanah Azzahra"/>
    <s v="Female"/>
    <d v="1987-06-03T00:00:00"/>
    <d v="2023-12-07T00:00:00"/>
    <x v="0"/>
    <x v="0"/>
    <s v="Resigned"/>
    <s v="sitanurkhasanahazzahra@email.com"/>
    <s v="082018120113"/>
  </r>
  <r>
    <n v="382"/>
    <x v="381"/>
    <s v="Yuniar Tri Lestari"/>
    <s v="Female"/>
    <d v="1999-08-31T00:00:00"/>
    <d v="2021-04-29T00:00:00"/>
    <x v="0"/>
    <x v="0"/>
    <s v="Probation"/>
    <s v="yuniartrilestari@email.com"/>
    <s v="085373114400"/>
  </r>
  <r>
    <n v="383"/>
    <x v="382"/>
    <s v="Petrus Bayu Setya Wibawa"/>
    <s v="Male"/>
    <d v="1995-05-10T00:00:00"/>
    <d v="2018-05-28T00:00:00"/>
    <x v="5"/>
    <x v="5"/>
    <s v="Active"/>
    <s v="petrusbayusetyawibawa@email.com"/>
    <s v="080935754115"/>
  </r>
  <r>
    <n v="384"/>
    <x v="383"/>
    <s v="Reza Setiawan"/>
    <s v="Male"/>
    <d v="1996-10-08T00:00:00"/>
    <d v="2020-08-11T00:00:00"/>
    <x v="5"/>
    <x v="5"/>
    <s v="Probation"/>
    <s v="rezasetiawan@email.com"/>
    <s v="081131053693"/>
  </r>
  <r>
    <n v="385"/>
    <x v="384"/>
    <s v="Tiara Silviani"/>
    <s v="Female"/>
    <d v="1994-12-09T00:00:00"/>
    <d v="2025-05-16T00:00:00"/>
    <x v="0"/>
    <x v="0"/>
    <s v="Active"/>
    <s v="tiarasilviani@email.com"/>
    <s v="088474509149"/>
  </r>
  <r>
    <n v="386"/>
    <x v="385"/>
    <s v="Irnawati"/>
    <s v="Female"/>
    <d v="2002-08-19T00:00:00"/>
    <d v="2019-01-27T00:00:00"/>
    <x v="0"/>
    <x v="0"/>
    <s v="Resigned"/>
    <s v="irnawati@email.com"/>
    <s v="089756465583"/>
  </r>
  <r>
    <n v="387"/>
    <x v="386"/>
    <s v="Mohammad Levi Junian"/>
    <s v="Male"/>
    <d v="1998-02-18T00:00:00"/>
    <d v="2019-03-22T00:00:00"/>
    <x v="0"/>
    <x v="0"/>
    <s v="Probation"/>
    <s v="mohammadlevijunian@email.com"/>
    <s v="089663630450"/>
  </r>
  <r>
    <n v="388"/>
    <x v="387"/>
    <s v="Nazwa Amalia"/>
    <s v="Female"/>
    <d v="1985-04-01T00:00:00"/>
    <d v="2024-04-03T00:00:00"/>
    <x v="0"/>
    <x v="0"/>
    <s v="Probation"/>
    <s v="nazwaamalia@email.com"/>
    <s v="088070850806"/>
  </r>
  <r>
    <n v="389"/>
    <x v="388"/>
    <s v="Nani Diana"/>
    <s v="Female"/>
    <d v="1985-10-09T00:00:00"/>
    <d v="2025-07-30T00:00:00"/>
    <x v="0"/>
    <x v="0"/>
    <s v="Active"/>
    <s v="nanidiana@email.com"/>
    <s v="089184440623"/>
  </r>
  <r>
    <n v="390"/>
    <x v="389"/>
    <s v="Azaz Alfa Rizqi"/>
    <s v="Male"/>
    <d v="1996-09-21T00:00:00"/>
    <d v="2018-02-18T00:00:00"/>
    <x v="4"/>
    <x v="4"/>
    <s v="Resigned"/>
    <s v="azazalfarizqi@email.com"/>
    <s v="083064755925"/>
  </r>
  <r>
    <n v="391"/>
    <x v="390"/>
    <s v="Anwar Fuadi"/>
    <s v="Male"/>
    <d v="1992-10-26T00:00:00"/>
    <d v="2021-10-18T00:00:00"/>
    <x v="5"/>
    <x v="5"/>
    <s v="Probation"/>
    <s v="anwarfuadi@email.com"/>
    <s v="089526174778"/>
  </r>
  <r>
    <n v="392"/>
    <x v="391"/>
    <s v="Nur Lita Dwi Purnamasari"/>
    <s v="Female"/>
    <d v="1991-09-26T00:00:00"/>
    <d v="2019-06-22T00:00:00"/>
    <x v="0"/>
    <x v="0"/>
    <s v="Active"/>
    <s v="nurlitadwipurnamasari@email.com"/>
    <s v="085838582660"/>
  </r>
  <r>
    <n v="393"/>
    <x v="392"/>
    <s v="Gayuh Rakasiwi"/>
    <s v="Female"/>
    <d v="2003-02-21T00:00:00"/>
    <d v="2018-10-11T00:00:00"/>
    <x v="0"/>
    <x v="0"/>
    <s v="Active"/>
    <s v="gayuhrakasiwi@email.com"/>
    <s v="087265315802"/>
  </r>
  <r>
    <n v="394"/>
    <x v="393"/>
    <s v="Arif Ulin Nuha"/>
    <s v="Male"/>
    <d v="1990-01-07T00:00:00"/>
    <d v="2020-02-21T00:00:00"/>
    <x v="0"/>
    <x v="0"/>
    <s v="Probation"/>
    <s v="arifulinnuha@email.com"/>
    <s v="084766435999"/>
  </r>
  <r>
    <n v="395"/>
    <x v="394"/>
    <s v="Rahma Anjalina"/>
    <s v="Female"/>
    <d v="1985-05-26T00:00:00"/>
    <d v="2020-07-07T00:00:00"/>
    <x v="1"/>
    <x v="1"/>
    <s v="Active"/>
    <s v="rahmaanjalina@email.com"/>
    <s v="080357162388"/>
  </r>
  <r>
    <n v="396"/>
    <x v="395"/>
    <s v="Zaenal Arifin"/>
    <s v="Male"/>
    <d v="1985-07-17T00:00:00"/>
    <d v="2023-09-26T00:00:00"/>
    <x v="0"/>
    <x v="0"/>
    <s v="Probation"/>
    <s v="zaenalarifin@email.com"/>
    <s v="080749239991"/>
  </r>
  <r>
    <n v="397"/>
    <x v="396"/>
    <s v="Trisnawan"/>
    <s v="Male"/>
    <d v="2000-11-18T00:00:00"/>
    <d v="2018-03-27T00:00:00"/>
    <x v="6"/>
    <x v="6"/>
    <s v="Active"/>
    <s v="trisnawan@email.com"/>
    <s v="088301397217"/>
  </r>
  <r>
    <n v="398"/>
    <x v="397"/>
    <s v="Sri Rejeki"/>
    <s v="Female"/>
    <d v="1993-12-31T00:00:00"/>
    <d v="2018-06-07T00:00:00"/>
    <x v="0"/>
    <x v="0"/>
    <s v="Active"/>
    <s v="srirejeki@email.com"/>
    <s v="084129167959"/>
  </r>
  <r>
    <n v="399"/>
    <x v="398"/>
    <s v="Melati Handayani"/>
    <s v="Female"/>
    <d v="2001-12-19T00:00:00"/>
    <d v="2024-09-17T00:00:00"/>
    <x v="0"/>
    <x v="0"/>
    <s v="Active"/>
    <s v="melatihandayani@email.com"/>
    <s v="085392121167"/>
  </r>
  <r>
    <n v="400"/>
    <x v="399"/>
    <s v="Nuraisyah"/>
    <s v="Female"/>
    <d v="1986-12-14T00:00:00"/>
    <d v="2024-10-27T00:00:00"/>
    <x v="1"/>
    <x v="1"/>
    <s v="Active"/>
    <s v="nuraisyah@email.com"/>
    <s v="080952553681"/>
  </r>
  <r>
    <n v="401"/>
    <x v="400"/>
    <s v="Ucu Sahroni"/>
    <s v="Male"/>
    <d v="1989-12-02T00:00:00"/>
    <d v="2022-08-23T00:00:00"/>
    <x v="0"/>
    <x v="0"/>
    <s v="Probation"/>
    <s v="ucusahroni@email.com"/>
    <s v="081740583714"/>
  </r>
  <r>
    <n v="402"/>
    <x v="401"/>
    <s v="Dwi Marti Astuti"/>
    <s v="Female"/>
    <d v="1988-01-07T00:00:00"/>
    <d v="2018-05-27T00:00:00"/>
    <x v="0"/>
    <x v="0"/>
    <s v="Active"/>
    <s v="dwimartiastuti@email.com"/>
    <s v="081971863183"/>
  </r>
  <r>
    <n v="403"/>
    <x v="402"/>
    <s v="Devi Asti Andika"/>
    <s v="Female"/>
    <d v="1989-04-21T00:00:00"/>
    <d v="2024-11-01T00:00:00"/>
    <x v="0"/>
    <x v="0"/>
    <s v="Resigned"/>
    <s v="deviastiandika@email.com"/>
    <s v="088161096722"/>
  </r>
  <r>
    <n v="404"/>
    <x v="403"/>
    <s v="Siti Chodijah Agustin"/>
    <s v="Female"/>
    <d v="1991-10-10T00:00:00"/>
    <d v="2021-05-14T00:00:00"/>
    <x v="0"/>
    <x v="0"/>
    <s v="Active"/>
    <s v="sitichodijahagustin@email.com"/>
    <s v="080691061455"/>
  </r>
  <r>
    <n v="405"/>
    <x v="404"/>
    <s v="Rahmah Azizah"/>
    <s v="Female"/>
    <d v="2001-09-24T00:00:00"/>
    <d v="2025-02-20T00:00:00"/>
    <x v="0"/>
    <x v="0"/>
    <s v="Active"/>
    <s v="rahmahazizah@email.com"/>
    <s v="084392969649"/>
  </r>
  <r>
    <n v="406"/>
    <x v="405"/>
    <s v="Ahmad Riziq Maulana"/>
    <s v="Male"/>
    <d v="1987-08-03T00:00:00"/>
    <d v="2024-06-21T00:00:00"/>
    <x v="5"/>
    <x v="5"/>
    <s v="Active"/>
    <s v="ahmadriziqmaulana@email.com"/>
    <s v="088201587001"/>
  </r>
  <r>
    <n v="407"/>
    <x v="406"/>
    <s v="Junaedi"/>
    <s v="Male"/>
    <d v="1993-06-14T00:00:00"/>
    <d v="2020-12-24T00:00:00"/>
    <x v="0"/>
    <x v="0"/>
    <s v="Probation"/>
    <s v="junaedi@email.com"/>
    <s v="088819496591"/>
  </r>
  <r>
    <n v="408"/>
    <x v="407"/>
    <s v="Alvi Wulandari"/>
    <s v="Female"/>
    <d v="2000-05-03T00:00:00"/>
    <d v="2019-08-22T00:00:00"/>
    <x v="0"/>
    <x v="0"/>
    <s v="Probation"/>
    <s v="alviwulandari@email.com"/>
    <s v="082665516299"/>
  </r>
  <r>
    <n v="409"/>
    <x v="408"/>
    <s v="Diva Ainiyyah Febriyansyah"/>
    <s v="Female"/>
    <d v="1993-05-31T00:00:00"/>
    <d v="2022-02-10T00:00:00"/>
    <x v="0"/>
    <x v="0"/>
    <s v="Resigned"/>
    <s v="divaainiyyahfebriyansyah@email.com"/>
    <s v="084437059001"/>
  </r>
  <r>
    <n v="410"/>
    <x v="409"/>
    <s v="Lean Aulia"/>
    <s v="Female"/>
    <d v="2002-06-01T00:00:00"/>
    <d v="2021-10-05T00:00:00"/>
    <x v="0"/>
    <x v="0"/>
    <s v="Active"/>
    <s v="leanaulia@email.com"/>
    <s v="084364093953"/>
  </r>
  <r>
    <n v="411"/>
    <x v="410"/>
    <s v="Salsa Agustin"/>
    <s v="Female"/>
    <d v="1993-03-29T00:00:00"/>
    <d v="2024-05-22T00:00:00"/>
    <x v="0"/>
    <x v="0"/>
    <s v="Active"/>
    <s v="salsaagustin@email.com"/>
    <s v="084513293983"/>
  </r>
  <r>
    <n v="412"/>
    <x v="411"/>
    <s v="M Piki Purnama"/>
    <s v="Male"/>
    <d v="1997-02-16T00:00:00"/>
    <d v="2025-06-11T00:00:00"/>
    <x v="0"/>
    <x v="0"/>
    <s v="Active"/>
    <s v="mpikipurnama@email.com"/>
    <s v="081835804669"/>
  </r>
  <r>
    <n v="413"/>
    <x v="412"/>
    <s v="Noviana Kusuma Wardani"/>
    <s v="Female"/>
    <d v="1992-12-29T00:00:00"/>
    <d v="2023-01-31T00:00:00"/>
    <x v="1"/>
    <x v="1"/>
    <s v="Active"/>
    <s v="novianakusumawardani@email.com"/>
    <s v="081464784598"/>
  </r>
  <r>
    <n v="414"/>
    <x v="413"/>
    <s v="Widianingrum"/>
    <s v="Female"/>
    <d v="1999-11-13T00:00:00"/>
    <d v="2022-09-23T00:00:00"/>
    <x v="1"/>
    <x v="1"/>
    <s v="Probation"/>
    <s v="widianingrum@email.com"/>
    <s v="084079953414"/>
  </r>
  <r>
    <n v="415"/>
    <x v="414"/>
    <s v="Septia Wijiana"/>
    <s v="Female"/>
    <d v="2000-06-26T00:00:00"/>
    <d v="2018-10-22T00:00:00"/>
    <x v="0"/>
    <x v="0"/>
    <s v="Active"/>
    <s v="septiawijiana@email.com"/>
    <s v="085758037970"/>
  </r>
  <r>
    <n v="416"/>
    <x v="415"/>
    <s v="Ishaq Ramadani"/>
    <s v="Male"/>
    <d v="1989-04-21T00:00:00"/>
    <d v="2020-01-09T00:00:00"/>
    <x v="4"/>
    <x v="4"/>
    <s v="Active"/>
    <s v="ishaqramadani@email.com"/>
    <s v="087823215351"/>
  </r>
  <r>
    <n v="417"/>
    <x v="416"/>
    <s v="Rakhman Maulana"/>
    <s v="Male"/>
    <d v="1993-05-04T00:00:00"/>
    <d v="2018-11-02T00:00:00"/>
    <x v="6"/>
    <x v="6"/>
    <s v="Active"/>
    <s v="rakhmanmaulana@email.com"/>
    <s v="083235117523"/>
  </r>
  <r>
    <n v="418"/>
    <x v="417"/>
    <s v="Sarya Prasetio"/>
    <s v="Male"/>
    <d v="1992-09-04T00:00:00"/>
    <d v="2019-10-09T00:00:00"/>
    <x v="0"/>
    <x v="0"/>
    <s v="Active"/>
    <s v="saryaprasetio@email.com"/>
    <s v="085945679125"/>
  </r>
  <r>
    <n v="419"/>
    <x v="418"/>
    <s v="Erni Mardian"/>
    <s v="Female"/>
    <d v="1992-03-03T00:00:00"/>
    <d v="2020-07-19T00:00:00"/>
    <x v="0"/>
    <x v="0"/>
    <s v="Probation"/>
    <s v="ernimardian@email.com"/>
    <s v="083663535381"/>
  </r>
  <r>
    <n v="420"/>
    <x v="419"/>
    <s v="Meli Krisnawati"/>
    <s v="Female"/>
    <d v="1990-04-26T00:00:00"/>
    <d v="2018-09-10T00:00:00"/>
    <x v="0"/>
    <x v="0"/>
    <s v="Active"/>
    <s v="melikrisnawati@email.com"/>
    <s v="084063322044"/>
  </r>
  <r>
    <n v="421"/>
    <x v="420"/>
    <s v="Bayu Bahrudin"/>
    <s v="Male"/>
    <d v="2000-01-27T00:00:00"/>
    <d v="2022-02-18T00:00:00"/>
    <x v="0"/>
    <x v="0"/>
    <s v="Active"/>
    <s v="bayubahrudin@email.com"/>
    <s v="085012657439"/>
  </r>
  <r>
    <n v="422"/>
    <x v="421"/>
    <s v="Tuti Alawiyah"/>
    <s v="Female"/>
    <d v="2003-02-06T00:00:00"/>
    <d v="2019-11-03T00:00:00"/>
    <x v="0"/>
    <x v="0"/>
    <s v="Resigned"/>
    <s v="tutialawiyah@email.com"/>
    <s v="086393172214"/>
  </r>
  <r>
    <n v="423"/>
    <x v="422"/>
    <s v="Ikhtiyar"/>
    <s v="Female"/>
    <d v="2002-11-24T00:00:00"/>
    <d v="2024-01-11T00:00:00"/>
    <x v="0"/>
    <x v="0"/>
    <s v="Active"/>
    <s v="ikhtiyar@email.com"/>
    <s v="083619832938"/>
  </r>
  <r>
    <n v="424"/>
    <x v="423"/>
    <s v="Rina Nur Rani"/>
    <s v="Female"/>
    <d v="1994-07-15T00:00:00"/>
    <d v="2022-10-04T00:00:00"/>
    <x v="0"/>
    <x v="0"/>
    <s v="Resigned"/>
    <s v="rinanurrani@email.com"/>
    <s v="085197485417"/>
  </r>
  <r>
    <n v="425"/>
    <x v="424"/>
    <s v="Enden Muhamad Hilman"/>
    <s v="Male"/>
    <d v="2002-02-24T00:00:00"/>
    <d v="2023-08-08T00:00:00"/>
    <x v="4"/>
    <x v="4"/>
    <s v="Active"/>
    <s v="endenmuhamadhilman@email.com"/>
    <s v="084749644804"/>
  </r>
  <r>
    <n v="426"/>
    <x v="425"/>
    <s v="Aji Pangestu"/>
    <s v="Male"/>
    <d v="1992-03-06T00:00:00"/>
    <d v="2023-03-07T00:00:00"/>
    <x v="0"/>
    <x v="0"/>
    <s v="Probation"/>
    <s v="ajipangestu@email.com"/>
    <s v="086971752690"/>
  </r>
  <r>
    <n v="427"/>
    <x v="426"/>
    <s v="Ardhi Wahyu Saputra"/>
    <s v="Male"/>
    <d v="2001-01-30T00:00:00"/>
    <d v="2023-10-01T00:00:00"/>
    <x v="0"/>
    <x v="0"/>
    <s v="Probation"/>
    <s v="ardhiwahyusaputra@email.com"/>
    <s v="089800600459"/>
  </r>
  <r>
    <n v="428"/>
    <x v="427"/>
    <s v="Tri Utami"/>
    <s v="Female"/>
    <d v="1993-01-27T00:00:00"/>
    <d v="2023-12-07T00:00:00"/>
    <x v="0"/>
    <x v="0"/>
    <s v="Active"/>
    <s v="triutami@email.com"/>
    <s v="089286695706"/>
  </r>
  <r>
    <n v="429"/>
    <x v="428"/>
    <s v="Alda Monika"/>
    <s v="Female"/>
    <d v="2002-07-19T00:00:00"/>
    <d v="2021-08-20T00:00:00"/>
    <x v="8"/>
    <x v="8"/>
    <s v="Resigned"/>
    <s v="aldamonika@email.com"/>
    <s v="0801700903"/>
  </r>
  <r>
    <n v="430"/>
    <x v="429"/>
    <s v="Novi Kusuma Wardani"/>
    <s v="Female"/>
    <d v="2003-03-10T00:00:00"/>
    <d v="2024-09-24T00:00:00"/>
    <x v="0"/>
    <x v="0"/>
    <s v="Active"/>
    <s v="novikusumawardani@email.com"/>
    <s v="089685156181"/>
  </r>
  <r>
    <n v="431"/>
    <x v="430"/>
    <s v="Suherman"/>
    <s v="Male"/>
    <d v="1993-08-22T00:00:00"/>
    <d v="2024-11-13T00:00:00"/>
    <x v="4"/>
    <x v="4"/>
    <s v="Resigned"/>
    <s v="suherman@email.com"/>
    <s v="084872907923"/>
  </r>
  <r>
    <n v="432"/>
    <x v="431"/>
    <s v="Cahya Nof Fitri"/>
    <s v="Female"/>
    <d v="2003-01-23T00:00:00"/>
    <d v="2018-04-02T00:00:00"/>
    <x v="0"/>
    <x v="0"/>
    <s v="Probation"/>
    <s v="cahyanoffitri@email.com"/>
    <s v="082791840799"/>
  </r>
  <r>
    <n v="433"/>
    <x v="432"/>
    <s v="Fitri Nurjanah"/>
    <s v="Female"/>
    <d v="1986-06-28T00:00:00"/>
    <d v="2019-09-13T00:00:00"/>
    <x v="0"/>
    <x v="0"/>
    <s v="Active"/>
    <s v="fitrinurjanah@email.com"/>
    <s v="085150120961"/>
  </r>
  <r>
    <n v="434"/>
    <x v="433"/>
    <s v="Suci Amalia Indah Sari"/>
    <s v="Female"/>
    <d v="1988-12-12T00:00:00"/>
    <d v="2019-10-10T00:00:00"/>
    <x v="1"/>
    <x v="1"/>
    <s v="Active"/>
    <s v="suciamaliaindahsari@email.com"/>
    <s v="089756465584"/>
  </r>
  <r>
    <n v="435"/>
    <x v="434"/>
    <s v="Seli Apriliyani Putri"/>
    <s v="Female"/>
    <d v="2003-04-25T00:00:00"/>
    <d v="2019-06-10T00:00:00"/>
    <x v="0"/>
    <x v="0"/>
    <s v="Active"/>
    <s v="seliapriliyaniputri@email.com"/>
    <s v="083337513984"/>
  </r>
  <r>
    <n v="436"/>
    <x v="435"/>
    <s v="Devita Nur Aeni"/>
    <s v="Female"/>
    <d v="2000-12-31T00:00:00"/>
    <d v="2018-10-25T00:00:00"/>
    <x v="0"/>
    <x v="0"/>
    <s v="Probation"/>
    <s v="devitanuraeni@email.com"/>
    <s v="0827320628"/>
  </r>
  <r>
    <n v="437"/>
    <x v="436"/>
    <s v="Anandita Zahra Talita"/>
    <s v="Female"/>
    <d v="1990-08-15T00:00:00"/>
    <d v="2018-01-29T00:00:00"/>
    <x v="1"/>
    <x v="1"/>
    <s v="Active"/>
    <s v="ananditazahratalita@email.com"/>
    <s v="089756465585"/>
  </r>
  <r>
    <n v="438"/>
    <x v="437"/>
    <s v="Ratini"/>
    <s v="Female"/>
    <d v="1997-06-10T00:00:00"/>
    <d v="2024-06-06T00:00:00"/>
    <x v="0"/>
    <x v="0"/>
    <s v="Active"/>
    <s v="ratini@email.com"/>
    <s v="087018498143"/>
  </r>
  <r>
    <n v="439"/>
    <x v="438"/>
    <s v="William Morghani Agustin"/>
    <s v="Male"/>
    <d v="1989-06-08T00:00:00"/>
    <d v="2022-05-29T00:00:00"/>
    <x v="5"/>
    <x v="5"/>
    <s v="Active"/>
    <s v="williammorghaniagustin@email.com"/>
    <s v="083283355951"/>
  </r>
  <r>
    <n v="440"/>
    <x v="439"/>
    <s v="Nafrotin"/>
    <s v="Female"/>
    <d v="1989-06-16T00:00:00"/>
    <d v="2024-05-20T00:00:00"/>
    <x v="0"/>
    <x v="0"/>
    <s v="Active"/>
    <s v="nafrotin@email.com"/>
    <s v="083122715275"/>
  </r>
  <r>
    <n v="441"/>
    <x v="440"/>
    <s v="Dini Nur Anjani"/>
    <s v="Female"/>
    <d v="2000-08-07T00:00:00"/>
    <d v="2018-07-17T00:00:00"/>
    <x v="0"/>
    <x v="0"/>
    <s v="Resigned"/>
    <s v="dininuranjani@email.com"/>
    <s v="084251468868"/>
  </r>
  <r>
    <n v="442"/>
    <x v="441"/>
    <s v="Mutiara"/>
    <s v="Female"/>
    <d v="1996-08-21T00:00:00"/>
    <d v="2019-06-13T00:00:00"/>
    <x v="0"/>
    <x v="0"/>
    <s v="Active"/>
    <s v="mutiara@email.com"/>
    <s v="088852377568"/>
  </r>
  <r>
    <n v="443"/>
    <x v="442"/>
    <s v="Eliyah"/>
    <s v="Female"/>
    <d v="1997-07-08T00:00:00"/>
    <d v="2018-09-09T00:00:00"/>
    <x v="0"/>
    <x v="0"/>
    <s v="Active"/>
    <s v="eliyah@email.com"/>
    <s v="083295061498"/>
  </r>
  <r>
    <n v="444"/>
    <x v="443"/>
    <s v="Martin Feri"/>
    <s v="Male"/>
    <d v="1998-03-25T00:00:00"/>
    <d v="2019-10-15T00:00:00"/>
    <x v="4"/>
    <x v="4"/>
    <s v="Resigned"/>
    <s v="martinferi@email.com"/>
    <s v="084180062687"/>
  </r>
  <r>
    <n v="445"/>
    <x v="444"/>
    <s v="Ahmad Safrudin"/>
    <s v="Male"/>
    <d v="2002-11-20T00:00:00"/>
    <d v="2024-09-30T00:00:00"/>
    <x v="0"/>
    <x v="0"/>
    <s v="Probation"/>
    <s v="ahmadsafrudin@email.com"/>
    <s v="082757337945"/>
  </r>
  <r>
    <n v="446"/>
    <x v="445"/>
    <s v="Wahyu Lutfiyadi"/>
    <s v="Male"/>
    <d v="1985-06-20T00:00:00"/>
    <d v="2024-05-24T00:00:00"/>
    <x v="5"/>
    <x v="5"/>
    <s v="Probation"/>
    <s v="wahyulutfiyadi@email.com"/>
    <s v="081648293543"/>
  </r>
  <r>
    <n v="447"/>
    <x v="446"/>
    <s v="Umu Ainur Rohmah"/>
    <s v="Female"/>
    <d v="1995-02-22T00:00:00"/>
    <d v="2023-01-05T00:00:00"/>
    <x v="0"/>
    <x v="0"/>
    <s v="Active"/>
    <s v="umuainurrohmah@email.com"/>
    <s v="085555550687"/>
  </r>
  <r>
    <n v="448"/>
    <x v="447"/>
    <s v="Mega Mulyawati"/>
    <s v="Female"/>
    <d v="2001-03-21T00:00:00"/>
    <d v="2023-08-05T00:00:00"/>
    <x v="0"/>
    <x v="0"/>
    <s v="Probation"/>
    <s v="megamulyawati@email.com"/>
    <s v="088192118280"/>
  </r>
  <r>
    <n v="449"/>
    <x v="448"/>
    <s v="Moh Sayid Arief"/>
    <s v="Male"/>
    <d v="2000-10-16T00:00:00"/>
    <d v="2024-10-16T00:00:00"/>
    <x v="5"/>
    <x v="5"/>
    <s v="Probation"/>
    <s v="mohsayidarief@email.com"/>
    <s v="082188763539"/>
  </r>
  <r>
    <n v="450"/>
    <x v="449"/>
    <s v="Melina Siska"/>
    <s v="Female"/>
    <d v="1996-01-11T00:00:00"/>
    <d v="2019-08-22T00:00:00"/>
    <x v="1"/>
    <x v="1"/>
    <s v="Probation"/>
    <s v="melinasiska@email.com"/>
    <s v="082012652583"/>
  </r>
  <r>
    <n v="451"/>
    <x v="450"/>
    <s v="Feri Gunawan"/>
    <s v="Male"/>
    <d v="1994-01-15T00:00:00"/>
    <d v="2025-07-19T00:00:00"/>
    <x v="4"/>
    <x v="4"/>
    <s v="Active"/>
    <s v="ferigunawan@email.com"/>
    <s v="089407141314"/>
  </r>
  <r>
    <n v="452"/>
    <x v="451"/>
    <s v="Erina Dwi Yuni Setyaningrum"/>
    <s v="Female"/>
    <d v="1986-08-14T00:00:00"/>
    <d v="2023-05-14T00:00:00"/>
    <x v="1"/>
    <x v="1"/>
    <s v="Probation"/>
    <s v="erinadwiyunisetyaningrum@email.com"/>
    <s v="082272607516"/>
  </r>
  <r>
    <n v="453"/>
    <x v="452"/>
    <s v="Abdul Fatahillah"/>
    <s v="Male"/>
    <d v="1997-12-07T00:00:00"/>
    <d v="2023-03-19T00:00:00"/>
    <x v="0"/>
    <x v="0"/>
    <s v="Resigned"/>
    <s v="abdulfatahillah@email.com"/>
    <s v="084962843391"/>
  </r>
  <r>
    <n v="454"/>
    <x v="453"/>
    <s v="Sheril Aurellia"/>
    <s v="Female"/>
    <d v="1997-04-22T00:00:00"/>
    <d v="2023-10-20T00:00:00"/>
    <x v="0"/>
    <x v="0"/>
    <s v="Probation"/>
    <s v="sherilaurellia@email.com"/>
    <s v="081036752167"/>
  </r>
  <r>
    <n v="455"/>
    <x v="454"/>
    <s v="Muhammad Haryz Iqbal Hendrawan"/>
    <s v="Male"/>
    <d v="1985-04-24T00:00:00"/>
    <d v="2022-05-29T00:00:00"/>
    <x v="5"/>
    <x v="5"/>
    <s v="Probation"/>
    <s v="muhammadharyziqbalhendrawan@email.com"/>
    <s v="086645579351"/>
  </r>
  <r>
    <n v="456"/>
    <x v="455"/>
    <s v="Aam Warnisah"/>
    <s v="Female"/>
    <d v="2002-11-02T00:00:00"/>
    <d v="2021-04-22T00:00:00"/>
    <x v="0"/>
    <x v="0"/>
    <s v="Active"/>
    <s v="aamwarnisah@email.com"/>
    <s v="081924486991"/>
  </r>
  <r>
    <n v="457"/>
    <x v="456"/>
    <s v="Rokhimin"/>
    <s v="Male"/>
    <d v="1985-03-01T00:00:00"/>
    <d v="2018-07-29T00:00:00"/>
    <x v="0"/>
    <x v="0"/>
    <s v="Probation"/>
    <s v="rokhimin@email.com"/>
    <s v="087223884675"/>
  </r>
  <r>
    <n v="458"/>
    <x v="457"/>
    <s v="Diandra Bayu Aji"/>
    <s v="Male"/>
    <d v="1985-04-01T00:00:00"/>
    <d v="2023-01-26T00:00:00"/>
    <x v="5"/>
    <x v="5"/>
    <s v="Resigned"/>
    <s v="diandrabayuaji@email.com"/>
    <s v="085107242062"/>
  </r>
  <r>
    <n v="459"/>
    <x v="458"/>
    <s v="Denita Tri Hapsari"/>
    <s v="Female"/>
    <d v="1988-09-08T00:00:00"/>
    <d v="2022-03-25T00:00:00"/>
    <x v="1"/>
    <x v="1"/>
    <s v="Probation"/>
    <s v="denitatrihapsari@email.com"/>
    <s v="087658332360"/>
  </r>
  <r>
    <n v="460"/>
    <x v="459"/>
    <s v="Muhamad Al Imron Sah"/>
    <s v="Male"/>
    <d v="1992-01-06T00:00:00"/>
    <d v="2019-01-11T00:00:00"/>
    <x v="0"/>
    <x v="0"/>
    <s v="Active"/>
    <s v="muhamadalimronsah@email.com"/>
    <s v="084560659443"/>
  </r>
  <r>
    <n v="461"/>
    <x v="460"/>
    <s v="Muh Zaidan Mubarok Al Faqih"/>
    <s v="Male"/>
    <d v="2003-05-31T00:00:00"/>
    <d v="2024-01-17T00:00:00"/>
    <x v="0"/>
    <x v="0"/>
    <s v="Probation"/>
    <s v="muhzaidanmubarokalfaqih@email.com"/>
    <s v="088115308319"/>
  </r>
  <r>
    <n v="462"/>
    <x v="461"/>
    <s v="Riana Gita Febrianti"/>
    <s v="Female"/>
    <d v="1993-11-02T00:00:00"/>
    <d v="2020-03-11T00:00:00"/>
    <x v="0"/>
    <x v="0"/>
    <s v="Active"/>
    <s v="rianagitafebrianti@email.com"/>
    <s v="082122020984"/>
  </r>
  <r>
    <n v="463"/>
    <x v="462"/>
    <s v="Budi Priyono"/>
    <s v="Male"/>
    <d v="2001-05-04T00:00:00"/>
    <d v="2019-12-03T00:00:00"/>
    <x v="4"/>
    <x v="4"/>
    <s v="Resigned"/>
    <s v="budipriyono@email.com"/>
    <s v="087322803722"/>
  </r>
  <r>
    <n v="464"/>
    <x v="463"/>
    <s v="Wiwit Aji Pamungkas"/>
    <s v="Male"/>
    <d v="1997-09-03T00:00:00"/>
    <d v="2022-03-28T00:00:00"/>
    <x v="0"/>
    <x v="0"/>
    <s v="Active"/>
    <s v="wiwitajipamungkas@email.com"/>
    <s v="080075415696"/>
  </r>
  <r>
    <n v="465"/>
    <x v="464"/>
    <s v="Ananda Mei Saputri"/>
    <s v="Female"/>
    <d v="1993-08-03T00:00:00"/>
    <d v="2018-03-04T00:00:00"/>
    <x v="1"/>
    <x v="1"/>
    <s v="Probation"/>
    <s v="anandameisaputri@email.com"/>
    <s v="089756465586"/>
  </r>
  <r>
    <n v="466"/>
    <x v="465"/>
    <s v="Andri Satio"/>
    <s v="Male"/>
    <d v="1996-11-18T00:00:00"/>
    <d v="2022-10-21T00:00:00"/>
    <x v="0"/>
    <x v="0"/>
    <s v="Probation"/>
    <s v="andrisatio@email.com"/>
    <s v="080761136691"/>
  </r>
  <r>
    <n v="467"/>
    <x v="466"/>
    <s v="Koriah"/>
    <s v="Female"/>
    <d v="2003-01-10T00:00:00"/>
    <d v="2024-10-21T00:00:00"/>
    <x v="0"/>
    <x v="0"/>
    <s v="Resigned"/>
    <s v="koriah@email.com"/>
    <s v="086131961314"/>
  </r>
  <r>
    <n v="468"/>
    <x v="467"/>
    <s v="Sri Rahyu Maharani"/>
    <s v="Female"/>
    <d v="1986-08-21T00:00:00"/>
    <d v="2022-10-05T00:00:00"/>
    <x v="0"/>
    <x v="0"/>
    <s v="Probation"/>
    <s v="srirahyumaharani@email.com"/>
    <s v="081752313891"/>
  </r>
  <r>
    <n v="469"/>
    <x v="468"/>
    <s v="Adi Kamelani"/>
    <s v="Male"/>
    <d v="1996-01-20T00:00:00"/>
    <d v="2018-12-02T00:00:00"/>
    <x v="5"/>
    <x v="5"/>
    <s v="Resigned"/>
    <s v="adikamelani@email.com"/>
    <s v="086685931732"/>
  </r>
  <r>
    <n v="470"/>
    <x v="469"/>
    <s v="Ameliyah"/>
    <s v="Female"/>
    <d v="1990-09-11T00:00:00"/>
    <d v="2023-12-20T00:00:00"/>
    <x v="0"/>
    <x v="0"/>
    <s v="Active"/>
    <s v="ameliyah@email.com"/>
    <s v="088983019201"/>
  </r>
  <r>
    <n v="471"/>
    <x v="470"/>
    <s v="Lisnawati"/>
    <s v="Female"/>
    <d v="1995-06-21T00:00:00"/>
    <d v="2021-04-18T00:00:00"/>
    <x v="0"/>
    <x v="0"/>
    <s v="Active"/>
    <s v="lisnawati@email.com"/>
    <s v="084742194829"/>
  </r>
  <r>
    <n v="472"/>
    <x v="471"/>
    <s v="Abdul Fattah Azzam"/>
    <s v="Male"/>
    <d v="1988-03-31T00:00:00"/>
    <d v="2020-01-29T00:00:00"/>
    <x v="0"/>
    <x v="0"/>
    <s v="Probation"/>
    <s v="abdulfattahazzam@email.com"/>
    <s v="083107325086"/>
  </r>
  <r>
    <n v="473"/>
    <x v="472"/>
    <s v="Helpry Andriyan"/>
    <s v="Male"/>
    <d v="1992-06-29T00:00:00"/>
    <d v="2020-09-12T00:00:00"/>
    <x v="5"/>
    <x v="5"/>
    <s v="Active"/>
    <s v="helpryandriyan@email.com"/>
    <s v="082113607021"/>
  </r>
  <r>
    <n v="474"/>
    <x v="473"/>
    <s v="Cindy Khristia"/>
    <s v="Female"/>
    <d v="1999-02-13T00:00:00"/>
    <d v="2019-09-02T00:00:00"/>
    <x v="0"/>
    <x v="0"/>
    <s v="Active"/>
    <s v="cindykhristia@email.com"/>
    <s v="085714942275"/>
  </r>
  <r>
    <n v="475"/>
    <x v="474"/>
    <s v="Fandi Akhmad"/>
    <s v="Male"/>
    <d v="1992-06-16T00:00:00"/>
    <d v="2018-03-24T00:00:00"/>
    <x v="1"/>
    <x v="1"/>
    <s v="Active"/>
    <s v="fandiakhmad@email.com"/>
    <s v="0870743713"/>
  </r>
  <r>
    <n v="476"/>
    <x v="475"/>
    <s v="Ferdi Gustavano"/>
    <s v="Male"/>
    <d v="2001-05-27T00:00:00"/>
    <d v="2024-06-15T00:00:00"/>
    <x v="0"/>
    <x v="0"/>
    <s v="Active"/>
    <s v="ferdigustavano@email.com"/>
    <s v="086383658627"/>
  </r>
  <r>
    <n v="477"/>
    <x v="476"/>
    <s v="Maslamah Herawati"/>
    <s v="Female"/>
    <d v="1990-10-19T00:00:00"/>
    <d v="2019-10-23T00:00:00"/>
    <x v="0"/>
    <x v="0"/>
    <s v="Probation"/>
    <s v="maslamahherawati@email.com"/>
    <s v="089265444515"/>
  </r>
  <r>
    <n v="478"/>
    <x v="477"/>
    <s v="Rezza Agustin"/>
    <s v="Female"/>
    <d v="1997-12-10T00:00:00"/>
    <d v="2020-03-16T00:00:00"/>
    <x v="0"/>
    <x v="0"/>
    <s v="Active"/>
    <s v="rezzaagustin@email.com"/>
    <s v="089757269975"/>
  </r>
  <r>
    <n v="479"/>
    <x v="478"/>
    <s v="Dito Alifsyah"/>
    <s v="Male"/>
    <d v="1985-06-04T00:00:00"/>
    <d v="2025-08-30T00:00:00"/>
    <x v="0"/>
    <x v="0"/>
    <s v="Probation"/>
    <s v="ditoalifsyah@email.com"/>
    <s v="084704593996"/>
  </r>
  <r>
    <n v="480"/>
    <x v="479"/>
    <s v="Baety Nurjanah"/>
    <s v="Female"/>
    <d v="1996-10-07T00:00:00"/>
    <d v="2022-01-02T00:00:00"/>
    <x v="0"/>
    <x v="0"/>
    <s v="Active"/>
    <s v="baetynurjanah@email.com"/>
    <s v="088467694625"/>
  </r>
  <r>
    <n v="481"/>
    <x v="480"/>
    <s v="Indah Yuli Hidayati"/>
    <s v="Female"/>
    <d v="1993-04-18T00:00:00"/>
    <d v="2018-08-26T00:00:00"/>
    <x v="0"/>
    <x v="0"/>
    <s v="Active"/>
    <s v="indahyulihidayati@email.com"/>
    <s v="082911593881"/>
  </r>
  <r>
    <n v="482"/>
    <x v="481"/>
    <s v="Peri Irawan"/>
    <s v="Male"/>
    <d v="1989-07-18T00:00:00"/>
    <d v="2018-01-26T00:00:00"/>
    <x v="5"/>
    <x v="5"/>
    <s v="Resigned"/>
    <s v="periirawan@email.com"/>
    <s v="089605330088"/>
  </r>
  <r>
    <n v="483"/>
    <x v="482"/>
    <s v="Devi Novitasari"/>
    <s v="Female"/>
    <d v="1995-06-13T00:00:00"/>
    <d v="2020-07-13T00:00:00"/>
    <x v="0"/>
    <x v="0"/>
    <s v="Resigned"/>
    <s v="devinovitasari@email.com"/>
    <s v="088673293292"/>
  </r>
  <r>
    <n v="484"/>
    <x v="483"/>
    <s v="Luluk Sholihatin"/>
    <s v="Female"/>
    <d v="2002-05-23T00:00:00"/>
    <d v="2019-05-28T00:00:00"/>
    <x v="0"/>
    <x v="0"/>
    <s v="Active"/>
    <s v="luluksholihatin@email.com"/>
    <s v="088920057050"/>
  </r>
  <r>
    <n v="485"/>
    <x v="484"/>
    <s v="Rafael Ilham Ananta"/>
    <s v="Male"/>
    <d v="1985-04-08T00:00:00"/>
    <d v="2018-06-20T00:00:00"/>
    <x v="5"/>
    <x v="5"/>
    <s v="Active"/>
    <s v="rafaelilhamananta@email.com"/>
    <s v="087432290926"/>
  </r>
  <r>
    <n v="486"/>
    <x v="485"/>
    <s v="Siti Mubarokah"/>
    <s v="Female"/>
    <d v="2000-09-16T00:00:00"/>
    <d v="2021-06-26T00:00:00"/>
    <x v="0"/>
    <x v="0"/>
    <s v="Active"/>
    <s v="sitimubarokah@email.com"/>
    <s v="080772594180"/>
  </r>
  <r>
    <n v="487"/>
    <x v="486"/>
    <s v="Dea Yulia"/>
    <s v="Female"/>
    <d v="2000-08-31T00:00:00"/>
    <d v="2023-08-23T00:00:00"/>
    <x v="1"/>
    <x v="1"/>
    <s v="Probation"/>
    <s v="deayulia@email.com"/>
    <s v="085176664552"/>
  </r>
  <r>
    <n v="488"/>
    <x v="487"/>
    <s v="Dina Rizki Amelia"/>
    <s v="Female"/>
    <d v="1987-04-28T00:00:00"/>
    <d v="2021-04-25T00:00:00"/>
    <x v="0"/>
    <x v="0"/>
    <s v="Active"/>
    <s v="dinarizkiamelia@email.com"/>
    <s v="081752023318"/>
  </r>
  <r>
    <n v="489"/>
    <x v="488"/>
    <s v="Ruslani"/>
    <s v="Male"/>
    <d v="1992-04-08T00:00:00"/>
    <d v="2023-05-07T00:00:00"/>
    <x v="4"/>
    <x v="4"/>
    <s v="Active"/>
    <s v="ruslani@email.com"/>
    <s v="083790346750"/>
  </r>
  <r>
    <n v="490"/>
    <x v="489"/>
    <s v="Laelatun Nafiah"/>
    <s v="Female"/>
    <d v="1994-07-05T00:00:00"/>
    <d v="2021-01-30T00:00:00"/>
    <x v="1"/>
    <x v="1"/>
    <s v="Active"/>
    <s v="laelatunnafiah@email.com"/>
    <s v="085026983502"/>
  </r>
  <r>
    <n v="491"/>
    <x v="490"/>
    <s v="Akhmad Bayu Erlangga"/>
    <s v="Male"/>
    <d v="2003-03-14T00:00:00"/>
    <d v="2019-10-13T00:00:00"/>
    <x v="0"/>
    <x v="0"/>
    <s v="Probation"/>
    <s v="akhmadbayuerlangga@email.com"/>
    <s v="082928641412"/>
  </r>
  <r>
    <n v="492"/>
    <x v="491"/>
    <s v="Afif Fiqri Alfaqih"/>
    <s v="Male"/>
    <d v="1985-12-29T00:00:00"/>
    <d v="2023-07-10T00:00:00"/>
    <x v="5"/>
    <x v="5"/>
    <s v="Active"/>
    <s v="afiffiqrialfaqih@email.com"/>
    <s v="085757663166"/>
  </r>
  <r>
    <n v="493"/>
    <x v="492"/>
    <s v="Shefira Agustina"/>
    <s v="Female"/>
    <d v="2001-02-24T00:00:00"/>
    <d v="2023-01-18T00:00:00"/>
    <x v="0"/>
    <x v="0"/>
    <s v="Active"/>
    <s v="shefiraagustina@email.com"/>
    <s v="088157652794"/>
  </r>
  <r>
    <n v="494"/>
    <x v="493"/>
    <s v="Ade Bagas Saputra"/>
    <s v="Male"/>
    <d v="1990-01-18T00:00:00"/>
    <d v="2025-01-28T00:00:00"/>
    <x v="5"/>
    <x v="5"/>
    <s v="Resigned"/>
    <s v="adebagassaputra@email.com"/>
    <s v="081485690745"/>
  </r>
  <r>
    <n v="495"/>
    <x v="494"/>
    <s v="Sahrul Sepryawan"/>
    <s v="Male"/>
    <d v="1988-01-15T00:00:00"/>
    <d v="2021-08-25T00:00:00"/>
    <x v="0"/>
    <x v="0"/>
    <s v="Resigned"/>
    <s v="sahrulsepryawan@email.com"/>
    <s v="083620361356"/>
  </r>
  <r>
    <n v="496"/>
    <x v="495"/>
    <s v="Rizal Fadli"/>
    <s v="Male"/>
    <d v="1999-04-22T00:00:00"/>
    <d v="2020-07-23T00:00:00"/>
    <x v="0"/>
    <x v="0"/>
    <s v="Resigned"/>
    <s v="rizalfadli@email.com"/>
    <s v="089770695656"/>
  </r>
  <r>
    <n v="497"/>
    <x v="496"/>
    <s v="Nita Nurahmawati"/>
    <s v="Male"/>
    <d v="2000-01-29T00:00:00"/>
    <d v="2023-01-24T00:00:00"/>
    <x v="5"/>
    <x v="5"/>
    <s v="Active"/>
    <s v="nitanurahmawati@email.com"/>
    <s v="086097905534"/>
  </r>
  <r>
    <n v="498"/>
    <x v="497"/>
    <s v="Shanti"/>
    <s v="Female"/>
    <d v="1991-03-02T00:00:00"/>
    <d v="2021-11-16T00:00:00"/>
    <x v="0"/>
    <x v="0"/>
    <s v="Active"/>
    <s v="shanti@email.com"/>
    <s v="083741639538"/>
  </r>
  <r>
    <n v="499"/>
    <x v="498"/>
    <s v="Misbakhudin"/>
    <s v="Male"/>
    <d v="1986-08-12T00:00:00"/>
    <d v="2020-06-27T00:00:00"/>
    <x v="0"/>
    <x v="0"/>
    <s v="Active"/>
    <s v="misbakhudin@email.com"/>
    <s v="086406430813"/>
  </r>
  <r>
    <n v="500"/>
    <x v="499"/>
    <s v="Khaerul Ivando"/>
    <s v="Male"/>
    <d v="1998-11-24T00:00:00"/>
    <d v="2023-11-04T00:00:00"/>
    <x v="5"/>
    <x v="5"/>
    <s v="Active"/>
    <s v="khaerulivando@email.com"/>
    <s v="083460195718"/>
  </r>
  <r>
    <n v="501"/>
    <x v="500"/>
    <s v="Risma Trihandayani"/>
    <s v="Female"/>
    <d v="1994-09-01T00:00:00"/>
    <d v="2018-04-01T00:00:00"/>
    <x v="0"/>
    <x v="0"/>
    <s v="Active"/>
    <s v="rismatrihandayani@email.com"/>
    <s v="089975988796"/>
  </r>
  <r>
    <n v="502"/>
    <x v="501"/>
    <s v="Marshada Hidayah"/>
    <s v="Female"/>
    <d v="1996-06-14T00:00:00"/>
    <d v="2020-11-13T00:00:00"/>
    <x v="0"/>
    <x v="0"/>
    <s v="Probation"/>
    <s v="marshadahidayah@email.com"/>
    <s v="085379671571"/>
  </r>
  <r>
    <n v="503"/>
    <x v="502"/>
    <s v="Siti Nurjanah"/>
    <s v="Female"/>
    <d v="1999-06-14T00:00:00"/>
    <d v="2020-02-14T00:00:00"/>
    <x v="0"/>
    <x v="0"/>
    <s v="Active"/>
    <s v="sitinurjanah@email.com"/>
    <s v="085296766717"/>
  </r>
  <r>
    <n v="504"/>
    <x v="503"/>
    <s v="Rafika Septiani"/>
    <s v="Female"/>
    <d v="1991-10-31T00:00:00"/>
    <d v="2023-10-28T00:00:00"/>
    <x v="0"/>
    <x v="0"/>
    <s v="Active"/>
    <s v="rafikaseptiani@email.com"/>
    <s v="088150443784"/>
  </r>
  <r>
    <n v="505"/>
    <x v="504"/>
    <s v="Bambang Didi Mulyono"/>
    <s v="Male"/>
    <d v="1996-12-01T00:00:00"/>
    <d v="2020-09-21T00:00:00"/>
    <x v="4"/>
    <x v="4"/>
    <s v="Active"/>
    <s v="bambangdidimulyono@email.com"/>
    <s v="082760335747"/>
  </r>
  <r>
    <n v="506"/>
    <x v="505"/>
    <s v="Nita Vianata"/>
    <s v="Female"/>
    <d v="2002-10-25T00:00:00"/>
    <d v="2020-01-18T00:00:00"/>
    <x v="0"/>
    <x v="0"/>
    <s v="Resigned"/>
    <s v="nitavianata@email.com"/>
    <s v="083288992656"/>
  </r>
  <r>
    <n v="507"/>
    <x v="506"/>
    <s v="Nabira Bunga Azhahra"/>
    <s v="Female"/>
    <d v="1987-01-09T00:00:00"/>
    <d v="2019-10-19T00:00:00"/>
    <x v="0"/>
    <x v="0"/>
    <s v="Active"/>
    <s v="nabirabungaazhahra@email.com"/>
    <s v="0859530072"/>
  </r>
  <r>
    <n v="508"/>
    <x v="507"/>
    <s v="Ratih Kemala Dewi"/>
    <s v="Female"/>
    <d v="1985-03-15T00:00:00"/>
    <d v="2024-08-19T00:00:00"/>
    <x v="8"/>
    <x v="8"/>
    <s v="Probation"/>
    <s v="ratihkemaladewi@email.com"/>
    <s v="088637490923"/>
  </r>
  <r>
    <n v="509"/>
    <x v="508"/>
    <s v="Sherli Nur Oktapiani"/>
    <s v="Female"/>
    <d v="1999-10-23T00:00:00"/>
    <d v="2022-10-25T00:00:00"/>
    <x v="0"/>
    <x v="0"/>
    <s v="Active"/>
    <s v="sherlinuroktapiani@email.com"/>
    <s v="088858938059"/>
  </r>
  <r>
    <n v="510"/>
    <x v="509"/>
    <s v="Reni Setya Wati"/>
    <s v="Female"/>
    <d v="1986-09-04T00:00:00"/>
    <d v="2023-02-17T00:00:00"/>
    <x v="1"/>
    <x v="1"/>
    <s v="Probation"/>
    <s v="renisetyawati@email.com"/>
    <s v="089110084234"/>
  </r>
  <r>
    <n v="511"/>
    <x v="510"/>
    <s v="Muh Edi Suswanto"/>
    <s v="Male"/>
    <d v="1999-07-22T00:00:00"/>
    <d v="2020-12-23T00:00:00"/>
    <x v="5"/>
    <x v="5"/>
    <s v="Active"/>
    <s v="muhedisuswanto@email.com"/>
    <s v="084418602455"/>
  </r>
  <r>
    <n v="512"/>
    <x v="511"/>
    <s v="Faradila Hendra Yunita"/>
    <s v="Female"/>
    <d v="2002-02-28T00:00:00"/>
    <d v="2021-02-26T00:00:00"/>
    <x v="1"/>
    <x v="1"/>
    <s v="Active"/>
    <s v="faradilahendrayunita@email.com"/>
    <s v="088589883637"/>
  </r>
  <r>
    <n v="513"/>
    <x v="512"/>
    <s v="Wike Astiyani Putri"/>
    <s v="Female"/>
    <d v="1992-07-14T00:00:00"/>
    <d v="2019-07-31T00:00:00"/>
    <x v="0"/>
    <x v="0"/>
    <s v="Resigned"/>
    <s v="wikeastiyaniputri@email.com"/>
    <s v="089917503261"/>
  </r>
  <r>
    <n v="514"/>
    <x v="513"/>
    <s v="Renaldo Ernowo"/>
    <s v="Male"/>
    <d v="1985-11-14T00:00:00"/>
    <d v="2020-04-07T00:00:00"/>
    <x v="0"/>
    <x v="0"/>
    <s v="Active"/>
    <s v="renaldoernowo@email.com"/>
    <s v="085712958483"/>
  </r>
  <r>
    <n v="515"/>
    <x v="514"/>
    <s v="Novia Eka Safitri"/>
    <s v="Female"/>
    <d v="1991-09-24T00:00:00"/>
    <d v="2021-05-30T00:00:00"/>
    <x v="0"/>
    <x v="0"/>
    <s v="Active"/>
    <s v="noviaekasafitri@email.com"/>
    <s v="089118399473"/>
  </r>
  <r>
    <n v="516"/>
    <x v="515"/>
    <s v="Nurul Oktaviani"/>
    <s v="Female"/>
    <d v="2000-09-25T00:00:00"/>
    <d v="2019-05-19T00:00:00"/>
    <x v="1"/>
    <x v="1"/>
    <s v="Probation"/>
    <s v="nuruloktaviani@email.com"/>
    <s v="085508160049"/>
  </r>
  <r>
    <n v="517"/>
    <x v="516"/>
    <s v="Tomy Gilang Budi Utama"/>
    <s v="Male"/>
    <d v="1985-02-04T00:00:00"/>
    <d v="2025-01-14T00:00:00"/>
    <x v="0"/>
    <x v="0"/>
    <s v="Active"/>
    <s v="tomygilangbudiutama@email.com"/>
    <s v="086701183462"/>
  </r>
  <r>
    <n v="518"/>
    <x v="517"/>
    <s v="Dewi Sahara"/>
    <s v="Female"/>
    <d v="1992-08-20T00:00:00"/>
    <d v="2023-11-12T00:00:00"/>
    <x v="0"/>
    <x v="0"/>
    <s v="Resigned"/>
    <s v="dewisahara@email.com"/>
    <s v="082321084375"/>
  </r>
  <r>
    <n v="519"/>
    <x v="518"/>
    <s v="Diyana Astuti"/>
    <s v="Female"/>
    <d v="1999-06-23T00:00:00"/>
    <d v="2019-04-30T00:00:00"/>
    <x v="0"/>
    <x v="0"/>
    <s v="Active"/>
    <s v="diyanaastuti@email.com"/>
    <s v="086174718910"/>
  </r>
  <r>
    <n v="520"/>
    <x v="519"/>
    <s v="Andien Ramadhani"/>
    <s v="Male"/>
    <d v="2002-04-05T00:00:00"/>
    <d v="2018-09-29T00:00:00"/>
    <x v="4"/>
    <x v="4"/>
    <s v="Active"/>
    <s v="andienramadhani@email.com"/>
    <s v="084524318974"/>
  </r>
  <r>
    <n v="521"/>
    <x v="520"/>
    <s v="Elva Amalia Putri"/>
    <s v="Female"/>
    <d v="1986-10-10T00:00:00"/>
    <d v="2022-09-08T00:00:00"/>
    <x v="0"/>
    <x v="0"/>
    <s v="Resigned"/>
    <s v="elvaamaliaputri@email.com"/>
    <s v="081162872131"/>
  </r>
  <r>
    <n v="522"/>
    <x v="521"/>
    <s v="Siti Nur Azizah"/>
    <s v="Female"/>
    <d v="1997-07-05T00:00:00"/>
    <d v="2018-09-25T00:00:00"/>
    <x v="1"/>
    <x v="1"/>
    <s v="Probation"/>
    <s v="sitinurazizah@email.com"/>
    <s v="082500168177"/>
  </r>
  <r>
    <n v="523"/>
    <x v="522"/>
    <s v="Aldy Prayoga"/>
    <s v="Male"/>
    <d v="1987-09-27T00:00:00"/>
    <d v="2021-09-13T00:00:00"/>
    <x v="0"/>
    <x v="0"/>
    <s v="Probation"/>
    <s v="aldyprayoga@email.com"/>
    <s v="089756465583"/>
  </r>
  <r>
    <n v="524"/>
    <x v="523"/>
    <s v="Muhamad Amshori"/>
    <s v="Male"/>
    <d v="1986-08-31T00:00:00"/>
    <d v="2024-07-16T00:00:00"/>
    <x v="0"/>
    <x v="0"/>
    <s v="Probation"/>
    <s v="muhamadamshori@email.com"/>
    <s v="089756465587"/>
  </r>
  <r>
    <n v="525"/>
    <x v="524"/>
    <s v="Tri Adinda Dewi"/>
    <s v="Female"/>
    <d v="1996-03-30T00:00:00"/>
    <d v="2018-01-28T00:00:00"/>
    <x v="0"/>
    <x v="0"/>
    <s v="Resigned"/>
    <s v="triadindadewi@email.com"/>
    <s v="087180731757"/>
  </r>
  <r>
    <n v="526"/>
    <x v="525"/>
    <s v="Ramadhan Alfin Gimnastiar"/>
    <s v="Male"/>
    <d v="1990-10-06T00:00:00"/>
    <d v="2019-01-20T00:00:00"/>
    <x v="0"/>
    <x v="0"/>
    <s v="Resigned"/>
    <s v="ramadhanalfingimnastiar@email.com"/>
    <s v="085420223778"/>
  </r>
  <r>
    <n v="527"/>
    <x v="526"/>
    <s v="Dicky Wijaya"/>
    <s v="Male"/>
    <d v="2002-05-13T00:00:00"/>
    <d v="2019-07-15T00:00:00"/>
    <x v="0"/>
    <x v="0"/>
    <s v="Probation"/>
    <s v="dickywijaya@email.com"/>
    <s v="080495740524"/>
  </r>
  <r>
    <n v="528"/>
    <x v="527"/>
    <s v="Siti Nur Khodizah"/>
    <s v="Female"/>
    <d v="1992-01-24T00:00:00"/>
    <d v="2025-02-23T00:00:00"/>
    <x v="0"/>
    <x v="0"/>
    <s v="Active"/>
    <s v="sitinurkhodizah@email.com"/>
    <s v="081944817623"/>
  </r>
  <r>
    <n v="529"/>
    <x v="528"/>
    <s v="Nur Baeti"/>
    <s v="Female"/>
    <d v="1993-08-23T00:00:00"/>
    <d v="2023-08-28T00:00:00"/>
    <x v="0"/>
    <x v="0"/>
    <s v="Active"/>
    <s v="nurbaeti@email.com"/>
    <s v="084456850575"/>
  </r>
  <r>
    <n v="530"/>
    <x v="529"/>
    <s v="Nurhajijah"/>
    <s v="Female"/>
    <d v="1985-06-24T00:00:00"/>
    <d v="2025-01-20T00:00:00"/>
    <x v="1"/>
    <x v="1"/>
    <s v="Active"/>
    <s v="nurhajijah@email.com"/>
    <s v="080079506254"/>
  </r>
  <r>
    <n v="531"/>
    <x v="530"/>
    <s v="Leni Suciati"/>
    <s v="Female"/>
    <d v="1992-10-11T00:00:00"/>
    <d v="2019-05-17T00:00:00"/>
    <x v="0"/>
    <x v="0"/>
    <s v="Active"/>
    <s v="lenisuciati@email.com"/>
    <s v="082122839887"/>
  </r>
  <r>
    <n v="532"/>
    <x v="531"/>
    <s v="Ahmad Trustianto"/>
    <s v="Male"/>
    <d v="1992-05-27T00:00:00"/>
    <d v="2021-12-20T00:00:00"/>
    <x v="4"/>
    <x v="4"/>
    <s v="Active"/>
    <s v="ahmadtrustianto@email.com"/>
    <s v="0866674754"/>
  </r>
  <r>
    <n v="533"/>
    <x v="532"/>
    <s v="Siti Laela Ranita"/>
    <s v="Female"/>
    <d v="1997-01-05T00:00:00"/>
    <d v="2024-01-18T00:00:00"/>
    <x v="0"/>
    <x v="0"/>
    <s v="Resigned"/>
    <s v="sitilaelaranita@email.com"/>
    <s v="084959627219"/>
  </r>
  <r>
    <n v="534"/>
    <x v="533"/>
    <s v="Dhika Nanda Al Fiqri"/>
    <s v="Male"/>
    <d v="1994-01-15T00:00:00"/>
    <d v="2020-09-01T00:00:00"/>
    <x v="0"/>
    <x v="0"/>
    <s v="Active"/>
    <s v="dhikanandaalfiqri@email.com"/>
    <s v="080199116271"/>
  </r>
  <r>
    <n v="535"/>
    <x v="534"/>
    <s v="Sandy Kurniawan"/>
    <s v="Male"/>
    <d v="1988-03-07T00:00:00"/>
    <d v="2019-10-06T00:00:00"/>
    <x v="5"/>
    <x v="5"/>
    <s v="Probation"/>
    <s v="sandykurniawan@email.com"/>
    <s v="080982793435"/>
  </r>
  <r>
    <n v="536"/>
    <x v="535"/>
    <s v="Muhammad Hisyam Adnan"/>
    <s v="Male"/>
    <d v="1988-06-17T00:00:00"/>
    <d v="2020-12-27T00:00:00"/>
    <x v="5"/>
    <x v="5"/>
    <s v="Resigned"/>
    <s v="muhammadhisyamadnan@email.com"/>
    <s v="085598801507"/>
  </r>
  <r>
    <n v="537"/>
    <x v="536"/>
    <s v="Fitranto Adi Nugroho"/>
    <s v="Male"/>
    <d v="1998-01-30T00:00:00"/>
    <d v="2024-01-31T00:00:00"/>
    <x v="0"/>
    <x v="0"/>
    <s v="Active"/>
    <s v="fitrantoadinugroho@email.com"/>
    <s v="082783070908"/>
  </r>
  <r>
    <n v="538"/>
    <x v="537"/>
    <s v="Melan Fitriyani"/>
    <s v="Female"/>
    <d v="1994-08-21T00:00:00"/>
    <d v="2019-08-09T00:00:00"/>
    <x v="0"/>
    <x v="0"/>
    <s v="Probation"/>
    <s v="melanfitriyani@email.com"/>
    <s v="088153524016"/>
  </r>
  <r>
    <n v="539"/>
    <x v="538"/>
    <s v="Dedi Jaya"/>
    <s v="Male"/>
    <d v="1994-09-28T00:00:00"/>
    <d v="2023-06-12T00:00:00"/>
    <x v="0"/>
    <x v="0"/>
    <s v="Resigned"/>
    <s v="dedijaya@email.com"/>
    <s v="087156610419"/>
  </r>
  <r>
    <n v="540"/>
    <x v="539"/>
    <s v="Andi Syaefulloh"/>
    <s v="Male"/>
    <d v="1986-10-01T00:00:00"/>
    <d v="2019-06-13T00:00:00"/>
    <x v="5"/>
    <x v="5"/>
    <s v="Resigned"/>
    <s v="andisyaefulloh@email.com"/>
    <s v="082090943943"/>
  </r>
  <r>
    <n v="541"/>
    <x v="540"/>
    <s v="Silfi Ismatul Khasanah"/>
    <s v="Female"/>
    <d v="1994-05-05T00:00:00"/>
    <d v="2024-11-02T00:00:00"/>
    <x v="0"/>
    <x v="0"/>
    <s v="Active"/>
    <s v="silfiismatulkhasanah@email.com"/>
    <s v="0846693458"/>
  </r>
  <r>
    <n v="542"/>
    <x v="541"/>
    <s v="Beni Murgita Pratama"/>
    <s v="Male"/>
    <d v="1998-08-17T00:00:00"/>
    <d v="2023-09-18T00:00:00"/>
    <x v="5"/>
    <x v="5"/>
    <s v="Probation"/>
    <s v="benimurgitapratama@email.com"/>
    <s v="081015536537"/>
  </r>
  <r>
    <n v="543"/>
    <x v="542"/>
    <s v="Anisah"/>
    <s v="Female"/>
    <d v="1990-06-04T00:00:00"/>
    <d v="2018-02-23T00:00:00"/>
    <x v="0"/>
    <x v="0"/>
    <s v="Resigned"/>
    <s v="anisah@email.com"/>
    <s v="083842096016"/>
  </r>
  <r>
    <n v="544"/>
    <x v="543"/>
    <s v="Achmad Wijaya Kusuma"/>
    <s v="Male"/>
    <d v="1986-06-11T00:00:00"/>
    <d v="2022-03-31T00:00:00"/>
    <x v="0"/>
    <x v="0"/>
    <s v="Probation"/>
    <s v="achmadwijayakusuma@email.com"/>
    <s v="088861164129"/>
  </r>
  <r>
    <n v="545"/>
    <x v="544"/>
    <s v="Aliyah Nurfaizah"/>
    <s v="Female"/>
    <d v="1985-07-05T00:00:00"/>
    <d v="2019-07-28T00:00:00"/>
    <x v="1"/>
    <x v="1"/>
    <s v="Probation"/>
    <s v="aliyahnurfaizah@email.com"/>
    <s v="083181079957"/>
  </r>
  <r>
    <n v="546"/>
    <x v="545"/>
    <s v="Abdul Ghofur"/>
    <s v="Male"/>
    <d v="2000-11-23T00:00:00"/>
    <d v="2023-09-14T00:00:00"/>
    <x v="4"/>
    <x v="4"/>
    <s v="Active"/>
    <s v="abdulghofur@email.com"/>
    <s v="085606787740"/>
  </r>
  <r>
    <n v="547"/>
    <x v="546"/>
    <s v="Rini Rukmini"/>
    <s v="Female"/>
    <d v="1993-04-25T00:00:00"/>
    <d v="2021-02-09T00:00:00"/>
    <x v="1"/>
    <x v="1"/>
    <s v="Probation"/>
    <s v="rinirukmini@email.com"/>
    <s v="082635882159"/>
  </r>
  <r>
    <n v="548"/>
    <x v="547"/>
    <s v="Ichsan Faturachman"/>
    <s v="Male"/>
    <d v="1996-12-12T00:00:00"/>
    <d v="2022-05-06T00:00:00"/>
    <x v="0"/>
    <x v="0"/>
    <s v="Active"/>
    <s v="ichsanfaturachman@email.com"/>
    <s v="082595663986"/>
  </r>
  <r>
    <n v="549"/>
    <x v="548"/>
    <s v="Nur Alfinatussadiyah"/>
    <s v="Female"/>
    <d v="2003-03-20T00:00:00"/>
    <d v="2025-03-20T00:00:00"/>
    <x v="0"/>
    <x v="0"/>
    <s v="Probation"/>
    <s v="nuralfinatussadiyah@email.com"/>
    <s v="083490097725"/>
  </r>
  <r>
    <n v="550"/>
    <x v="549"/>
    <s v="James Martin"/>
    <s v="Male"/>
    <d v="1993-11-26T00:00:00"/>
    <d v="2021-05-24T00:00:00"/>
    <x v="4"/>
    <x v="4"/>
    <s v="Active"/>
    <s v="jamesmartin@email.com"/>
    <s v="085509683631"/>
  </r>
  <r>
    <n v="551"/>
    <x v="550"/>
    <s v="Iis Istikomah"/>
    <s v="Female"/>
    <d v="1985-04-13T00:00:00"/>
    <d v="2020-10-28T00:00:00"/>
    <x v="0"/>
    <x v="0"/>
    <s v="Active"/>
    <s v="iisistikomah@email.com"/>
    <s v="081417824590"/>
  </r>
  <r>
    <n v="552"/>
    <x v="551"/>
    <s v="Uswatun Hasanah"/>
    <s v="Female"/>
    <d v="1990-10-04T00:00:00"/>
    <d v="2025-08-28T00:00:00"/>
    <x v="1"/>
    <x v="1"/>
    <s v="Probation"/>
    <s v="uswatunhasanah@email.com"/>
    <s v="085387540711"/>
  </r>
  <r>
    <n v="553"/>
    <x v="552"/>
    <s v="Lia"/>
    <s v="Female"/>
    <d v="1989-11-28T00:00:00"/>
    <d v="2022-02-02T00:00:00"/>
    <x v="0"/>
    <x v="0"/>
    <s v="Active"/>
    <s v="lia@email.com"/>
    <s v="082933502810"/>
  </r>
  <r>
    <n v="554"/>
    <x v="553"/>
    <s v="Eka Nurmala Sari"/>
    <s v="Female"/>
    <d v="1993-06-27T00:00:00"/>
    <d v="2024-05-24T00:00:00"/>
    <x v="0"/>
    <x v="0"/>
    <s v="Resigned"/>
    <s v="ekanurmalasari@email.com"/>
    <s v="080736563590"/>
  </r>
  <r>
    <n v="555"/>
    <x v="554"/>
    <s v="Novita Sari"/>
    <s v="Female"/>
    <d v="1995-09-25T00:00:00"/>
    <d v="2023-11-06T00:00:00"/>
    <x v="0"/>
    <x v="0"/>
    <s v="Probation"/>
    <s v="novitasari@email.com"/>
    <s v="081134257765"/>
  </r>
  <r>
    <n v="556"/>
    <x v="555"/>
    <s v="Nugroho Adi Wicaksono"/>
    <s v="Male"/>
    <d v="1989-06-04T00:00:00"/>
    <d v="2025-07-04T00:00:00"/>
    <x v="5"/>
    <x v="5"/>
    <s v="Resigned"/>
    <s v="nugrohoadiwicaksono@email.com"/>
    <s v="083802734890"/>
  </r>
  <r>
    <n v="557"/>
    <x v="556"/>
    <s v="Wahyu Ningsih"/>
    <s v="Female"/>
    <d v="1998-08-01T00:00:00"/>
    <d v="2025-07-11T00:00:00"/>
    <x v="0"/>
    <x v="0"/>
    <s v="Probation"/>
    <s v="wahyuningsih@email.com"/>
    <s v="084314168765"/>
  </r>
  <r>
    <n v="558"/>
    <x v="557"/>
    <s v="Ananda Putra Nugraha"/>
    <s v="Male"/>
    <d v="1986-04-04T00:00:00"/>
    <d v="2021-10-30T00:00:00"/>
    <x v="4"/>
    <x v="4"/>
    <s v="Active"/>
    <s v="anandaputranugraha@email.com"/>
    <s v="085699118440"/>
  </r>
  <r>
    <n v="559"/>
    <x v="558"/>
    <s v="Wahyuni"/>
    <s v="Female"/>
    <d v="1990-12-15T00:00:00"/>
    <d v="2023-02-18T00:00:00"/>
    <x v="0"/>
    <x v="0"/>
    <s v="Resigned"/>
    <s v="wahyuni@email.com"/>
    <s v="083512199179"/>
  </r>
  <r>
    <n v="560"/>
    <x v="559"/>
    <s v="Umi Mayada"/>
    <s v="Female"/>
    <d v="1991-10-01T00:00:00"/>
    <d v="2019-08-01T00:00:00"/>
    <x v="0"/>
    <x v="0"/>
    <s v="Active"/>
    <s v="umimayada@email.com"/>
    <s v="080404807742"/>
  </r>
  <r>
    <n v="561"/>
    <x v="560"/>
    <s v="Muhamad Zaki Zam Zami"/>
    <s v="Male"/>
    <d v="1989-04-25T00:00:00"/>
    <d v="2023-09-15T00:00:00"/>
    <x v="0"/>
    <x v="0"/>
    <s v="Probation"/>
    <s v="muhamadzakizamzami@email.com"/>
    <s v="082222573203"/>
  </r>
  <r>
    <n v="562"/>
    <x v="561"/>
    <s v="Dede Ica Seftiani"/>
    <s v="Female"/>
    <d v="1990-12-18T00:00:00"/>
    <d v="2018-12-15T00:00:00"/>
    <x v="0"/>
    <x v="0"/>
    <s v="Probation"/>
    <s v="dedeicaseftiani@email.com"/>
    <s v="088011073434"/>
  </r>
  <r>
    <n v="563"/>
    <x v="562"/>
    <s v="Rifa Atul Ghonimah"/>
    <s v="Female"/>
    <d v="1991-07-15T00:00:00"/>
    <d v="2022-10-31T00:00:00"/>
    <x v="1"/>
    <x v="1"/>
    <s v="Resigned"/>
    <s v="rifaatulghonimah@email.com"/>
    <s v="080715372474"/>
  </r>
  <r>
    <n v="564"/>
    <x v="563"/>
    <s v="Khofifatul Maula"/>
    <s v="Female"/>
    <d v="1997-02-06T00:00:00"/>
    <d v="2018-03-29T00:00:00"/>
    <x v="0"/>
    <x v="0"/>
    <s v="Resigned"/>
    <s v="khofifatulmaula@email.com"/>
    <s v="088995623253"/>
  </r>
  <r>
    <n v="565"/>
    <x v="564"/>
    <s v="Muhammad Aqiel Baehaqie"/>
    <s v="Male"/>
    <d v="2000-09-13T00:00:00"/>
    <d v="2020-12-01T00:00:00"/>
    <x v="0"/>
    <x v="0"/>
    <s v="Active"/>
    <s v="muhammadaqielbaehaqie@email.com"/>
    <s v="087397320568"/>
  </r>
  <r>
    <n v="566"/>
    <x v="565"/>
    <s v="Indah Lestari"/>
    <s v="Female"/>
    <d v="1989-10-25T00:00:00"/>
    <d v="2025-01-26T00:00:00"/>
    <x v="0"/>
    <x v="0"/>
    <s v="Probation"/>
    <s v="indahlestari@email.com"/>
    <s v="085817065286"/>
  </r>
  <r>
    <n v="567"/>
    <x v="566"/>
    <s v="Muhamad Yunus"/>
    <s v="Male"/>
    <d v="1991-09-09T00:00:00"/>
    <d v="2022-12-11T00:00:00"/>
    <x v="0"/>
    <x v="0"/>
    <s v="Active"/>
    <s v="muhamadyunus@email.com"/>
    <s v="084841699700"/>
  </r>
  <r>
    <n v="568"/>
    <x v="567"/>
    <s v="Nur Saibah"/>
    <s v="Female"/>
    <d v="1987-04-19T00:00:00"/>
    <d v="2019-08-26T00:00:00"/>
    <x v="0"/>
    <x v="0"/>
    <s v="Active"/>
    <s v="nursaibah@email.com"/>
    <s v="088297830730"/>
  </r>
  <r>
    <n v="569"/>
    <x v="568"/>
    <s v="Nola Mutiara Sagita"/>
    <s v="Female"/>
    <d v="2003-04-26T00:00:00"/>
    <d v="2019-08-03T00:00:00"/>
    <x v="0"/>
    <x v="0"/>
    <s v="Resigned"/>
    <s v="nolamutiarasagita@email.com"/>
    <s v="085319060960"/>
  </r>
  <r>
    <n v="570"/>
    <x v="569"/>
    <s v="Sonya Selviyani Inkiriwang"/>
    <s v="Female"/>
    <d v="1998-09-06T00:00:00"/>
    <d v="2019-08-11T00:00:00"/>
    <x v="0"/>
    <x v="0"/>
    <s v="Active"/>
    <s v="sonyaselviyaniinkiriwang@email.com"/>
    <s v="084231604196"/>
  </r>
  <r>
    <n v="571"/>
    <x v="570"/>
    <s v="Wiwi Ardiani"/>
    <s v="Female"/>
    <d v="1992-11-13T00:00:00"/>
    <d v="2019-10-21T00:00:00"/>
    <x v="1"/>
    <x v="1"/>
    <s v="Probation"/>
    <s v="wiwiardiani@email.com"/>
    <s v="087908247603"/>
  </r>
  <r>
    <n v="572"/>
    <x v="571"/>
    <s v="Desi Listiani"/>
    <s v="Female"/>
    <d v="1999-09-25T00:00:00"/>
    <d v="2021-08-02T00:00:00"/>
    <x v="1"/>
    <x v="1"/>
    <s v="Probation"/>
    <s v="desilistiani@email.com"/>
    <s v="087996517078"/>
  </r>
  <r>
    <n v="573"/>
    <x v="572"/>
    <s v="Idan Sultan Valentina"/>
    <s v="Male"/>
    <d v="1992-05-28T00:00:00"/>
    <d v="2018-01-18T00:00:00"/>
    <x v="5"/>
    <x v="5"/>
    <s v="Active"/>
    <s v="idansultanvalentina@email.com"/>
    <s v="081149004236"/>
  </r>
  <r>
    <n v="574"/>
    <x v="573"/>
    <s v="Diana Pertiwi"/>
    <s v="Female"/>
    <d v="2002-11-02T00:00:00"/>
    <d v="2018-11-02T00:00:00"/>
    <x v="0"/>
    <x v="0"/>
    <s v="Active"/>
    <s v="dianapertiwi@email.com"/>
    <s v="082416998598"/>
  </r>
  <r>
    <n v="575"/>
    <x v="574"/>
    <s v="Bujana Maulana Pangestu"/>
    <s v="Male"/>
    <d v="1985-08-03T00:00:00"/>
    <d v="2024-05-31T00:00:00"/>
    <x v="5"/>
    <x v="5"/>
    <s v="Probation"/>
    <s v="bujanamaulanapangestu@email.com"/>
    <s v="081080639764"/>
  </r>
  <r>
    <n v="576"/>
    <x v="575"/>
    <s v="Nurochmah"/>
    <s v="Female"/>
    <d v="1993-11-11T00:00:00"/>
    <d v="2018-07-22T00:00:00"/>
    <x v="0"/>
    <x v="0"/>
    <s v="Active"/>
    <s v="nurochmah@email.com"/>
    <s v="083776409704"/>
  </r>
  <r>
    <n v="577"/>
    <x v="576"/>
    <s v="Nabilatun Munawaroh"/>
    <s v="Female"/>
    <d v="1998-04-22T00:00:00"/>
    <d v="2025-08-11T00:00:00"/>
    <x v="0"/>
    <x v="0"/>
    <s v="Active"/>
    <s v="nabilatunmunawaroh@email.com"/>
    <s v="084472733214"/>
  </r>
  <r>
    <n v="578"/>
    <x v="577"/>
    <s v="Fransisca Lidya Ningrum"/>
    <s v="Female"/>
    <d v="1996-09-29T00:00:00"/>
    <d v="2025-01-19T00:00:00"/>
    <x v="0"/>
    <x v="0"/>
    <s v="Probation"/>
    <s v="fransiscalidyaningrum@email.com"/>
    <s v="080782341909"/>
  </r>
  <r>
    <n v="579"/>
    <x v="578"/>
    <s v="Shindy Meizy"/>
    <s v="Female"/>
    <d v="1992-07-06T00:00:00"/>
    <d v="2023-06-02T00:00:00"/>
    <x v="1"/>
    <x v="1"/>
    <s v="Probation"/>
    <s v="shindymeizy@email.com"/>
    <s v="083087491205"/>
  </r>
  <r>
    <n v="580"/>
    <x v="579"/>
    <s v="Awangga Dida Putranto"/>
    <s v="Male"/>
    <d v="1991-01-27T00:00:00"/>
    <d v="2024-01-08T00:00:00"/>
    <x v="0"/>
    <x v="0"/>
    <s v="Active"/>
    <s v="awanggadidaputranto@email.com"/>
    <s v="083719273778"/>
  </r>
  <r>
    <n v="581"/>
    <x v="580"/>
    <s v="Sri Wulandari"/>
    <s v="Female"/>
    <d v="2001-02-25T00:00:00"/>
    <d v="2023-05-12T00:00:00"/>
    <x v="0"/>
    <x v="0"/>
    <s v="Probation"/>
    <s v="sriwulandari@email.com"/>
    <s v="086782050752"/>
  </r>
  <r>
    <n v="582"/>
    <x v="581"/>
    <s v="Windiya Hastuti"/>
    <s v="Female"/>
    <d v="2002-12-25T00:00:00"/>
    <d v="2018-01-09T00:00:00"/>
    <x v="0"/>
    <x v="0"/>
    <s v="Active"/>
    <s v="windiyahastuti@email.com"/>
    <s v="081043616487"/>
  </r>
  <r>
    <n v="583"/>
    <x v="582"/>
    <s v="Meisya Anggi Lizayanti"/>
    <s v="Female"/>
    <d v="1997-02-04T00:00:00"/>
    <d v="2019-08-19T00:00:00"/>
    <x v="0"/>
    <x v="0"/>
    <s v="Active"/>
    <s v="meisyaanggilizayanti@email.com"/>
    <s v="085887582852"/>
  </r>
  <r>
    <n v="584"/>
    <x v="583"/>
    <s v="Dede Andriani"/>
    <s v="Female"/>
    <d v="1990-03-26T00:00:00"/>
    <d v="2018-09-27T00:00:00"/>
    <x v="0"/>
    <x v="0"/>
    <s v="Probation"/>
    <s v="dedeandriani@email.com"/>
    <s v="083861996460"/>
  </r>
  <r>
    <n v="585"/>
    <x v="584"/>
    <s v="Tri Winda Sulistia Asih"/>
    <s v="Female"/>
    <d v="1987-02-18T00:00:00"/>
    <d v="2024-01-06T00:00:00"/>
    <x v="0"/>
    <x v="0"/>
    <s v="Active"/>
    <s v="triwindasulistiaasih@email.com"/>
    <s v="080038064378"/>
  </r>
  <r>
    <n v="586"/>
    <x v="585"/>
    <s v="Nur Halizah"/>
    <s v="Female"/>
    <d v="1991-08-10T00:00:00"/>
    <d v="2021-08-03T00:00:00"/>
    <x v="0"/>
    <x v="0"/>
    <s v="Probation"/>
    <s v="nurhalizah@email.com"/>
    <s v="089948261902"/>
  </r>
  <r>
    <n v="587"/>
    <x v="586"/>
    <s v="Nursanti"/>
    <s v="Female"/>
    <d v="1993-03-10T00:00:00"/>
    <d v="2021-11-22T00:00:00"/>
    <x v="1"/>
    <x v="1"/>
    <s v="Resigned"/>
    <s v="nursanti@email.com"/>
    <s v="082173250913"/>
  </r>
  <r>
    <n v="588"/>
    <x v="587"/>
    <s v="Indra Valendra"/>
    <s v="Male"/>
    <d v="1993-02-07T00:00:00"/>
    <d v="2023-10-25T00:00:00"/>
    <x v="0"/>
    <x v="0"/>
    <s v="Resigned"/>
    <s v="indravalendra@email.com"/>
    <s v="089756465588"/>
  </r>
  <r>
    <n v="589"/>
    <x v="588"/>
    <s v="Bintang Ramadhani"/>
    <s v="Female"/>
    <d v="1991-03-19T00:00:00"/>
    <d v="2024-10-01T00:00:00"/>
    <x v="1"/>
    <x v="1"/>
    <s v="Active"/>
    <s v="bintangramadhani@email.com"/>
    <s v="089756465589"/>
  </r>
  <r>
    <n v="590"/>
    <x v="589"/>
    <s v="Dandi Pujiyono"/>
    <s v="Male"/>
    <d v="1996-12-30T00:00:00"/>
    <d v="2025-03-30T00:00:00"/>
    <x v="5"/>
    <x v="5"/>
    <s v="Resigned"/>
    <s v="dandipujiyono@email.com"/>
    <s v="082769286450"/>
  </r>
  <r>
    <n v="591"/>
    <x v="590"/>
    <s v="Tyas Anggreini Widyawati"/>
    <s v="Female"/>
    <d v="1986-04-01T00:00:00"/>
    <d v="2021-06-20T00:00:00"/>
    <x v="0"/>
    <x v="0"/>
    <s v="Probation"/>
    <s v="tyasanggreiniwidyawati@email.com"/>
    <s v="0820802079"/>
  </r>
  <r>
    <n v="592"/>
    <x v="591"/>
    <s v="Amalia Novitasari"/>
    <s v="Female"/>
    <d v="2001-02-04T00:00:00"/>
    <d v="2019-08-16T00:00:00"/>
    <x v="0"/>
    <x v="0"/>
    <s v="Active"/>
    <s v="amalianovitasari@email.com"/>
    <s v="088854939439"/>
  </r>
  <r>
    <n v="593"/>
    <x v="592"/>
    <s v="Mas Ayu Setyawati"/>
    <s v="Female"/>
    <d v="1989-06-21T00:00:00"/>
    <d v="2020-10-30T00:00:00"/>
    <x v="0"/>
    <x v="0"/>
    <s v="Probation"/>
    <s v="masayusetyawati@email.com"/>
    <s v="089305776942"/>
  </r>
  <r>
    <n v="594"/>
    <x v="593"/>
    <s v="Riandika Pramudya"/>
    <s v="Male"/>
    <d v="1995-11-05T00:00:00"/>
    <d v="2021-02-26T00:00:00"/>
    <x v="0"/>
    <x v="0"/>
    <s v="Probation"/>
    <s v="riandikapramudya@email.com"/>
    <s v="083799361690"/>
  </r>
  <r>
    <n v="595"/>
    <x v="594"/>
    <s v="Indah Tawakalni"/>
    <s v="Female"/>
    <d v="1991-02-08T00:00:00"/>
    <d v="2021-11-16T00:00:00"/>
    <x v="0"/>
    <x v="0"/>
    <s v="Resigned"/>
    <s v="indahtawakalni@email.com"/>
    <s v="081984769125"/>
  </r>
  <r>
    <n v="596"/>
    <x v="595"/>
    <s v="Citra Ayu Tifani"/>
    <s v="Female"/>
    <d v="2002-09-14T00:00:00"/>
    <d v="2022-04-26T00:00:00"/>
    <x v="0"/>
    <x v="0"/>
    <s v="Probation"/>
    <s v="citraayutifani@email.com"/>
    <s v="080472532595"/>
  </r>
  <r>
    <n v="597"/>
    <x v="596"/>
    <s v="Sintia"/>
    <s v="Female"/>
    <d v="1994-10-23T00:00:00"/>
    <d v="2019-10-25T00:00:00"/>
    <x v="0"/>
    <x v="0"/>
    <s v="Active"/>
    <s v="sintia@email.com"/>
    <s v="085270177541"/>
  </r>
  <r>
    <n v="598"/>
    <x v="597"/>
    <s v="Wakhidah Nova Annisa"/>
    <s v="Female"/>
    <d v="1995-02-05T00:00:00"/>
    <d v="2023-11-21T00:00:00"/>
    <x v="0"/>
    <x v="0"/>
    <s v="Active"/>
    <s v="wakhidahnovaannisa@email.com"/>
    <s v="085202060964"/>
  </r>
  <r>
    <n v="599"/>
    <x v="598"/>
    <s v="Eka Widia Astuti"/>
    <s v="Female"/>
    <d v="1995-05-18T00:00:00"/>
    <d v="2019-04-16T00:00:00"/>
    <x v="0"/>
    <x v="0"/>
    <s v="Active"/>
    <s v="ekawidiaastuti@email.com"/>
    <s v="085790657796"/>
  </r>
  <r>
    <n v="600"/>
    <x v="599"/>
    <s v="Puput Aprilia"/>
    <s v="Female"/>
    <d v="1993-07-01T00:00:00"/>
    <d v="2018-11-22T00:00:00"/>
    <x v="1"/>
    <x v="1"/>
    <s v="Active"/>
    <s v="puputaprilia@email.com"/>
    <s v="088366315066"/>
  </r>
  <r>
    <n v="601"/>
    <x v="600"/>
    <s v="Tina"/>
    <s v="Female"/>
    <d v="1997-12-06T00:00:00"/>
    <d v="2024-06-30T00:00:00"/>
    <x v="0"/>
    <x v="0"/>
    <s v="Active"/>
    <s v="tina@email.com"/>
    <s v="089521059189"/>
  </r>
  <r>
    <n v="602"/>
    <x v="601"/>
    <s v="Isna Rijal Mukti"/>
    <s v="Male"/>
    <d v="1986-06-04T00:00:00"/>
    <d v="2023-01-11T00:00:00"/>
    <x v="0"/>
    <x v="0"/>
    <s v="Probation"/>
    <s v="isnarijalmukti@email.com"/>
    <s v="083567378807"/>
  </r>
  <r>
    <n v="603"/>
    <x v="602"/>
    <s v="Elza Rahastri"/>
    <s v="Female"/>
    <d v="1997-12-02T00:00:00"/>
    <d v="2024-02-23T00:00:00"/>
    <x v="1"/>
    <x v="1"/>
    <s v="Resigned"/>
    <s v="elzarahastri@email.com"/>
    <s v="085990992811"/>
  </r>
  <r>
    <n v="604"/>
    <x v="603"/>
    <s v="Lia Purwati"/>
    <s v="Female"/>
    <d v="1997-02-10T00:00:00"/>
    <d v="2018-06-03T00:00:00"/>
    <x v="0"/>
    <x v="0"/>
    <s v="Probation"/>
    <s v="liapurwati@email.com"/>
    <s v="085410978786"/>
  </r>
  <r>
    <n v="605"/>
    <x v="604"/>
    <s v="Ayyesa Dyah Pusparini"/>
    <s v="Female"/>
    <d v="1999-01-15T00:00:00"/>
    <d v="2021-10-21T00:00:00"/>
    <x v="1"/>
    <x v="1"/>
    <s v="Active"/>
    <s v="ayyesadyahpusparini@email.com"/>
    <s v="086279657892"/>
  </r>
  <r>
    <n v="606"/>
    <x v="605"/>
    <s v="Siti Amalia"/>
    <s v="Female"/>
    <d v="1999-02-15T00:00:00"/>
    <d v="2023-06-22T00:00:00"/>
    <x v="0"/>
    <x v="0"/>
    <s v="Active"/>
    <s v="sitiamalia@email.com"/>
    <s v="088906323020"/>
  </r>
  <r>
    <n v="607"/>
    <x v="606"/>
    <s v="Intan Meilani"/>
    <s v="Female"/>
    <d v="1986-06-17T00:00:00"/>
    <d v="2020-02-09T00:00:00"/>
    <x v="0"/>
    <x v="0"/>
    <s v="Resigned"/>
    <s v="intanmeilani@email.com"/>
    <s v="087549117184"/>
  </r>
  <r>
    <n v="608"/>
    <x v="607"/>
    <s v="Arip Saripudin"/>
    <s v="Male"/>
    <d v="1990-04-21T00:00:00"/>
    <d v="2023-01-26T00:00:00"/>
    <x v="0"/>
    <x v="0"/>
    <s v="Probation"/>
    <s v="aripsaripudin@email.com"/>
    <s v="084209331576"/>
  </r>
  <r>
    <n v="609"/>
    <x v="608"/>
    <s v="Kartika Komalasari"/>
    <s v="Female"/>
    <d v="1991-10-10T00:00:00"/>
    <d v="2018-10-27T00:00:00"/>
    <x v="0"/>
    <x v="0"/>
    <s v="Resigned"/>
    <s v="kartikakomalasari@email.com"/>
    <s v="082713486459"/>
  </r>
  <r>
    <n v="610"/>
    <x v="609"/>
    <s v="Siti Komariyah"/>
    <s v="Female"/>
    <d v="1992-03-24T00:00:00"/>
    <d v="2021-02-01T00:00:00"/>
    <x v="0"/>
    <x v="0"/>
    <s v="Probation"/>
    <s v="sitikomariyah@email.com"/>
    <s v="081489647412"/>
  </r>
  <r>
    <n v="611"/>
    <x v="610"/>
    <s v="Arif Wakhyudin"/>
    <s v="Male"/>
    <d v="1991-01-21T00:00:00"/>
    <d v="2023-12-10T00:00:00"/>
    <x v="0"/>
    <x v="0"/>
    <s v="Active"/>
    <s v="arifwakhyudin@email.com"/>
    <s v="0801463985"/>
  </r>
  <r>
    <n v="612"/>
    <x v="611"/>
    <s v="Gus Hafit"/>
    <s v="Male"/>
    <d v="1992-05-17T00:00:00"/>
    <d v="2021-01-17T00:00:00"/>
    <x v="5"/>
    <x v="5"/>
    <s v="Resigned"/>
    <s v="gushafit@email.com"/>
    <s v="085385066665"/>
  </r>
  <r>
    <n v="613"/>
    <x v="612"/>
    <s v="Unsi Dharma Agensi"/>
    <s v="Male"/>
    <d v="1999-02-15T00:00:00"/>
    <d v="2025-04-26T00:00:00"/>
    <x v="4"/>
    <x v="4"/>
    <s v="Resigned"/>
    <s v="unsidharmaagensi@email.com"/>
    <s v="082933587127"/>
  </r>
  <r>
    <n v="614"/>
    <x v="613"/>
    <s v="Muhamad Adi Ajiyanto"/>
    <s v="Male"/>
    <d v="1989-06-20T00:00:00"/>
    <d v="2019-11-19T00:00:00"/>
    <x v="5"/>
    <x v="5"/>
    <s v="Probation"/>
    <s v="muhamadadiajiyanto@email.com"/>
    <s v="0814652233"/>
  </r>
  <r>
    <n v="615"/>
    <x v="614"/>
    <s v="Muji Purnomo"/>
    <s v="Male"/>
    <d v="1988-08-02T00:00:00"/>
    <d v="2020-03-10T00:00:00"/>
    <x v="5"/>
    <x v="5"/>
    <s v="Active"/>
    <s v="mujipurnomo@email.com"/>
    <s v="086091259501"/>
  </r>
  <r>
    <n v="616"/>
    <x v="615"/>
    <s v="Zuhriyah Adzra Zharifah"/>
    <s v="Female"/>
    <d v="1988-03-01T00:00:00"/>
    <d v="2022-05-19T00:00:00"/>
    <x v="1"/>
    <x v="1"/>
    <s v="Resigned"/>
    <s v="zuhriyahadzrazharifah@email.com"/>
    <s v="085994492572"/>
  </r>
  <r>
    <n v="617"/>
    <x v="616"/>
    <s v="Joni Purba"/>
    <s v="Male"/>
    <d v="1992-10-20T00:00:00"/>
    <d v="2023-03-25T00:00:00"/>
    <x v="4"/>
    <x v="4"/>
    <s v="Resigned"/>
    <s v="jonipurba@email.com"/>
    <s v="085423083012"/>
  </r>
  <r>
    <n v="618"/>
    <x v="617"/>
    <s v="Mita Amelia Salvina"/>
    <s v="Female"/>
    <d v="2000-11-28T00:00:00"/>
    <d v="2018-04-24T00:00:00"/>
    <x v="0"/>
    <x v="0"/>
    <s v="Resigned"/>
    <s v="mitaameliasalvina@email.com"/>
    <s v="082033875712"/>
  </r>
  <r>
    <n v="619"/>
    <x v="618"/>
    <s v="Sri Hartati"/>
    <s v="Female"/>
    <d v="2001-11-22T00:00:00"/>
    <d v="2023-03-18T00:00:00"/>
    <x v="0"/>
    <x v="0"/>
    <s v="Active"/>
    <s v="srihartati@email.com"/>
    <s v="084907118729"/>
  </r>
  <r>
    <n v="620"/>
    <x v="619"/>
    <s v="Liya Lestari"/>
    <s v="Female"/>
    <d v="1990-05-03T00:00:00"/>
    <d v="2022-06-11T00:00:00"/>
    <x v="0"/>
    <x v="0"/>
    <s v="Resigned"/>
    <s v="liyalestari@email.com"/>
    <s v="087544520449"/>
  </r>
  <r>
    <n v="621"/>
    <x v="620"/>
    <s v="Ari Putra Utama"/>
    <s v="Male"/>
    <d v="1986-11-02T00:00:00"/>
    <d v="2018-09-27T00:00:00"/>
    <x v="0"/>
    <x v="0"/>
    <s v="Probation"/>
    <s v="ariputrautama@email.com"/>
    <s v="089756465590"/>
  </r>
  <r>
    <n v="622"/>
    <x v="621"/>
    <s v="Anita Agustin"/>
    <s v="Female"/>
    <d v="1994-08-30T00:00:00"/>
    <d v="2025-04-04T00:00:00"/>
    <x v="0"/>
    <x v="0"/>
    <s v="Probation"/>
    <s v="anitaagustin@email.com"/>
    <s v="086067102036"/>
  </r>
  <r>
    <n v="623"/>
    <x v="622"/>
    <s v="Lilis Lisnawati"/>
    <s v="Female"/>
    <d v="1994-08-21T00:00:00"/>
    <d v="2018-02-16T00:00:00"/>
    <x v="0"/>
    <x v="0"/>
    <s v="Active"/>
    <s v="lilislisnawati@email.com"/>
    <s v="080859889094"/>
  </r>
  <r>
    <n v="624"/>
    <x v="623"/>
    <s v="Sri Wulan Agustina"/>
    <s v="Female"/>
    <d v="1997-01-02T00:00:00"/>
    <d v="2022-03-11T00:00:00"/>
    <x v="0"/>
    <x v="0"/>
    <s v="Resigned"/>
    <s v="sriwulanagustina@email.com"/>
    <s v="089756465591"/>
  </r>
  <r>
    <n v="625"/>
    <x v="624"/>
    <s v="Winda Ayuningtiyas"/>
    <s v="Female"/>
    <d v="1992-08-22T00:00:00"/>
    <d v="2019-01-31T00:00:00"/>
    <x v="0"/>
    <x v="0"/>
    <s v="Active"/>
    <s v="windaayuningtiyas@email.com"/>
    <s v="086682960880"/>
  </r>
  <r>
    <n v="626"/>
    <x v="625"/>
    <s v="Khoiriya"/>
    <s v="Female"/>
    <d v="1989-09-25T00:00:00"/>
    <d v="2021-02-04T00:00:00"/>
    <x v="0"/>
    <x v="0"/>
    <s v="Active"/>
    <s v="khoiriya@email.com"/>
    <s v="087263215799"/>
  </r>
  <r>
    <n v="627"/>
    <x v="626"/>
    <s v="Saeful Arifin"/>
    <s v="Male"/>
    <d v="1991-11-20T00:00:00"/>
    <d v="2024-02-14T00:00:00"/>
    <x v="0"/>
    <x v="0"/>
    <s v="Probation"/>
    <s v="saefularifin@email.com"/>
    <s v="080463687994"/>
  </r>
  <r>
    <n v="628"/>
    <x v="627"/>
    <s v="Ari Maulana Yudha Pratama"/>
    <s v="Male"/>
    <d v="1987-05-06T00:00:00"/>
    <d v="2023-04-11T00:00:00"/>
    <x v="4"/>
    <x v="4"/>
    <s v="Resigned"/>
    <s v="arimaulanayudhapratama@email.com"/>
    <s v="080527207988"/>
  </r>
  <r>
    <n v="629"/>
    <x v="628"/>
    <s v="Aulita Lasya Anggreani"/>
    <s v="Female"/>
    <d v="1998-01-01T00:00:00"/>
    <d v="2018-06-06T00:00:00"/>
    <x v="0"/>
    <x v="0"/>
    <s v="Active"/>
    <s v="aulitalasyaanggreani@email.com"/>
    <s v="088028721917"/>
  </r>
  <r>
    <n v="630"/>
    <x v="629"/>
    <s v="Ananda Anis Pratama"/>
    <s v="Female"/>
    <d v="1989-10-07T00:00:00"/>
    <d v="2021-10-25T00:00:00"/>
    <x v="0"/>
    <x v="0"/>
    <s v="Active"/>
    <s v="anandaanispratama@email.com"/>
    <s v="089756465592"/>
  </r>
  <r>
    <n v="631"/>
    <x v="630"/>
    <s v="Ade Nurul Khofifah"/>
    <s v="Female"/>
    <d v="1995-05-24T00:00:00"/>
    <d v="2024-04-02T00:00:00"/>
    <x v="0"/>
    <x v="0"/>
    <s v="Active"/>
    <s v="adenurulkhofifah@email.com"/>
    <s v="081900828777"/>
  </r>
  <r>
    <n v="632"/>
    <x v="631"/>
    <s v="Nisa Astiya Ramadhani"/>
    <s v="Female"/>
    <d v="2003-10-01T00:00:00"/>
    <d v="2019-09-22T00:00:00"/>
    <x v="1"/>
    <x v="1"/>
    <s v="Active"/>
    <s v="nisaastiyaramadhani@email.com"/>
    <s v="085177776128"/>
  </r>
  <r>
    <n v="633"/>
    <x v="632"/>
    <s v="Lilis Utami"/>
    <s v="Female"/>
    <d v="1988-11-08T00:00:00"/>
    <d v="2023-02-15T00:00:00"/>
    <x v="0"/>
    <x v="0"/>
    <s v="Active"/>
    <s v="lilisutami@email.com"/>
    <s v="080226766369"/>
  </r>
  <r>
    <n v="634"/>
    <x v="633"/>
    <s v="Fasikhatun"/>
    <s v="Female"/>
    <d v="1994-02-04T00:00:00"/>
    <d v="2019-12-17T00:00:00"/>
    <x v="0"/>
    <x v="0"/>
    <s v="Active"/>
    <s v="fasikhatun@email.com"/>
    <s v="0847071151"/>
  </r>
  <r>
    <n v="635"/>
    <x v="634"/>
    <s v="Akhmad Hamzah"/>
    <s v="Male"/>
    <d v="2002-07-06T00:00:00"/>
    <d v="2021-04-30T00:00:00"/>
    <x v="0"/>
    <x v="0"/>
    <s v="Resigned"/>
    <s v="akhmadhamzah@email.com"/>
    <s v="081745907951"/>
  </r>
  <r>
    <n v="636"/>
    <x v="635"/>
    <s v="Naelu Saadah"/>
    <s v="Female"/>
    <d v="1992-09-30T00:00:00"/>
    <d v="2022-03-02T00:00:00"/>
    <x v="0"/>
    <x v="0"/>
    <s v="Active"/>
    <s v="naelusaadah@email.com"/>
    <s v="082892596366"/>
  </r>
  <r>
    <n v="637"/>
    <x v="636"/>
    <s v="Faidatun Nufus"/>
    <s v="Female"/>
    <d v="1989-05-05T00:00:00"/>
    <d v="2022-04-08T00:00:00"/>
    <x v="0"/>
    <x v="0"/>
    <s v="Active"/>
    <s v="faidatunnufus@email.com"/>
    <s v="080136223664"/>
  </r>
  <r>
    <n v="638"/>
    <x v="637"/>
    <s v="Khalimatul Sadiyah"/>
    <s v="Female"/>
    <d v="1989-01-21T00:00:00"/>
    <d v="2022-09-20T00:00:00"/>
    <x v="0"/>
    <x v="0"/>
    <s v="Probation"/>
    <s v="khalimatulsadiyah@email.com"/>
    <s v="088833502465"/>
  </r>
  <r>
    <n v="639"/>
    <x v="638"/>
    <s v="Feni Wardatus Solikha"/>
    <s v="Female"/>
    <d v="1997-10-11T00:00:00"/>
    <d v="2021-08-05T00:00:00"/>
    <x v="0"/>
    <x v="0"/>
    <s v="Active"/>
    <s v="feniwardatussolikha@email.com"/>
    <s v="081915826939"/>
  </r>
  <r>
    <n v="640"/>
    <x v="639"/>
    <s v="Kemal Arida Ghani"/>
    <s v="Male"/>
    <d v="1996-07-03T00:00:00"/>
    <d v="2023-11-15T00:00:00"/>
    <x v="0"/>
    <x v="0"/>
    <s v="Probation"/>
    <s v="kemalaridaghani@email.com"/>
    <s v="088384741605"/>
  </r>
  <r>
    <n v="641"/>
    <x v="640"/>
    <s v="Raisya Chelseana"/>
    <s v="Female"/>
    <d v="1986-06-01T00:00:00"/>
    <d v="2023-03-22T00:00:00"/>
    <x v="0"/>
    <x v="0"/>
    <s v="Probation"/>
    <s v="raisyachelseana@email.com"/>
    <s v="087772408157"/>
  </r>
  <r>
    <n v="642"/>
    <x v="641"/>
    <s v="Ari Munandar"/>
    <s v="Male"/>
    <d v="2002-03-05T00:00:00"/>
    <d v="2020-06-02T00:00:00"/>
    <x v="4"/>
    <x v="4"/>
    <s v="Active"/>
    <s v="arimunandar@email.com"/>
    <s v="083075620150"/>
  </r>
  <r>
    <n v="643"/>
    <x v="642"/>
    <s v="Diinah"/>
    <s v="Female"/>
    <d v="2001-04-17T00:00:00"/>
    <d v="2021-12-27T00:00:00"/>
    <x v="0"/>
    <x v="0"/>
    <s v="Active"/>
    <s v="diinah@email.com"/>
    <s v="083451065950"/>
  </r>
  <r>
    <n v="644"/>
    <x v="643"/>
    <s v="Nasya Isna Saadah"/>
    <s v="Female"/>
    <d v="2000-07-30T00:00:00"/>
    <d v="2018-04-21T00:00:00"/>
    <x v="0"/>
    <x v="0"/>
    <s v="Probation"/>
    <s v="nasyaisnasaadah@email.com"/>
    <s v="081252290975"/>
  </r>
  <r>
    <n v="645"/>
    <x v="644"/>
    <s v="Dea Rahmadani"/>
    <s v="Female"/>
    <d v="1986-03-28T00:00:00"/>
    <d v="2020-01-29T00:00:00"/>
    <x v="0"/>
    <x v="0"/>
    <s v="Resigned"/>
    <s v="dearahmadani@email.com"/>
    <s v="086367542511"/>
  </r>
  <r>
    <n v="646"/>
    <x v="645"/>
    <s v="Cahhayu Agustin"/>
    <s v="Female"/>
    <d v="1993-03-31T00:00:00"/>
    <d v="2023-04-16T00:00:00"/>
    <x v="0"/>
    <x v="0"/>
    <s v="Active"/>
    <s v="cahhayuagustin@email.com"/>
    <s v="082504790886"/>
  </r>
  <r>
    <n v="647"/>
    <x v="646"/>
    <s v="Siska Vigiastuti"/>
    <s v="Female"/>
    <d v="1989-12-30T00:00:00"/>
    <d v="2021-02-28T00:00:00"/>
    <x v="0"/>
    <x v="0"/>
    <s v="Probation"/>
    <s v="siskavigiastuti@email.com"/>
    <s v="087180184557"/>
  </r>
  <r>
    <n v="648"/>
    <x v="647"/>
    <s v="Riski Nur Fadilah"/>
    <s v="Male"/>
    <d v="1985-08-02T00:00:00"/>
    <d v="2020-08-27T00:00:00"/>
    <x v="5"/>
    <x v="5"/>
    <s v="Active"/>
    <s v="riskinurfadilah@email.com"/>
    <s v="089571223069"/>
  </r>
  <r>
    <n v="649"/>
    <x v="648"/>
    <s v="Dewi Qomariyah"/>
    <s v="Female"/>
    <d v="1991-08-19T00:00:00"/>
    <d v="2020-03-25T00:00:00"/>
    <x v="0"/>
    <x v="0"/>
    <s v="Active"/>
    <s v="dewiqomariyah@email.com"/>
    <s v="085696592016"/>
  </r>
  <r>
    <n v="650"/>
    <x v="649"/>
    <s v="Anisa Arviyana"/>
    <s v="Female"/>
    <d v="1992-08-16T00:00:00"/>
    <d v="2022-12-27T00:00:00"/>
    <x v="0"/>
    <x v="0"/>
    <s v="Probation"/>
    <s v="anisaarviyana@email.com"/>
    <s v="087620918437"/>
  </r>
  <r>
    <n v="651"/>
    <x v="650"/>
    <s v="Noviani"/>
    <s v="Female"/>
    <d v="1995-12-03T00:00:00"/>
    <d v="2022-04-01T00:00:00"/>
    <x v="0"/>
    <x v="0"/>
    <s v="Resigned"/>
    <s v="noviani@email.com"/>
    <s v="084251938118"/>
  </r>
  <r>
    <n v="652"/>
    <x v="651"/>
    <s v="Khoeril Husyain Al Hanif"/>
    <s v="Male"/>
    <d v="1998-03-12T00:00:00"/>
    <d v="2025-07-08T00:00:00"/>
    <x v="4"/>
    <x v="4"/>
    <s v="Active"/>
    <s v="khoerilhusyainalhanif@email.com"/>
    <s v="085997886860"/>
  </r>
  <r>
    <n v="653"/>
    <x v="652"/>
    <s v="Waliyul Mustofa"/>
    <s v="Male"/>
    <d v="1991-04-26T00:00:00"/>
    <d v="2022-03-20T00:00:00"/>
    <x v="0"/>
    <x v="0"/>
    <s v="Active"/>
    <s v="waliyulmustofa@email.com"/>
    <s v="080565182867"/>
  </r>
  <r>
    <n v="654"/>
    <x v="653"/>
    <s v="Lina Widiya Sari"/>
    <s v="Female"/>
    <d v="1995-12-04T00:00:00"/>
    <d v="2018-05-09T00:00:00"/>
    <x v="1"/>
    <x v="1"/>
    <s v="Probation"/>
    <s v="linawidiyasari@email.com"/>
    <s v="089756465593"/>
  </r>
  <r>
    <n v="655"/>
    <x v="654"/>
    <s v="Bilal Dwi Pangestu"/>
    <s v="Male"/>
    <d v="1990-06-09T00:00:00"/>
    <d v="2024-02-22T00:00:00"/>
    <x v="4"/>
    <x v="4"/>
    <s v="Active"/>
    <s v="bilaldwipangestu@email.com"/>
    <s v="084330173158"/>
  </r>
  <r>
    <n v="656"/>
    <x v="655"/>
    <s v="Friska Dwinova"/>
    <s v="Female"/>
    <d v="1994-10-13T00:00:00"/>
    <d v="2023-12-23T00:00:00"/>
    <x v="0"/>
    <x v="0"/>
    <s v="Probation"/>
    <s v="friskadwinova@email.com"/>
    <s v="081426475941"/>
  </r>
  <r>
    <n v="657"/>
    <x v="656"/>
    <s v="Lutfia Fitriyani"/>
    <s v="Female"/>
    <d v="1986-08-30T00:00:00"/>
    <d v="2020-04-14T00:00:00"/>
    <x v="0"/>
    <x v="0"/>
    <s v="Active"/>
    <s v="lutfiafitriyani@email.com"/>
    <s v="085012249453"/>
  </r>
  <r>
    <n v="658"/>
    <x v="657"/>
    <s v="Usni Basofi"/>
    <s v="Male"/>
    <d v="1999-10-08T00:00:00"/>
    <d v="2019-07-01T00:00:00"/>
    <x v="4"/>
    <x v="4"/>
    <s v="Active"/>
    <s v="usnibasofi@email.com"/>
    <s v="088725326276"/>
  </r>
  <r>
    <n v="659"/>
    <x v="658"/>
    <s v="Ummu Lailatussyifa"/>
    <s v="Female"/>
    <d v="2000-03-31T00:00:00"/>
    <d v="2020-08-10T00:00:00"/>
    <x v="0"/>
    <x v="0"/>
    <s v="Active"/>
    <s v="ummulailatussyifa@email.com"/>
    <s v="087794239494"/>
  </r>
  <r>
    <n v="660"/>
    <x v="659"/>
    <s v="Mega Sulis Setiawati"/>
    <s v="Female"/>
    <d v="2001-04-20T00:00:00"/>
    <d v="2020-09-28T00:00:00"/>
    <x v="1"/>
    <x v="1"/>
    <s v="Probation"/>
    <s v="megasulissetiawati@email.com"/>
    <s v="088250059507"/>
  </r>
  <r>
    <n v="661"/>
    <x v="660"/>
    <s v="Muhammad Kurniadi"/>
    <s v="Male"/>
    <d v="1991-10-09T00:00:00"/>
    <d v="2022-06-16T00:00:00"/>
    <x v="4"/>
    <x v="4"/>
    <s v="Resigned"/>
    <s v="muhammadkurniadi@email.com"/>
    <s v="089522138302"/>
  </r>
  <r>
    <n v="662"/>
    <x v="661"/>
    <s v="Dimas Khoerul Imam"/>
    <s v="Male"/>
    <d v="1988-03-30T00:00:00"/>
    <d v="2020-01-08T00:00:00"/>
    <x v="5"/>
    <x v="5"/>
    <s v="Probation"/>
    <s v="dimaskhoerulimam@email.com"/>
    <s v="085010006191"/>
  </r>
  <r>
    <n v="663"/>
    <x v="662"/>
    <s v="Rizki Listiawati"/>
    <s v="Female"/>
    <d v="1990-11-06T00:00:00"/>
    <d v="2018-05-09T00:00:00"/>
    <x v="1"/>
    <x v="1"/>
    <s v="Resigned"/>
    <s v="rizkilistiawati@email.com"/>
    <s v="081428911452"/>
  </r>
  <r>
    <n v="664"/>
    <x v="663"/>
    <s v="M Fatkhurohman"/>
    <s v="Male"/>
    <d v="1993-11-22T00:00:00"/>
    <d v="2018-08-30T00:00:00"/>
    <x v="5"/>
    <x v="5"/>
    <s v="Probation"/>
    <s v="mfatkhurohman@email.com"/>
    <s v="088901268946"/>
  </r>
  <r>
    <n v="665"/>
    <x v="664"/>
    <s v="Yosti Yatin Romadhoni"/>
    <s v="Male"/>
    <d v="2002-02-04T00:00:00"/>
    <d v="2025-02-21T00:00:00"/>
    <x v="0"/>
    <x v="0"/>
    <s v="Probation"/>
    <s v="yostiyatinromadhoni@email.com"/>
    <s v="086229488320"/>
  </r>
  <r>
    <n v="666"/>
    <x v="665"/>
    <s v="Neli Asmarani"/>
    <s v="Female"/>
    <d v="1996-02-25T00:00:00"/>
    <d v="2018-08-22T00:00:00"/>
    <x v="0"/>
    <x v="0"/>
    <s v="Active"/>
    <s v="neliasmarani@email.com"/>
    <s v="081220425000"/>
  </r>
  <r>
    <n v="667"/>
    <x v="666"/>
    <s v="Anah Mariyah Rosalia"/>
    <s v="Female"/>
    <d v="1998-12-17T00:00:00"/>
    <d v="2024-01-28T00:00:00"/>
    <x v="0"/>
    <x v="0"/>
    <s v="Resigned"/>
    <s v="anahmariyahrosalia@email.com"/>
    <s v="080764459661"/>
  </r>
  <r>
    <n v="668"/>
    <x v="667"/>
    <s v="Ibnu Jurjani"/>
    <s v="Male"/>
    <d v="1990-03-15T00:00:00"/>
    <d v="2023-08-28T00:00:00"/>
    <x v="5"/>
    <x v="5"/>
    <s v="Probation"/>
    <s v="ibnujurjani@email.com"/>
    <s v="086465621089"/>
  </r>
  <r>
    <n v="669"/>
    <x v="668"/>
    <s v="Siti Hartini"/>
    <s v="Female"/>
    <d v="1990-09-15T00:00:00"/>
    <d v="2022-01-07T00:00:00"/>
    <x v="0"/>
    <x v="0"/>
    <s v="Resigned"/>
    <s v="sitihartini@email.com"/>
    <s v="089670270084"/>
  </r>
  <r>
    <n v="670"/>
    <x v="669"/>
    <s v="Aulia Khusna Cahyaningtyas"/>
    <s v="Female"/>
    <d v="1992-04-19T00:00:00"/>
    <d v="2020-11-06T00:00:00"/>
    <x v="0"/>
    <x v="0"/>
    <s v="Resigned"/>
    <s v="auliakhusnacahyaningtyas@email.com"/>
    <s v="083385405147"/>
  </r>
  <r>
    <n v="671"/>
    <x v="670"/>
    <s v="Salwa Nur Fauziah"/>
    <s v="Female"/>
    <d v="2000-06-15T00:00:00"/>
    <d v="2024-02-04T00:00:00"/>
    <x v="0"/>
    <x v="0"/>
    <s v="Resigned"/>
    <s v="salwanurfauziah@email.com"/>
    <s v="081869996666"/>
  </r>
  <r>
    <n v="672"/>
    <x v="671"/>
    <s v="Ratna Sulastri"/>
    <s v="Female"/>
    <d v="1993-08-17T00:00:00"/>
    <d v="2018-08-21T00:00:00"/>
    <x v="0"/>
    <x v="0"/>
    <s v="Active"/>
    <s v="ratnasulastri@email.com"/>
    <s v="080969284658"/>
  </r>
  <r>
    <n v="673"/>
    <x v="672"/>
    <s v="Widiyanto"/>
    <s v="Male"/>
    <d v="1994-10-18T00:00:00"/>
    <d v="2019-06-03T00:00:00"/>
    <x v="4"/>
    <x v="4"/>
    <s v="Active"/>
    <s v="widiyanto@email.com"/>
    <s v="084168168581"/>
  </r>
  <r>
    <n v="674"/>
    <x v="673"/>
    <s v="Nurade Fitrianasari"/>
    <s v="Female"/>
    <d v="2001-06-13T00:00:00"/>
    <d v="2024-12-07T00:00:00"/>
    <x v="1"/>
    <x v="1"/>
    <s v="Probation"/>
    <s v="nuradefitrianasari@email.com"/>
    <s v="084989273381"/>
  </r>
  <r>
    <n v="675"/>
    <x v="674"/>
    <s v="Mohamad Fahiq Maulana"/>
    <s v="Male"/>
    <d v="1995-10-17T00:00:00"/>
    <d v="2022-05-26T00:00:00"/>
    <x v="6"/>
    <x v="6"/>
    <s v="Resigned"/>
    <s v="mohamadfahiqmaulana@email.com"/>
    <s v="085524321937"/>
  </r>
  <r>
    <n v="676"/>
    <x v="675"/>
    <s v="Daryono"/>
    <s v="Male"/>
    <d v="1987-12-20T00:00:00"/>
    <d v="2022-09-08T00:00:00"/>
    <x v="6"/>
    <x v="6"/>
    <s v="Resigned"/>
    <s v="daryono@email.com"/>
    <s v="084964369796"/>
  </r>
  <r>
    <n v="677"/>
    <x v="676"/>
    <s v="Karisma Permata Putri"/>
    <s v="Female"/>
    <d v="1997-04-21T00:00:00"/>
    <d v="2025-08-09T00:00:00"/>
    <x v="0"/>
    <x v="0"/>
    <s v="Active"/>
    <s v="karismapermataputri@email.com"/>
    <s v="082519570748"/>
  </r>
  <r>
    <n v="678"/>
    <x v="677"/>
    <s v="Gita Anjani"/>
    <s v="Female"/>
    <d v="1998-10-06T00:00:00"/>
    <d v="2020-06-03T00:00:00"/>
    <x v="0"/>
    <x v="0"/>
    <s v="Active"/>
    <s v="gitaanjani@email.com"/>
    <s v="089370577204"/>
  </r>
  <r>
    <n v="679"/>
    <x v="678"/>
    <s v="Anggie Nur Cahyani"/>
    <s v="Female"/>
    <d v="1999-04-03T00:00:00"/>
    <d v="2019-07-13T00:00:00"/>
    <x v="0"/>
    <x v="0"/>
    <s v="Active"/>
    <s v="anggienurcahyani@email.com"/>
    <s v="087630232627"/>
  </r>
  <r>
    <n v="680"/>
    <x v="679"/>
    <s v="Faizatul Hidayah"/>
    <s v="Female"/>
    <d v="1993-01-13T00:00:00"/>
    <d v="2021-04-04T00:00:00"/>
    <x v="1"/>
    <x v="1"/>
    <s v="Resigned"/>
    <s v="faizatulhidayah@email.com"/>
    <s v="089166253059"/>
  </r>
  <r>
    <n v="681"/>
    <x v="680"/>
    <s v="Ayu Zaskiyatul Azizah"/>
    <s v="Female"/>
    <d v="1997-11-27T00:00:00"/>
    <d v="2019-10-05T00:00:00"/>
    <x v="0"/>
    <x v="0"/>
    <s v="Resigned"/>
    <s v="ayuzaskiyatulazizah@email.com"/>
    <s v="089007268461"/>
  </r>
  <r>
    <n v="682"/>
    <x v="681"/>
    <s v="M Hamam Alfikri"/>
    <s v="Male"/>
    <d v="2000-07-26T00:00:00"/>
    <d v="2023-04-21T00:00:00"/>
    <x v="5"/>
    <x v="5"/>
    <s v="Active"/>
    <s v="mhamamalfikri@email.com"/>
    <s v="087792279399"/>
  </r>
  <r>
    <n v="683"/>
    <x v="682"/>
    <s v="Bani Ghesit Prasetya"/>
    <s v="Male"/>
    <d v="1999-09-11T00:00:00"/>
    <d v="2021-03-10T00:00:00"/>
    <x v="5"/>
    <x v="5"/>
    <s v="Active"/>
    <s v="banighesitprasetya@email.com"/>
    <s v="086975135300"/>
  </r>
  <r>
    <n v="684"/>
    <x v="683"/>
    <s v="Suwandi"/>
    <s v="Male"/>
    <d v="2000-04-10T00:00:00"/>
    <d v="2024-08-12T00:00:00"/>
    <x v="0"/>
    <x v="0"/>
    <s v="Active"/>
    <s v="suwandi@email.com"/>
    <s v="085117034100"/>
  </r>
  <r>
    <n v="685"/>
    <x v="684"/>
    <s v="Muhammad Ridwan Al Asyari"/>
    <s v="Male"/>
    <d v="2003-07-18T00:00:00"/>
    <d v="2025-03-01T00:00:00"/>
    <x v="4"/>
    <x v="4"/>
    <s v="Active"/>
    <s v="muhammadridwanalasyari@email.com"/>
    <s v="082766874802"/>
  </r>
  <r>
    <n v="686"/>
    <x v="685"/>
    <s v="Muhamad Muhyi Habib"/>
    <s v="Male"/>
    <d v="1988-11-25T00:00:00"/>
    <d v="2022-05-20T00:00:00"/>
    <x v="0"/>
    <x v="0"/>
    <s v="Active"/>
    <s v="muhamadmuhyihabib@email.com"/>
    <s v="087602467406"/>
  </r>
  <r>
    <n v="687"/>
    <x v="686"/>
    <s v="Mochamad Ulinuha"/>
    <s v="Male"/>
    <d v="1998-05-18T00:00:00"/>
    <d v="2022-03-15T00:00:00"/>
    <x v="4"/>
    <x v="4"/>
    <s v="Active"/>
    <s v="mochamadulinuha@email.com"/>
    <s v="086287147779"/>
  </r>
  <r>
    <n v="688"/>
    <x v="687"/>
    <s v="Sandi Syah Zena"/>
    <s v="Male"/>
    <d v="2001-04-20T00:00:00"/>
    <d v="2018-03-05T00:00:00"/>
    <x v="5"/>
    <x v="5"/>
    <s v="Resigned"/>
    <s v="sandisyahzena@email.com"/>
    <s v="080278355709"/>
  </r>
  <r>
    <n v="689"/>
    <x v="688"/>
    <s v="Fadly Nurcholik"/>
    <s v="Male"/>
    <d v="1986-10-10T00:00:00"/>
    <d v="2018-07-21T00:00:00"/>
    <x v="6"/>
    <x v="6"/>
    <s v="Resigned"/>
    <s v="fadlynurcholik@email.com"/>
    <s v="083767815102"/>
  </r>
  <r>
    <n v="690"/>
    <x v="689"/>
    <s v="Mualfi Fahrul Fanani"/>
    <s v="Male"/>
    <d v="2002-11-22T00:00:00"/>
    <d v="2024-04-22T00:00:00"/>
    <x v="0"/>
    <x v="0"/>
    <s v="Active"/>
    <s v="mualfifahrulfanani@email.com"/>
    <s v="083978501096"/>
  </r>
  <r>
    <n v="691"/>
    <x v="690"/>
    <s v="Mochamad Ridwan"/>
    <s v="Male"/>
    <d v="1994-01-19T00:00:00"/>
    <d v="2018-04-26T00:00:00"/>
    <x v="4"/>
    <x v="4"/>
    <s v="Active"/>
    <s v="mochamadridwan@email.com"/>
    <s v="086044084785"/>
  </r>
  <r>
    <n v="692"/>
    <x v="691"/>
    <s v="Vivi Oktovia"/>
    <s v="Female"/>
    <d v="2003-09-11T00:00:00"/>
    <d v="2021-12-13T00:00:00"/>
    <x v="1"/>
    <x v="1"/>
    <s v="Resigned"/>
    <s v="vivioktovia@email.com"/>
    <s v="086448278826"/>
  </r>
  <r>
    <n v="693"/>
    <x v="692"/>
    <s v="Nadiva Niken Fadila"/>
    <s v="Female"/>
    <d v="1990-01-17T00:00:00"/>
    <d v="2018-05-26T00:00:00"/>
    <x v="1"/>
    <x v="1"/>
    <s v="Active"/>
    <s v="nadivanikenfadila@email.com"/>
    <s v="081933541228"/>
  </r>
  <r>
    <n v="694"/>
    <x v="693"/>
    <s v="Doni Setiawan"/>
    <s v="Male"/>
    <d v="1990-06-09T00:00:00"/>
    <d v="2018-04-01T00:00:00"/>
    <x v="5"/>
    <x v="5"/>
    <s v="Probation"/>
    <s v="donisetiawan@email.com"/>
    <s v="088822974634"/>
  </r>
  <r>
    <n v="695"/>
    <x v="694"/>
    <s v="Euis Septia Ningrum"/>
    <s v="Female"/>
    <d v="1985-02-22T00:00:00"/>
    <d v="2023-07-29T00:00:00"/>
    <x v="0"/>
    <x v="0"/>
    <s v="Active"/>
    <s v="euisseptianingrum@email.com"/>
    <s v="085522835894"/>
  </r>
  <r>
    <n v="696"/>
    <x v="695"/>
    <s v="Auliatu Zahroh"/>
    <s v="Female"/>
    <d v="1985-05-14T00:00:00"/>
    <d v="2022-02-19T00:00:00"/>
    <x v="0"/>
    <x v="0"/>
    <s v="Probation"/>
    <s v="auliatuzahroh@email.com"/>
    <s v="086919187719"/>
  </r>
  <r>
    <n v="697"/>
    <x v="696"/>
    <s v="Riska Riantika"/>
    <s v="Female"/>
    <d v="1992-07-13T00:00:00"/>
    <d v="2021-09-09T00:00:00"/>
    <x v="0"/>
    <x v="0"/>
    <s v="Probation"/>
    <s v="riskariantika@email.com"/>
    <s v="086530423843"/>
  </r>
  <r>
    <n v="698"/>
    <x v="697"/>
    <s v="M Rizki Maulana"/>
    <s v="Male"/>
    <d v="1994-01-25T00:00:00"/>
    <d v="2020-01-20T00:00:00"/>
    <x v="0"/>
    <x v="0"/>
    <s v="Active"/>
    <s v="mrizkimaulana@email.com"/>
    <s v="086957774119"/>
  </r>
  <r>
    <n v="699"/>
    <x v="698"/>
    <s v="Renata Febrian"/>
    <s v="Female"/>
    <d v="1985-07-26T00:00:00"/>
    <d v="2025-07-28T00:00:00"/>
    <x v="0"/>
    <x v="0"/>
    <s v="Active"/>
    <s v="renatafebrian@email.com"/>
    <s v="082462823309"/>
  </r>
  <r>
    <n v="700"/>
    <x v="699"/>
    <s v="Mukhammad Ibrohim Akbar"/>
    <s v="Male"/>
    <d v="2001-01-24T00:00:00"/>
    <d v="2022-03-28T00:00:00"/>
    <x v="4"/>
    <x v="4"/>
    <s v="Resigned"/>
    <s v="mukhammadibrohimakbar@email.com"/>
    <s v="085227776211"/>
  </r>
  <r>
    <n v="701"/>
    <x v="700"/>
    <s v="Mohamad Arya Alhabib"/>
    <s v="Male"/>
    <d v="1994-01-02T00:00:00"/>
    <d v="2020-03-26T00:00:00"/>
    <x v="4"/>
    <x v="4"/>
    <s v="Resigned"/>
    <s v="mohamadaryaalhabib@email.com"/>
    <s v="088421446157"/>
  </r>
  <r>
    <n v="702"/>
    <x v="701"/>
    <s v="Safrina Aulia Ghiffari"/>
    <s v="Female"/>
    <d v="1997-12-02T00:00:00"/>
    <d v="2021-11-06T00:00:00"/>
    <x v="0"/>
    <x v="0"/>
    <s v="Resigned"/>
    <s v="safrinaauliaghiffari@email.com"/>
    <s v="080353758669"/>
  </r>
  <r>
    <n v="703"/>
    <x v="702"/>
    <s v="Titin Elfiani"/>
    <s v="Female"/>
    <d v="1994-01-22T00:00:00"/>
    <d v="2019-03-06T00:00:00"/>
    <x v="0"/>
    <x v="0"/>
    <s v="Probation"/>
    <s v="titinelfiani@email.com"/>
    <s v="089315859775"/>
  </r>
  <r>
    <n v="704"/>
    <x v="703"/>
    <s v="Muhammad Nur Ikhsanudin Riziq"/>
    <s v="Male"/>
    <d v="1996-11-07T00:00:00"/>
    <d v="2019-11-26T00:00:00"/>
    <x v="6"/>
    <x v="6"/>
    <s v="Resigned"/>
    <s v="muhammadnurikhsanudinriziq@email.com"/>
    <s v="086331222620"/>
  </r>
  <r>
    <n v="705"/>
    <x v="704"/>
    <s v="Andi Mulya Jaya"/>
    <s v="Male"/>
    <d v="2000-02-18T00:00:00"/>
    <d v="2024-05-05T00:00:00"/>
    <x v="0"/>
    <x v="0"/>
    <s v="Active"/>
    <s v="andimulyajaya@email.com"/>
    <s v="084873960178"/>
  </r>
  <r>
    <n v="706"/>
    <x v="705"/>
    <s v="Tanisah"/>
    <s v="Female"/>
    <d v="1992-07-07T00:00:00"/>
    <d v="2023-08-30T00:00:00"/>
    <x v="0"/>
    <x v="0"/>
    <s v="Resigned"/>
    <s v="tanisah@email.com"/>
    <s v="089792842571"/>
  </r>
  <r>
    <n v="707"/>
    <x v="706"/>
    <s v="Siti Anisyah"/>
    <s v="Female"/>
    <d v="1990-04-27T00:00:00"/>
    <d v="2024-02-11T00:00:00"/>
    <x v="0"/>
    <x v="0"/>
    <s v="Probation"/>
    <s v="sitianisyah@email.com"/>
    <s v="089756465594"/>
  </r>
  <r>
    <n v="708"/>
    <x v="707"/>
    <s v="Rinaaudyh"/>
    <s v="Female"/>
    <d v="1999-03-09T00:00:00"/>
    <d v="2018-06-13T00:00:00"/>
    <x v="0"/>
    <x v="0"/>
    <s v="Active"/>
    <s v="rinaaudyh@email.com"/>
    <s v="083365586091"/>
  </r>
  <r>
    <n v="709"/>
    <x v="708"/>
    <s v="Tati Kusmiati"/>
    <s v="Female"/>
    <d v="1996-03-04T00:00:00"/>
    <d v="2023-09-28T00:00:00"/>
    <x v="0"/>
    <x v="0"/>
    <s v="Active"/>
    <s v="tatikusmiati@email.com"/>
    <s v="084092029667"/>
  </r>
  <r>
    <n v="710"/>
    <x v="709"/>
    <s v="Evy Nur Aprilia"/>
    <s v="Female"/>
    <d v="2001-11-15T00:00:00"/>
    <d v="2019-01-04T00:00:00"/>
    <x v="0"/>
    <x v="0"/>
    <s v="Active"/>
    <s v="evynuraprilia@email.com"/>
    <s v="085971757478"/>
  </r>
  <r>
    <n v="711"/>
    <x v="710"/>
    <s v="Erlangga Primansyah"/>
    <s v="Male"/>
    <d v="1986-02-05T00:00:00"/>
    <d v="2023-06-10T00:00:00"/>
    <x v="0"/>
    <x v="0"/>
    <s v="Active"/>
    <s v="erlanggaprimansyah@email.com"/>
    <s v="082190963754"/>
  </r>
  <r>
    <n v="712"/>
    <x v="711"/>
    <s v="Andri Setiawan"/>
    <s v="Male"/>
    <d v="2001-04-24T00:00:00"/>
    <d v="2020-08-31T00:00:00"/>
    <x v="1"/>
    <x v="1"/>
    <s v="Probation"/>
    <s v="andrisetiawan@email.com"/>
    <s v="084783070179"/>
  </r>
  <r>
    <n v="713"/>
    <x v="712"/>
    <s v="Fustaatul Syaharah"/>
    <s v="Female"/>
    <d v="2000-11-04T00:00:00"/>
    <d v="2022-09-04T00:00:00"/>
    <x v="0"/>
    <x v="0"/>
    <s v="Probation"/>
    <s v="fustaatulsyaharah@email.com"/>
    <s v="084749585555"/>
  </r>
  <r>
    <n v="714"/>
    <x v="713"/>
    <s v="Salwa Oktavia"/>
    <s v="Female"/>
    <d v="1989-05-27T00:00:00"/>
    <d v="2018-05-19T00:00:00"/>
    <x v="0"/>
    <x v="0"/>
    <s v="Probation"/>
    <s v="salwaoktavia@email.com"/>
    <s v="082778782829"/>
  </r>
  <r>
    <n v="715"/>
    <x v="714"/>
    <s v="Avmi Rara Melani"/>
    <s v="Female"/>
    <d v="2003-07-21T00:00:00"/>
    <d v="2022-11-16T00:00:00"/>
    <x v="2"/>
    <x v="2"/>
    <s v="Probation"/>
    <s v="avmiraramelani@email.com"/>
    <s v="081315680926"/>
  </r>
  <r>
    <n v="716"/>
    <x v="715"/>
    <s v="Nur Fadilah"/>
    <s v="Male"/>
    <d v="2001-11-27T00:00:00"/>
    <d v="2021-11-18T00:00:00"/>
    <x v="0"/>
    <x v="0"/>
    <s v="Probation"/>
    <s v="nurfadilah@email.com"/>
    <s v="086832167419"/>
  </r>
  <r>
    <n v="717"/>
    <x v="716"/>
    <s v="Zulfi Maula Khikami"/>
    <s v="Male"/>
    <d v="1996-12-29T00:00:00"/>
    <d v="2024-01-29T00:00:00"/>
    <x v="0"/>
    <x v="0"/>
    <s v="Probation"/>
    <s v="zulfimaulakhikami@email.com"/>
    <s v="084835927447"/>
  </r>
  <r>
    <n v="718"/>
    <x v="717"/>
    <s v="Heliza Amelia"/>
    <s v="Female"/>
    <d v="1986-10-06T00:00:00"/>
    <d v="2023-10-19T00:00:00"/>
    <x v="0"/>
    <x v="0"/>
    <s v="Resigned"/>
    <s v="helizaamelia@email.com"/>
    <s v="088042535289"/>
  </r>
  <r>
    <n v="719"/>
    <x v="718"/>
    <s v="Lintang Ade Winasih"/>
    <s v="Female"/>
    <d v="1991-10-04T00:00:00"/>
    <d v="2020-07-09T00:00:00"/>
    <x v="1"/>
    <x v="1"/>
    <s v="Active"/>
    <s v="lintangadewinasih@email.com"/>
    <s v="083012940602"/>
  </r>
  <r>
    <n v="720"/>
    <x v="719"/>
    <s v="Siti Khumaeroh"/>
    <s v="Female"/>
    <d v="2002-11-12T00:00:00"/>
    <d v="2020-09-30T00:00:00"/>
    <x v="0"/>
    <x v="0"/>
    <s v="Resigned"/>
    <s v="sitikhumaeroh@email.com"/>
    <s v="088050651892"/>
  </r>
  <r>
    <n v="721"/>
    <x v="720"/>
    <s v="Andi Sumitro"/>
    <s v="Male"/>
    <d v="1999-01-25T00:00:00"/>
    <d v="2019-12-05T00:00:00"/>
    <x v="4"/>
    <x v="4"/>
    <s v="Active"/>
    <s v="andisumitro@email.com"/>
    <s v="087636128953"/>
  </r>
  <r>
    <n v="722"/>
    <x v="721"/>
    <s v="Liyanti Widi Astuti"/>
    <s v="Female"/>
    <d v="1993-08-16T00:00:00"/>
    <d v="2025-06-26T00:00:00"/>
    <x v="0"/>
    <x v="0"/>
    <s v="Active"/>
    <s v="liyantiwidiastuti@email.com"/>
    <s v="086502937151"/>
  </r>
  <r>
    <n v="723"/>
    <x v="722"/>
    <s v="Dio Nurois"/>
    <s v="Male"/>
    <d v="1991-01-18T00:00:00"/>
    <d v="2021-05-09T00:00:00"/>
    <x v="4"/>
    <x v="4"/>
    <s v="Resigned"/>
    <s v="dionurois@email.com"/>
    <s v="086610582139"/>
  </r>
  <r>
    <n v="724"/>
    <x v="723"/>
    <s v="Indri Lestari"/>
    <s v="Female"/>
    <d v="1998-04-17T00:00:00"/>
    <d v="2018-07-17T00:00:00"/>
    <x v="0"/>
    <x v="0"/>
    <s v="Resigned"/>
    <s v="indrilestari@email.com"/>
    <s v="081427575438"/>
  </r>
  <r>
    <n v="725"/>
    <x v="724"/>
    <s v="Fariz Maulana"/>
    <s v="Male"/>
    <d v="1990-06-21T00:00:00"/>
    <d v="2020-03-26T00:00:00"/>
    <x v="4"/>
    <x v="4"/>
    <s v="Resigned"/>
    <s v="farizmaulana@email.com"/>
    <s v="082161621810"/>
  </r>
  <r>
    <n v="726"/>
    <x v="725"/>
    <s v="Juwita Amelia"/>
    <s v="Female"/>
    <d v="1989-02-08T00:00:00"/>
    <d v="2021-02-20T00:00:00"/>
    <x v="0"/>
    <x v="0"/>
    <s v="Active"/>
    <s v="juwitaamelia@email.com"/>
    <s v="086393922836"/>
  </r>
  <r>
    <n v="727"/>
    <x v="726"/>
    <s v="Fadli Hakim"/>
    <s v="Male"/>
    <d v="1988-02-02T00:00:00"/>
    <d v="2018-01-16T00:00:00"/>
    <x v="5"/>
    <x v="5"/>
    <s v="Active"/>
    <s v="fadlihakim@email.com"/>
    <s v="081734786785"/>
  </r>
  <r>
    <n v="728"/>
    <x v="727"/>
    <s v="Salsabilla Nur Aurora"/>
    <s v="Female"/>
    <d v="1992-12-31T00:00:00"/>
    <d v="2019-04-02T00:00:00"/>
    <x v="0"/>
    <x v="0"/>
    <s v="Probation"/>
    <s v="salsabillanuraurora@email.com"/>
    <s v="085914240299"/>
  </r>
  <r>
    <n v="729"/>
    <x v="728"/>
    <s v="Muhamad Ali Rohidin"/>
    <s v="Male"/>
    <d v="1992-10-15T00:00:00"/>
    <d v="2025-05-04T00:00:00"/>
    <x v="5"/>
    <x v="5"/>
    <s v="Probation"/>
    <s v="muhamadalirohidin@email.com"/>
    <s v="088330708706"/>
  </r>
  <r>
    <n v="730"/>
    <x v="729"/>
    <s v="Riskhon Kholikul Faizin"/>
    <s v="Male"/>
    <d v="1986-11-13T00:00:00"/>
    <d v="2022-01-15T00:00:00"/>
    <x v="0"/>
    <x v="0"/>
    <s v="Active"/>
    <s v="riskhonkholikulfaizin@email.com"/>
    <s v="086399295852"/>
  </r>
  <r>
    <n v="731"/>
    <x v="730"/>
    <s v="Puji Lestari"/>
    <s v="Female"/>
    <d v="1987-05-28T00:00:00"/>
    <d v="2019-08-01T00:00:00"/>
    <x v="0"/>
    <x v="0"/>
    <s v="Resigned"/>
    <s v="pujilestari@email.com"/>
    <s v="085069583115"/>
  </r>
  <r>
    <n v="732"/>
    <x v="731"/>
    <s v="Ikhda Masruroh"/>
    <s v="Female"/>
    <d v="1997-07-14T00:00:00"/>
    <d v="2022-02-03T00:00:00"/>
    <x v="0"/>
    <x v="0"/>
    <s v="Active"/>
    <s v="ikhdamasruroh@email.com"/>
    <s v="089768668673"/>
  </r>
  <r>
    <n v="733"/>
    <x v="732"/>
    <s v="Eka Dwi Purwanti"/>
    <s v="Female"/>
    <d v="2002-11-14T00:00:00"/>
    <d v="2024-02-27T00:00:00"/>
    <x v="0"/>
    <x v="0"/>
    <s v="Active"/>
    <s v="ekadwipurwanti@email.com"/>
    <s v="082972304350"/>
  </r>
  <r>
    <n v="734"/>
    <x v="733"/>
    <s v="Suswati"/>
    <s v="Female"/>
    <d v="1990-06-23T00:00:00"/>
    <d v="2022-05-13T00:00:00"/>
    <x v="0"/>
    <x v="0"/>
    <s v="Probation"/>
    <s v="suswati@email.com"/>
    <s v="083831431288"/>
  </r>
  <r>
    <n v="735"/>
    <x v="734"/>
    <s v="Meisya Naswa Afiyah"/>
    <s v="Female"/>
    <d v="1989-01-31T00:00:00"/>
    <d v="2020-10-03T00:00:00"/>
    <x v="2"/>
    <x v="2"/>
    <s v="Probation"/>
    <s v="meisyanaswaafiyah@email.com"/>
    <s v="085692847875"/>
  </r>
  <r>
    <n v="736"/>
    <x v="735"/>
    <s v="Aqila Maulidia Sauzan"/>
    <s v="Female"/>
    <d v="1985-09-11T00:00:00"/>
    <d v="2020-12-12T00:00:00"/>
    <x v="0"/>
    <x v="0"/>
    <s v="Probation"/>
    <s v="aqilamaulidiasauzan@email.com"/>
    <s v="083111946356"/>
  </r>
  <r>
    <n v="737"/>
    <x v="736"/>
    <s v="Muhammad Raihan Bintang Pratama"/>
    <s v="Male"/>
    <d v="2001-01-18T00:00:00"/>
    <d v="2020-12-24T00:00:00"/>
    <x v="6"/>
    <x v="6"/>
    <s v="Resigned"/>
    <s v="muhammadraihanbintangpratama@email.com"/>
    <s v="088231997414"/>
  </r>
  <r>
    <n v="738"/>
    <x v="737"/>
    <s v="Junaidi"/>
    <s v="Male"/>
    <d v="1993-12-02T00:00:00"/>
    <d v="2018-08-26T00:00:00"/>
    <x v="0"/>
    <x v="0"/>
    <s v="Probation"/>
    <s v="junaidi@email.com"/>
    <s v="0830528658"/>
  </r>
  <r>
    <n v="739"/>
    <x v="738"/>
    <s v="Angga"/>
    <s v="Male"/>
    <d v="2001-01-25T00:00:00"/>
    <d v="2025-01-18T00:00:00"/>
    <x v="4"/>
    <x v="4"/>
    <s v="Active"/>
    <s v="angga@email.com"/>
    <s v="080155839865"/>
  </r>
  <r>
    <n v="740"/>
    <x v="739"/>
    <s v="Tamara Amalia"/>
    <s v="Female"/>
    <d v="1989-04-07T00:00:00"/>
    <d v="2023-05-23T00:00:00"/>
    <x v="0"/>
    <x v="0"/>
    <s v="Probation"/>
    <s v="tamaraamalia@email.com"/>
    <s v="081263935211"/>
  </r>
  <r>
    <n v="741"/>
    <x v="740"/>
    <s v="Sulton Fadilah"/>
    <s v="Male"/>
    <d v="1999-03-06T00:00:00"/>
    <d v="2020-12-31T00:00:00"/>
    <x v="5"/>
    <x v="5"/>
    <s v="Active"/>
    <s v="sultonfadilah@email.com"/>
    <s v="085707950094"/>
  </r>
  <r>
    <n v="742"/>
    <x v="741"/>
    <s v="Akhmad Umar Rizki"/>
    <s v="Male"/>
    <d v="2002-10-18T00:00:00"/>
    <d v="2019-11-30T00:00:00"/>
    <x v="4"/>
    <x v="4"/>
    <s v="Active"/>
    <s v="akhmadumarrizki@email.com"/>
    <s v="083799900612"/>
  </r>
  <r>
    <n v="743"/>
    <x v="742"/>
    <s v="Khoerul Anwar"/>
    <s v="Male"/>
    <d v="1994-02-09T00:00:00"/>
    <d v="2020-09-16T00:00:00"/>
    <x v="0"/>
    <x v="0"/>
    <s v="Active"/>
    <s v="khoerulanwar@email.com"/>
    <s v="089175443271"/>
  </r>
  <r>
    <n v="744"/>
    <x v="743"/>
    <s v="Syahrul Rahmat"/>
    <s v="Male"/>
    <d v="2000-09-26T00:00:00"/>
    <d v="2019-01-08T00:00:00"/>
    <x v="5"/>
    <x v="5"/>
    <s v="Active"/>
    <s v="syahrulrahmat@email.com"/>
    <s v="083776181949"/>
  </r>
  <r>
    <n v="745"/>
    <x v="744"/>
    <s v="Abdul Rozak"/>
    <s v="Male"/>
    <d v="2001-03-03T00:00:00"/>
    <d v="2025-02-04T00:00:00"/>
    <x v="6"/>
    <x v="6"/>
    <s v="Resigned"/>
    <s v="abdulrozak@email.com"/>
    <s v="086937607001"/>
  </r>
  <r>
    <n v="746"/>
    <x v="745"/>
    <s v="Delvin Bagus Setiawan"/>
    <s v="Male"/>
    <d v="1988-12-12T00:00:00"/>
    <d v="2022-03-24T00:00:00"/>
    <x v="4"/>
    <x v="4"/>
    <s v="Resigned"/>
    <s v="delvinbagussetiawan@email.com"/>
    <s v="080611655455"/>
  </r>
  <r>
    <n v="747"/>
    <x v="746"/>
    <s v="Santika"/>
    <s v="Female"/>
    <d v="1994-02-16T00:00:00"/>
    <d v="2019-02-13T00:00:00"/>
    <x v="0"/>
    <x v="0"/>
    <s v="Active"/>
    <s v="santika@email.com"/>
    <s v="084341468404"/>
  </r>
  <r>
    <n v="748"/>
    <x v="747"/>
    <s v="Ujang Sopian"/>
    <s v="Male"/>
    <d v="1998-01-24T00:00:00"/>
    <d v="2023-03-02T00:00:00"/>
    <x v="0"/>
    <x v="0"/>
    <s v="Probation"/>
    <s v="ujangsopian@email.com"/>
    <s v="089445063072"/>
  </r>
  <r>
    <n v="749"/>
    <x v="748"/>
    <s v="Irtakhal Aniqoh"/>
    <s v="Female"/>
    <d v="1996-08-19T00:00:00"/>
    <d v="2024-08-20T00:00:00"/>
    <x v="0"/>
    <x v="0"/>
    <s v="Active"/>
    <s v="irtakhalaniqoh@email.com"/>
    <s v="082366461020"/>
  </r>
  <r>
    <n v="750"/>
    <x v="749"/>
    <s v="Khafidurrofiq"/>
    <s v="Male"/>
    <d v="1986-05-25T00:00:00"/>
    <d v="2021-10-22T00:00:00"/>
    <x v="5"/>
    <x v="5"/>
    <s v="Resigned"/>
    <s v="khafidurrofiq@email.com"/>
    <s v="0882198863"/>
  </r>
  <r>
    <n v="751"/>
    <x v="750"/>
    <s v="Siti Nurfadillah"/>
    <s v="Female"/>
    <d v="2001-06-02T00:00:00"/>
    <d v="2024-03-13T00:00:00"/>
    <x v="0"/>
    <x v="0"/>
    <s v="Probation"/>
    <s v="sitinurfadillah@email.com"/>
    <s v="087387319886"/>
  </r>
  <r>
    <n v="752"/>
    <x v="751"/>
    <s v="Caroline Agustina"/>
    <s v="Female"/>
    <d v="1985-12-08T00:00:00"/>
    <d v="2021-12-11T00:00:00"/>
    <x v="0"/>
    <x v="0"/>
    <s v="Resigned"/>
    <s v="carolineagustina@email.com"/>
    <s v="082295799759"/>
  </r>
  <r>
    <n v="753"/>
    <x v="752"/>
    <s v="Ilham Amarulloh"/>
    <s v="Male"/>
    <d v="2001-07-18T00:00:00"/>
    <d v="2022-07-12T00:00:00"/>
    <x v="5"/>
    <x v="5"/>
    <s v="Active"/>
    <s v="ilhamamarulloh@email.com"/>
    <s v="081286734415"/>
  </r>
  <r>
    <n v="754"/>
    <x v="753"/>
    <s v="Serra Kirana Septriacha"/>
    <s v="Female"/>
    <d v="1996-12-05T00:00:00"/>
    <d v="2024-06-23T00:00:00"/>
    <x v="0"/>
    <x v="0"/>
    <s v="Resigned"/>
    <s v="serrakiranaseptriacha@email.com"/>
    <s v="083693091122"/>
  </r>
  <r>
    <n v="755"/>
    <x v="754"/>
    <s v="Syifa Ayu Nabila"/>
    <s v="Female"/>
    <d v="1989-06-20T00:00:00"/>
    <d v="2018-05-18T00:00:00"/>
    <x v="0"/>
    <x v="0"/>
    <s v="Active"/>
    <s v="syifaayunabila@email.com"/>
    <s v="089711459795"/>
  </r>
  <r>
    <n v="756"/>
    <x v="755"/>
    <s v="Husnah"/>
    <s v="Female"/>
    <d v="1986-10-28T00:00:00"/>
    <d v="2019-07-14T00:00:00"/>
    <x v="1"/>
    <x v="1"/>
    <s v="Probation"/>
    <s v="husnah@email.com"/>
    <s v="082142633724"/>
  </r>
  <r>
    <n v="757"/>
    <x v="756"/>
    <s v="Isti Farulhawa"/>
    <s v="Female"/>
    <d v="1986-09-10T00:00:00"/>
    <d v="2021-11-06T00:00:00"/>
    <x v="0"/>
    <x v="0"/>
    <s v="Active"/>
    <s v="istifarulhawa@email.com"/>
    <s v="089756465595"/>
  </r>
  <r>
    <n v="758"/>
    <x v="757"/>
    <s v="Muhammad Farid Faturrahman"/>
    <s v="Male"/>
    <d v="1985-04-15T00:00:00"/>
    <d v="2025-06-03T00:00:00"/>
    <x v="6"/>
    <x v="6"/>
    <s v="Resigned"/>
    <s v="muhammadfaridfaturrahman@email.com"/>
    <s v="085872131135"/>
  </r>
  <r>
    <n v="759"/>
    <x v="758"/>
    <s v="Fadia Nur Amalia"/>
    <s v="Female"/>
    <d v="2002-12-20T00:00:00"/>
    <d v="2019-11-03T00:00:00"/>
    <x v="0"/>
    <x v="0"/>
    <s v="Resigned"/>
    <s v="fadianuramalia@email.com"/>
    <s v="086627119509"/>
  </r>
  <r>
    <n v="760"/>
    <x v="759"/>
    <s v="Desi Ratnasari"/>
    <s v="Female"/>
    <d v="1992-07-08T00:00:00"/>
    <d v="2020-11-20T00:00:00"/>
    <x v="0"/>
    <x v="0"/>
    <s v="Active"/>
    <s v="desiratnasari@email.com"/>
    <s v="087518958393"/>
  </r>
  <r>
    <n v="761"/>
    <x v="760"/>
    <s v="Tri Windarti Rahayu"/>
    <s v="Female"/>
    <d v="1994-07-06T00:00:00"/>
    <d v="2023-03-22T00:00:00"/>
    <x v="0"/>
    <x v="0"/>
    <s v="Active"/>
    <s v="triwindartirahayu@email.com"/>
    <s v="0847846979"/>
  </r>
  <r>
    <n v="762"/>
    <x v="761"/>
    <s v="Nabila Khoerunisa"/>
    <s v="Female"/>
    <d v="2003-01-01T00:00:00"/>
    <d v="2024-05-05T00:00:00"/>
    <x v="2"/>
    <x v="2"/>
    <s v="Probation"/>
    <s v="nabilakhoerunisa@email.com"/>
    <s v="080603111419"/>
  </r>
  <r>
    <n v="763"/>
    <x v="762"/>
    <s v="Decky Putra Aprilliany"/>
    <s v="Male"/>
    <d v="1988-04-08T00:00:00"/>
    <d v="2025-02-05T00:00:00"/>
    <x v="4"/>
    <x v="4"/>
    <s v="Resigned"/>
    <s v="deckyputraaprilliany@email.com"/>
    <s v="081151079228"/>
  </r>
  <r>
    <n v="764"/>
    <x v="763"/>
    <s v="Ahmad Waluyo"/>
    <s v="Male"/>
    <d v="2001-12-21T00:00:00"/>
    <d v="2021-07-26T00:00:00"/>
    <x v="0"/>
    <x v="0"/>
    <s v="Active"/>
    <s v="ahmadwaluyo@email.com"/>
    <s v="083967607331"/>
  </r>
  <r>
    <n v="765"/>
    <x v="764"/>
    <s v="Muhammad Sigit Aliq Saputra"/>
    <s v="Male"/>
    <d v="1997-03-26T00:00:00"/>
    <d v="2018-03-16T00:00:00"/>
    <x v="0"/>
    <x v="0"/>
    <s v="Active"/>
    <s v="muhammadsigitaliqsaputra@email.com"/>
    <s v="081518712465"/>
  </r>
  <r>
    <n v="766"/>
    <x v="765"/>
    <s v="Asa Niatun Nur Afifa"/>
    <s v="Female"/>
    <d v="1990-12-27T00:00:00"/>
    <d v="2018-09-20T00:00:00"/>
    <x v="0"/>
    <x v="0"/>
    <s v="Active"/>
    <s v="asaniatunnurafifa@email.com"/>
    <s v="089426330358"/>
  </r>
  <r>
    <n v="767"/>
    <x v="766"/>
    <s v="Diva Puja Yanti"/>
    <s v="Female"/>
    <d v="1996-09-15T00:00:00"/>
    <d v="2024-05-09T00:00:00"/>
    <x v="0"/>
    <x v="0"/>
    <s v="Active"/>
    <s v="divapujayanti@email.com"/>
    <s v="080189204227"/>
  </r>
  <r>
    <n v="768"/>
    <x v="767"/>
    <s v="Luthfian Akmaldhani Sumartono"/>
    <s v="Male"/>
    <d v="1988-07-08T00:00:00"/>
    <d v="2020-01-21T00:00:00"/>
    <x v="0"/>
    <x v="0"/>
    <s v="Active"/>
    <s v="luthfianakmaldhanisumartono@email.com"/>
    <s v="085871673551"/>
  </r>
  <r>
    <n v="769"/>
    <x v="768"/>
    <s v="Masayu"/>
    <s v="Female"/>
    <d v="1992-05-08T00:00:00"/>
    <d v="2025-07-03T00:00:00"/>
    <x v="0"/>
    <x v="0"/>
    <s v="Probation"/>
    <s v="masayu@email.com"/>
    <s v="084401045040"/>
  </r>
  <r>
    <n v="770"/>
    <x v="769"/>
    <s v="Okta Nur Rohmah"/>
    <s v="Female"/>
    <d v="1992-12-04T00:00:00"/>
    <d v="2020-03-27T00:00:00"/>
    <x v="0"/>
    <x v="0"/>
    <s v="Active"/>
    <s v="oktanurrohmah@email.com"/>
    <s v="087363770041"/>
  </r>
  <r>
    <n v="771"/>
    <x v="770"/>
    <s v="Umroh Atun"/>
    <s v="Female"/>
    <d v="1985-12-26T00:00:00"/>
    <d v="2019-04-08T00:00:00"/>
    <x v="0"/>
    <x v="0"/>
    <s v="Active"/>
    <s v="umrohatun@email.com"/>
    <s v="083765215375"/>
  </r>
  <r>
    <n v="772"/>
    <x v="771"/>
    <s v="Lilis Riyanti"/>
    <s v="Female"/>
    <d v="1991-06-01T00:00:00"/>
    <d v="2024-01-23T00:00:00"/>
    <x v="0"/>
    <x v="0"/>
    <s v="Active"/>
    <s v="lilisriyanti@email.com"/>
    <s v="089756465596"/>
  </r>
  <r>
    <n v="773"/>
    <x v="772"/>
    <s v="Wigi Hendrian M"/>
    <s v="Male"/>
    <d v="2002-08-12T00:00:00"/>
    <d v="2024-04-03T00:00:00"/>
    <x v="4"/>
    <x v="4"/>
    <s v="Active"/>
    <s v="wigihendrianm@email.com"/>
    <s v="085924162695"/>
  </r>
  <r>
    <n v="774"/>
    <x v="773"/>
    <s v="Iffana Kholisoh"/>
    <s v="Female"/>
    <d v="1985-08-26T00:00:00"/>
    <d v="2023-11-15T00:00:00"/>
    <x v="0"/>
    <x v="0"/>
    <s v="Active"/>
    <s v="iffanakholisoh@email.com"/>
    <s v="086611669756"/>
  </r>
  <r>
    <n v="775"/>
    <x v="774"/>
    <s v="Ananda Riyadi"/>
    <s v="Female"/>
    <d v="2002-12-29T00:00:00"/>
    <d v="2022-10-17T00:00:00"/>
    <x v="0"/>
    <x v="0"/>
    <s v="Resigned"/>
    <s v="anandariyadi@email.com"/>
    <s v="083150606102"/>
  </r>
  <r>
    <n v="776"/>
    <x v="775"/>
    <s v="Syaeful Nurhasan Koharudin"/>
    <s v="Male"/>
    <d v="1989-08-14T00:00:00"/>
    <d v="2023-04-20T00:00:00"/>
    <x v="6"/>
    <x v="6"/>
    <s v="Resigned"/>
    <s v="syaefulnurhasankoharudin@email.com"/>
    <s v="086285927375"/>
  </r>
  <r>
    <n v="777"/>
    <x v="776"/>
    <s v="Teddi Maulana"/>
    <s v="Male"/>
    <d v="1996-11-12T00:00:00"/>
    <d v="2020-02-23T00:00:00"/>
    <x v="5"/>
    <x v="5"/>
    <s v="Active"/>
    <s v="teddimaulana@email.com"/>
    <s v="081392372510"/>
  </r>
  <r>
    <n v="778"/>
    <x v="777"/>
    <s v="Anisah"/>
    <s v="Female"/>
    <d v="1993-08-23T00:00:00"/>
    <d v="2025-05-31T00:00:00"/>
    <x v="0"/>
    <x v="0"/>
    <s v="Resigned"/>
    <s v="anisah@email.com"/>
    <s v="088784291518"/>
  </r>
  <r>
    <n v="779"/>
    <x v="778"/>
    <s v="Pande Made Vikky Gunadarma"/>
    <s v="Male"/>
    <d v="1989-07-02T00:00:00"/>
    <d v="2019-12-25T00:00:00"/>
    <x v="5"/>
    <x v="5"/>
    <s v="Active"/>
    <s v="pandemadevikkygunadarma@email.com"/>
    <s v="088641721445"/>
  </r>
  <r>
    <n v="780"/>
    <x v="779"/>
    <s v="Viola Adynata"/>
    <s v="Female"/>
    <d v="2003-01-23T00:00:00"/>
    <d v="2022-09-28T00:00:00"/>
    <x v="0"/>
    <x v="0"/>
    <s v="Probation"/>
    <s v="violaadynata@email.com"/>
    <s v="086842366223"/>
  </r>
  <r>
    <n v="781"/>
    <x v="780"/>
    <s v="Tian Luki Prasetia"/>
    <s v="Female"/>
    <d v="1996-06-10T00:00:00"/>
    <d v="2022-01-29T00:00:00"/>
    <x v="0"/>
    <x v="0"/>
    <s v="Active"/>
    <s v="tianlukiprasetia@email.com"/>
    <s v="087546433572"/>
  </r>
  <r>
    <n v="782"/>
    <x v="781"/>
    <s v="Sri Hayati"/>
    <s v="Female"/>
    <d v="2000-02-16T00:00:00"/>
    <d v="2019-09-12T00:00:00"/>
    <x v="1"/>
    <x v="1"/>
    <s v="Active"/>
    <s v="srihayati@email.com"/>
    <s v="088243795283"/>
  </r>
  <r>
    <n v="783"/>
    <x v="782"/>
    <s v="Syahrul Miftakhoeri Amrilla H"/>
    <s v="Male"/>
    <d v="1994-12-14T00:00:00"/>
    <d v="2021-10-18T00:00:00"/>
    <x v="0"/>
    <x v="0"/>
    <s v="Active"/>
    <s v="syahrulmiftakhoeriamrillah@email.com"/>
    <s v="089756465597"/>
  </r>
  <r>
    <n v="784"/>
    <x v="783"/>
    <s v="Satria Mukhlis"/>
    <s v="Male"/>
    <d v="2001-10-19T00:00:00"/>
    <d v="2025-08-11T00:00:00"/>
    <x v="5"/>
    <x v="5"/>
    <s v="Probation"/>
    <s v="satriamukhlis@email.com"/>
    <s v="087789538097"/>
  </r>
  <r>
    <n v="785"/>
    <x v="784"/>
    <s v="Lulu Nurafiyah"/>
    <s v="Female"/>
    <d v="2001-06-10T00:00:00"/>
    <d v="2021-09-01T00:00:00"/>
    <x v="0"/>
    <x v="0"/>
    <s v="Active"/>
    <s v="lulunurafiyah@email.com"/>
    <s v="089831631973"/>
  </r>
  <r>
    <n v="786"/>
    <x v="785"/>
    <s v="Nurul Khasanah"/>
    <s v="Female"/>
    <d v="1992-03-15T00:00:00"/>
    <d v="2018-01-07T00:00:00"/>
    <x v="1"/>
    <x v="1"/>
    <s v="Active"/>
    <s v="nurulkhasanah@email.com"/>
    <s v="082196413954"/>
  </r>
  <r>
    <n v="787"/>
    <x v="786"/>
    <s v="Winda Umi Setiyani"/>
    <s v="Female"/>
    <d v="1995-09-27T00:00:00"/>
    <d v="2024-01-30T00:00:00"/>
    <x v="0"/>
    <x v="0"/>
    <s v="Active"/>
    <s v="windaumisetiyani@email.com"/>
    <s v="087090652115"/>
  </r>
  <r>
    <n v="788"/>
    <x v="787"/>
    <s v="Tedi Priyatno"/>
    <s v="Male"/>
    <d v="1987-10-21T00:00:00"/>
    <d v="2023-07-06T00:00:00"/>
    <x v="4"/>
    <x v="4"/>
    <s v="Active"/>
    <s v="tedipriyatno@email.com"/>
    <s v="084491423037"/>
  </r>
  <r>
    <n v="789"/>
    <x v="788"/>
    <s v="Abu Hasan"/>
    <s v="Male"/>
    <d v="2003-10-27T00:00:00"/>
    <d v="2024-01-25T00:00:00"/>
    <x v="0"/>
    <x v="0"/>
    <s v="Active"/>
    <s v="abuhasan@email.com"/>
    <s v="083668972205"/>
  </r>
  <r>
    <n v="790"/>
    <x v="789"/>
    <s v="Wafir Faiz"/>
    <s v="Male"/>
    <d v="1991-11-11T00:00:00"/>
    <d v="2019-05-10T00:00:00"/>
    <x v="0"/>
    <x v="0"/>
    <s v="Active"/>
    <s v="wafirfaiz@email.com"/>
    <s v="084535635192"/>
  </r>
  <r>
    <n v="791"/>
    <x v="790"/>
    <s v="Moh Farhanudin"/>
    <s v="Male"/>
    <d v="2000-10-25T00:00:00"/>
    <d v="2023-09-05T00:00:00"/>
    <x v="4"/>
    <x v="4"/>
    <s v="Resigned"/>
    <s v="mohfarhanudin@email.com"/>
    <s v="080641714767"/>
  </r>
  <r>
    <n v="792"/>
    <x v="791"/>
    <s v="Irna Rosita"/>
    <s v="Female"/>
    <d v="1993-09-23T00:00:00"/>
    <d v="2021-11-18T00:00:00"/>
    <x v="1"/>
    <x v="1"/>
    <s v="Active"/>
    <s v="irnarosita@email.com"/>
    <s v="082837715585"/>
  </r>
  <r>
    <n v="793"/>
    <x v="792"/>
    <s v="Dian Ayu Khoirunnisa"/>
    <s v="Female"/>
    <d v="2002-10-10T00:00:00"/>
    <d v="2019-05-07T00:00:00"/>
    <x v="0"/>
    <x v="0"/>
    <s v="Probation"/>
    <s v="dianayukhoirunnisa@email.com"/>
    <s v="080005924241"/>
  </r>
  <r>
    <n v="794"/>
    <x v="793"/>
    <s v="Ade Santi Ismawati"/>
    <s v="Female"/>
    <d v="1985-09-16T00:00:00"/>
    <d v="2023-05-10T00:00:00"/>
    <x v="0"/>
    <x v="0"/>
    <s v="Resigned"/>
    <s v="adesantiismawati@email.com"/>
    <s v="081679253988"/>
  </r>
  <r>
    <n v="795"/>
    <x v="794"/>
    <s v="Indah Nurul Aeni"/>
    <s v="Female"/>
    <d v="1990-07-23T00:00:00"/>
    <d v="2022-05-02T00:00:00"/>
    <x v="0"/>
    <x v="0"/>
    <s v="Active"/>
    <s v="indahnurulaeni@email.com"/>
    <s v="082859719126"/>
  </r>
  <r>
    <n v="796"/>
    <x v="795"/>
    <s v="Naelatus Saadah"/>
    <s v="Female"/>
    <d v="1989-02-03T00:00:00"/>
    <d v="2020-02-07T00:00:00"/>
    <x v="0"/>
    <x v="0"/>
    <s v="Active"/>
    <s v="naelatussaadah@email.com"/>
    <s v="082258816413"/>
  </r>
  <r>
    <n v="797"/>
    <x v="796"/>
    <s v="Winda Wulandari"/>
    <s v="Female"/>
    <d v="1994-08-11T00:00:00"/>
    <d v="2021-10-12T00:00:00"/>
    <x v="0"/>
    <x v="0"/>
    <s v="Active"/>
    <s v="windawulandari@email.com"/>
    <s v="0835867825"/>
  </r>
  <r>
    <n v="798"/>
    <x v="797"/>
    <s v="Anis Fitri"/>
    <s v="Female"/>
    <d v="2002-07-01T00:00:00"/>
    <d v="2018-10-20T00:00:00"/>
    <x v="0"/>
    <x v="0"/>
    <s v="Probation"/>
    <s v="anisfitri@email.com"/>
    <s v="080335624841"/>
  </r>
  <r>
    <n v="799"/>
    <x v="798"/>
    <s v="Guntur Eka Yusuf"/>
    <s v="Male"/>
    <d v="2001-07-19T00:00:00"/>
    <d v="2023-03-20T00:00:00"/>
    <x v="0"/>
    <x v="0"/>
    <s v="Active"/>
    <s v="gunturekayusuf@email.com"/>
    <s v="081253284127"/>
  </r>
  <r>
    <n v="800"/>
    <x v="799"/>
    <s v="Windi Safitri"/>
    <s v="Female"/>
    <d v="1989-08-26T00:00:00"/>
    <d v="2020-01-08T00:00:00"/>
    <x v="0"/>
    <x v="0"/>
    <s v="Probation"/>
    <s v="windisafitri@email.com"/>
    <s v="089252887013"/>
  </r>
  <r>
    <n v="801"/>
    <x v="800"/>
    <s v="Ismaul Khusna Aenur"/>
    <s v="Female"/>
    <d v="1997-06-03T00:00:00"/>
    <d v="2025-08-07T00:00:00"/>
    <x v="1"/>
    <x v="1"/>
    <s v="Resigned"/>
    <s v="ismaulkhusnaaenur@email.com"/>
    <s v="087224630843"/>
  </r>
  <r>
    <n v="802"/>
    <x v="801"/>
    <s v="Revi Tri Yuliana"/>
    <s v="Female"/>
    <d v="2000-09-21T00:00:00"/>
    <d v="2018-11-25T00:00:00"/>
    <x v="1"/>
    <x v="1"/>
    <s v="Active"/>
    <s v="revitriyuliana@email.com"/>
    <s v="086654855544"/>
  </r>
  <r>
    <n v="803"/>
    <x v="802"/>
    <s v="Indah Lestari"/>
    <s v="Female"/>
    <d v="2003-02-21T00:00:00"/>
    <d v="2022-09-24T00:00:00"/>
    <x v="0"/>
    <x v="0"/>
    <s v="Resigned"/>
    <s v="indahlestari@email.com"/>
    <s v="082672744945"/>
  </r>
  <r>
    <n v="804"/>
    <x v="803"/>
    <s v="Khusnul Khotimah"/>
    <s v="Female"/>
    <d v="1999-04-25T00:00:00"/>
    <d v="2019-01-24T00:00:00"/>
    <x v="0"/>
    <x v="0"/>
    <s v="Active"/>
    <s v="khusnulkhotimah@email.com"/>
    <s v="086355770262"/>
  </r>
  <r>
    <n v="805"/>
    <x v="804"/>
    <s v="Sundari Muarifah"/>
    <s v="Female"/>
    <d v="1999-09-18T00:00:00"/>
    <d v="2025-06-18T00:00:00"/>
    <x v="0"/>
    <x v="0"/>
    <s v="Active"/>
    <s v="sundarimuarifah@email.com"/>
    <s v="088440791021"/>
  </r>
  <r>
    <n v="806"/>
    <x v="805"/>
    <s v="Salma Karima Pranata"/>
    <s v="Female"/>
    <d v="1993-05-22T00:00:00"/>
    <d v="2020-05-06T00:00:00"/>
    <x v="0"/>
    <x v="0"/>
    <s v="Active"/>
    <s v="salmakarimapranata@email.com"/>
    <s v="082499611384"/>
  </r>
  <r>
    <n v="807"/>
    <x v="806"/>
    <s v="Nizar Puspita Permata Abdi"/>
    <s v="Female"/>
    <d v="1985-09-20T00:00:00"/>
    <d v="2018-03-24T00:00:00"/>
    <x v="0"/>
    <x v="0"/>
    <s v="Active"/>
    <s v="nizarpuspitapermataabdi@email.com"/>
    <s v="081557217253"/>
  </r>
  <r>
    <n v="808"/>
    <x v="807"/>
    <s v="Wulandari"/>
    <s v="Female"/>
    <d v="1999-08-28T00:00:00"/>
    <d v="2020-11-15T00:00:00"/>
    <x v="0"/>
    <x v="0"/>
    <s v="Active"/>
    <s v="wulandari@email.com"/>
    <s v="084212761517"/>
  </r>
  <r>
    <n v="809"/>
    <x v="808"/>
    <s v="Achmad Muchkroni"/>
    <s v="Female"/>
    <d v="1998-08-31T00:00:00"/>
    <d v="2021-06-10T00:00:00"/>
    <x v="0"/>
    <x v="0"/>
    <s v="Active"/>
    <s v="achmadmuchkroni@email.com"/>
    <s v="086090414168"/>
  </r>
  <r>
    <n v="810"/>
    <x v="809"/>
    <s v="Ali Sodikin"/>
    <s v="Male"/>
    <d v="1992-04-16T00:00:00"/>
    <d v="2023-01-24T00:00:00"/>
    <x v="5"/>
    <x v="5"/>
    <s v="Active"/>
    <s v="alisodikin@email.com"/>
    <s v="080707845649"/>
  </r>
  <r>
    <n v="811"/>
    <x v="810"/>
    <s v="Miah Karmelia"/>
    <s v="Female"/>
    <d v="2000-08-07T00:00:00"/>
    <d v="2024-09-23T00:00:00"/>
    <x v="0"/>
    <x v="0"/>
    <s v="Probation"/>
    <s v="miahkarmelia@email.com"/>
    <s v="081195139025"/>
  </r>
  <r>
    <n v="812"/>
    <x v="811"/>
    <s v="Abdul Imam Maolana"/>
    <s v="Male"/>
    <d v="1991-05-24T00:00:00"/>
    <d v="2019-01-10T00:00:00"/>
    <x v="4"/>
    <x v="4"/>
    <s v="Active"/>
    <s v="abdulimammaolana@email.com"/>
    <s v="086825679003"/>
  </r>
  <r>
    <n v="813"/>
    <x v="812"/>
    <s v="Siska Nurmila Diah"/>
    <s v="Female"/>
    <d v="1996-07-19T00:00:00"/>
    <d v="2018-09-01T00:00:00"/>
    <x v="0"/>
    <x v="0"/>
    <s v="Active"/>
    <s v="siskanurmiladiah@email.com"/>
    <s v="086171846983"/>
  </r>
  <r>
    <n v="814"/>
    <x v="813"/>
    <s v="Depti Rosinta Wati"/>
    <s v="Female"/>
    <d v="1991-07-04T00:00:00"/>
    <d v="2020-02-25T00:00:00"/>
    <x v="0"/>
    <x v="0"/>
    <s v="Active"/>
    <s v="deptirosintawati@email.com"/>
    <s v="086780954050"/>
  </r>
  <r>
    <n v="815"/>
    <x v="814"/>
    <s v="Asep Usman"/>
    <s v="Male"/>
    <d v="1994-06-10T00:00:00"/>
    <d v="2025-02-27T00:00:00"/>
    <x v="0"/>
    <x v="0"/>
    <s v="Active"/>
    <s v="asepusman@email.com"/>
    <s v="081660861609"/>
  </r>
  <r>
    <n v="816"/>
    <x v="815"/>
    <s v="Revina Mariska"/>
    <s v="Female"/>
    <d v="1992-04-12T00:00:00"/>
    <d v="2021-02-23T00:00:00"/>
    <x v="0"/>
    <x v="0"/>
    <s v="Resigned"/>
    <s v="revinamariska@email.com"/>
    <s v="0828116760"/>
  </r>
  <r>
    <n v="817"/>
    <x v="816"/>
    <s v="Trimo"/>
    <s v="Male"/>
    <d v="1987-02-23T00:00:00"/>
    <d v="2021-12-25T00:00:00"/>
    <x v="0"/>
    <x v="0"/>
    <s v="Active"/>
    <s v="trimo@email.com"/>
    <s v="080145236809"/>
  </r>
  <r>
    <n v="818"/>
    <x v="817"/>
    <s v="Dinnia Nurjanah"/>
    <s v="Female"/>
    <d v="2002-09-18T00:00:00"/>
    <d v="2018-09-22T00:00:00"/>
    <x v="0"/>
    <x v="0"/>
    <s v="Active"/>
    <s v="dinnianurjanah@email.com"/>
    <s v="080678724476"/>
  </r>
  <r>
    <n v="819"/>
    <x v="818"/>
    <s v="Rangga Darma Wijaya"/>
    <s v="Male"/>
    <d v="1993-05-01T00:00:00"/>
    <d v="2019-12-26T00:00:00"/>
    <x v="0"/>
    <x v="0"/>
    <s v="Resigned"/>
    <s v="ranggadarmawijaya@email.com"/>
    <s v="083267069301"/>
  </r>
  <r>
    <n v="820"/>
    <x v="819"/>
    <s v="Nara Juniar Arbaniah"/>
    <s v="Female"/>
    <d v="1995-04-05T00:00:00"/>
    <d v="2022-12-23T00:00:00"/>
    <x v="1"/>
    <x v="1"/>
    <s v="Active"/>
    <s v="narajuniararbaniah@email.com"/>
    <s v="085395294016"/>
  </r>
  <r>
    <n v="821"/>
    <x v="820"/>
    <s v="Mayang Silviana Putri"/>
    <s v="Female"/>
    <d v="1989-08-18T00:00:00"/>
    <d v="2022-07-30T00:00:00"/>
    <x v="0"/>
    <x v="0"/>
    <s v="Active"/>
    <s v="mayangsilvianaputri@email.com"/>
    <s v="089740363114"/>
  </r>
  <r>
    <n v="822"/>
    <x v="821"/>
    <s v="Shella Sulistyani"/>
    <s v="Female"/>
    <d v="1988-06-02T00:00:00"/>
    <d v="2024-01-28T00:00:00"/>
    <x v="1"/>
    <x v="1"/>
    <s v="Active"/>
    <s v="shellasulistyani@email.com"/>
    <s v="089096151816"/>
  </r>
  <r>
    <n v="823"/>
    <x v="822"/>
    <s v="Sinta Indriana"/>
    <s v="Female"/>
    <d v="1995-02-28T00:00:00"/>
    <d v="2022-03-06T00:00:00"/>
    <x v="1"/>
    <x v="1"/>
    <s v="Resigned"/>
    <s v="sintaindriana@email.com"/>
    <s v="089052007184"/>
  </r>
  <r>
    <n v="824"/>
    <x v="823"/>
    <s v="Aji Maulana Rizqi"/>
    <s v="Male"/>
    <d v="2001-02-14T00:00:00"/>
    <d v="2020-07-19T00:00:00"/>
    <x v="0"/>
    <x v="0"/>
    <s v="Active"/>
    <s v="ajimaulanarizqi@email.com"/>
    <s v="088029718888"/>
  </r>
  <r>
    <n v="825"/>
    <x v="824"/>
    <s v="Leo Elang Oktafecristo"/>
    <s v="Male"/>
    <d v="1998-11-04T00:00:00"/>
    <d v="2018-03-05T00:00:00"/>
    <x v="4"/>
    <x v="4"/>
    <s v="Resigned"/>
    <s v="leoelangoktafecristo@email.com"/>
    <s v="081672360257"/>
  </r>
  <r>
    <n v="826"/>
    <x v="825"/>
    <s v="Ahmad Fariz Maulana"/>
    <s v="Female"/>
    <d v="1991-05-27T00:00:00"/>
    <d v="2018-10-11T00:00:00"/>
    <x v="1"/>
    <x v="1"/>
    <s v="Active"/>
    <s v="ahmadfarizmaulana@email.com"/>
    <s v="084300032608"/>
  </r>
  <r>
    <n v="827"/>
    <x v="826"/>
    <s v="Dimas Putra Nanda"/>
    <s v="Male"/>
    <d v="1995-12-28T00:00:00"/>
    <d v="2024-04-29T00:00:00"/>
    <x v="0"/>
    <x v="0"/>
    <s v="Probation"/>
    <s v="dimasputrananda@email.com"/>
    <s v="081056663439"/>
  </r>
  <r>
    <n v="828"/>
    <x v="827"/>
    <s v="Yunisa Ayu Meliyana"/>
    <s v="Female"/>
    <d v="1985-12-10T00:00:00"/>
    <d v="2018-06-30T00:00:00"/>
    <x v="0"/>
    <x v="0"/>
    <s v="Active"/>
    <s v="yunisaayumeliyana@email.com"/>
    <s v="0896380633"/>
  </r>
  <r>
    <n v="829"/>
    <x v="828"/>
    <s v="Nanda Hani Safitri"/>
    <s v="Female"/>
    <d v="1988-04-15T00:00:00"/>
    <d v="2018-01-28T00:00:00"/>
    <x v="0"/>
    <x v="0"/>
    <s v="Resigned"/>
    <s v="nandahanisafitri@email.com"/>
    <s v="086732218135"/>
  </r>
  <r>
    <n v="830"/>
    <x v="829"/>
    <s v="Nisa Latifatul Hana"/>
    <s v="Female"/>
    <d v="2002-07-02T00:00:00"/>
    <d v="2020-01-22T00:00:00"/>
    <x v="1"/>
    <x v="1"/>
    <s v="Active"/>
    <s v="nisalatifatulhana@email.com"/>
    <s v="082435249800"/>
  </r>
  <r>
    <n v="831"/>
    <x v="830"/>
    <s v="Mohammad Fahmi Rizqi"/>
    <s v="Male"/>
    <d v="1995-05-11T00:00:00"/>
    <d v="2021-01-04T00:00:00"/>
    <x v="0"/>
    <x v="0"/>
    <s v="Probation"/>
    <s v="mohammadfahmirizqi@email.com"/>
    <s v="080893911663"/>
  </r>
  <r>
    <n v="832"/>
    <x v="831"/>
    <s v="Aminah Juliyana"/>
    <s v="Female"/>
    <d v="1997-11-01T00:00:00"/>
    <d v="2020-11-05T00:00:00"/>
    <x v="0"/>
    <x v="0"/>
    <s v="Resigned"/>
    <s v="aminahjuliyana@email.com"/>
    <s v="083385209331"/>
  </r>
  <r>
    <n v="833"/>
    <x v="832"/>
    <s v="Sihabudin Mafi"/>
    <s v="Male"/>
    <d v="1987-10-26T00:00:00"/>
    <d v="2025-03-08T00:00:00"/>
    <x v="0"/>
    <x v="0"/>
    <s v="Probation"/>
    <s v="sihabudinmafi@email.com"/>
    <s v="086694471437"/>
  </r>
  <r>
    <n v="834"/>
    <x v="833"/>
    <s v="Ferdy Alfianur"/>
    <s v="Male"/>
    <d v="1990-05-29T00:00:00"/>
    <d v="2021-07-24T00:00:00"/>
    <x v="1"/>
    <x v="1"/>
    <s v="Probation"/>
    <s v="ferdyalfianur@email.com"/>
    <s v="081530529908"/>
  </r>
  <r>
    <n v="835"/>
    <x v="834"/>
    <s v="Neli Puji Astuti"/>
    <s v="Female"/>
    <d v="1994-10-19T00:00:00"/>
    <d v="2021-10-25T00:00:00"/>
    <x v="0"/>
    <x v="0"/>
    <s v="Probation"/>
    <s v="nelipujiastuti@email.com"/>
    <s v="082561217357"/>
  </r>
  <r>
    <n v="836"/>
    <x v="835"/>
    <s v="Dessi Rahayu"/>
    <s v="Female"/>
    <d v="1995-04-30T00:00:00"/>
    <d v="2022-07-20T00:00:00"/>
    <x v="0"/>
    <x v="0"/>
    <s v="Active"/>
    <s v="dessirahayu@email.com"/>
    <s v="086637438729"/>
  </r>
  <r>
    <n v="837"/>
    <x v="836"/>
    <s v="Khalda Dwi Fauziyah"/>
    <s v="Female"/>
    <d v="1999-06-23T00:00:00"/>
    <d v="2023-03-14T00:00:00"/>
    <x v="0"/>
    <x v="0"/>
    <s v="Active"/>
    <s v="khaldadwifauziyah@email.com"/>
    <s v="087699020589"/>
  </r>
  <r>
    <n v="838"/>
    <x v="837"/>
    <s v="Juwita Dwi Lestari"/>
    <s v="Female"/>
    <d v="1994-03-02T00:00:00"/>
    <d v="2019-11-23T00:00:00"/>
    <x v="0"/>
    <x v="0"/>
    <s v="Resigned"/>
    <s v="juwitadwilestari@email.com"/>
    <s v="083161943505"/>
  </r>
  <r>
    <n v="839"/>
    <x v="838"/>
    <s v="Windi Astuti"/>
    <s v="Female"/>
    <d v="1985-04-03T00:00:00"/>
    <d v="2020-02-06T00:00:00"/>
    <x v="0"/>
    <x v="0"/>
    <s v="Active"/>
    <s v="windiastuti@email.com"/>
    <s v="088699945767"/>
  </r>
  <r>
    <n v="840"/>
    <x v="839"/>
    <s v="Dewinta Umami"/>
    <s v="Female"/>
    <d v="1992-08-12T00:00:00"/>
    <d v="2025-02-10T00:00:00"/>
    <x v="0"/>
    <x v="0"/>
    <s v="Resigned"/>
    <s v="dewintaumami@email.com"/>
    <s v="082606044455"/>
  </r>
  <r>
    <n v="841"/>
    <x v="840"/>
    <s v="Nopariyah"/>
    <s v="Female"/>
    <d v="1986-06-08T00:00:00"/>
    <d v="2023-03-22T00:00:00"/>
    <x v="3"/>
    <x v="3"/>
    <s v="Resigned"/>
    <s v="nopariyah@email.com"/>
    <s v="080455655407"/>
  </r>
  <r>
    <n v="842"/>
    <x v="841"/>
    <s v="Rukhiyanto"/>
    <s v="Male"/>
    <d v="1995-03-17T00:00:00"/>
    <d v="2023-01-12T00:00:00"/>
    <x v="0"/>
    <x v="0"/>
    <s v="Active"/>
    <s v="rukhiyanto@email.com"/>
    <s v="081450363687"/>
  </r>
  <r>
    <n v="843"/>
    <x v="842"/>
    <s v="Qolbiyatun Azizah"/>
    <s v="Female"/>
    <d v="1994-05-14T00:00:00"/>
    <d v="2020-06-11T00:00:00"/>
    <x v="0"/>
    <x v="0"/>
    <s v="Resigned"/>
    <s v="qolbiyatunazizah@email.com"/>
    <s v="085455880579"/>
  </r>
  <r>
    <n v="844"/>
    <x v="843"/>
    <s v="M Hanif Maulana Pasya"/>
    <s v="Male"/>
    <d v="1991-02-13T00:00:00"/>
    <d v="2020-07-09T00:00:00"/>
    <x v="4"/>
    <x v="4"/>
    <s v="Active"/>
    <s v="mhanifmaulanapasya@email.com"/>
    <s v="084268093345"/>
  </r>
  <r>
    <n v="845"/>
    <x v="844"/>
    <s v="Ken Ajeng Puspita Sari"/>
    <s v="Female"/>
    <d v="1989-04-08T00:00:00"/>
    <d v="2018-04-28T00:00:00"/>
    <x v="8"/>
    <x v="8"/>
    <s v="Probation"/>
    <s v="kenajengpuspitasari@email.com"/>
    <s v="080205676462"/>
  </r>
  <r>
    <n v="846"/>
    <x v="845"/>
    <s v="Diva Tri Herianto"/>
    <s v="Male"/>
    <d v="1992-12-15T00:00:00"/>
    <d v="2022-08-30T00:00:00"/>
    <x v="5"/>
    <x v="5"/>
    <s v="Resigned"/>
    <s v="divatriherianto@email.com"/>
    <s v="082717928531"/>
  </r>
  <r>
    <n v="847"/>
    <x v="846"/>
    <s v="Leni Sepiyani"/>
    <s v="Female"/>
    <d v="1996-06-25T00:00:00"/>
    <d v="2022-07-10T00:00:00"/>
    <x v="0"/>
    <x v="0"/>
    <s v="Probation"/>
    <s v="lenisepiyani@email.com"/>
    <s v="086049772537"/>
  </r>
  <r>
    <n v="848"/>
    <x v="847"/>
    <s v="Siti Umatul Khaeriyah"/>
    <s v="Female"/>
    <d v="1994-05-23T00:00:00"/>
    <d v="2022-04-08T00:00:00"/>
    <x v="0"/>
    <x v="0"/>
    <s v="Probation"/>
    <s v="sitiumatulkhaeriyah@email.com"/>
    <s v="080130993519"/>
  </r>
  <r>
    <n v="849"/>
    <x v="848"/>
    <s v="Yusti Rahma Saputri"/>
    <s v="Female"/>
    <d v="1986-06-22T00:00:00"/>
    <d v="2022-12-08T00:00:00"/>
    <x v="0"/>
    <x v="0"/>
    <s v="Resigned"/>
    <s v="yustirahmasaputri@email.com"/>
    <s v="089884620818"/>
  </r>
  <r>
    <n v="850"/>
    <x v="849"/>
    <s v="Dwi Arfiansyah"/>
    <s v="Male"/>
    <d v="1996-04-26T00:00:00"/>
    <d v="2021-09-25T00:00:00"/>
    <x v="5"/>
    <x v="5"/>
    <s v="Resigned"/>
    <s v="dwiarfiansyah@email.com"/>
    <s v="084171620394"/>
  </r>
  <r>
    <n v="851"/>
    <x v="850"/>
    <s v="Dewi Sri Yuli Kartini"/>
    <s v="Female"/>
    <d v="1997-05-18T00:00:00"/>
    <d v="2020-07-14T00:00:00"/>
    <x v="0"/>
    <x v="0"/>
    <s v="Probation"/>
    <s v="dewisriyulikartini@email.com"/>
    <s v="088787504189"/>
  </r>
  <r>
    <n v="852"/>
    <x v="851"/>
    <s v="Saskia Aprilia Adisti"/>
    <s v="Female"/>
    <d v="1985-11-30T00:00:00"/>
    <d v="2018-09-19T00:00:00"/>
    <x v="0"/>
    <x v="0"/>
    <s v="Active"/>
    <s v="saskiaapriliaadisti@email.com"/>
    <s v="080415094760"/>
  </r>
  <r>
    <n v="853"/>
    <x v="852"/>
    <s v="Nofa Agustin"/>
    <s v="Female"/>
    <d v="1993-08-17T00:00:00"/>
    <d v="2023-03-16T00:00:00"/>
    <x v="0"/>
    <x v="0"/>
    <s v="Active"/>
    <s v="nofaagustin@email.com"/>
    <s v="085948616714"/>
  </r>
  <r>
    <n v="854"/>
    <x v="853"/>
    <s v="Adhiya Dzikra Afrinda"/>
    <s v="Female"/>
    <d v="1991-06-30T00:00:00"/>
    <d v="2019-12-13T00:00:00"/>
    <x v="0"/>
    <x v="0"/>
    <s v="Active"/>
    <s v="adhiyadzikraafrinda@email.com"/>
    <s v="086253043173"/>
  </r>
  <r>
    <n v="855"/>
    <x v="854"/>
    <s v="Erna Wati"/>
    <s v="Female"/>
    <d v="2002-01-23T00:00:00"/>
    <d v="2024-11-17T00:00:00"/>
    <x v="1"/>
    <x v="1"/>
    <s v="Probation"/>
    <s v="ernawati@email.com"/>
    <s v="085022718738"/>
  </r>
  <r>
    <n v="856"/>
    <x v="855"/>
    <s v="Sri Khunaenah"/>
    <s v="Female"/>
    <d v="1999-10-07T00:00:00"/>
    <d v="2021-12-22T00:00:00"/>
    <x v="0"/>
    <x v="0"/>
    <s v="Resigned"/>
    <s v="srikhunaenah@email.com"/>
    <s v="081791753082"/>
  </r>
  <r>
    <n v="857"/>
    <x v="856"/>
    <s v="Saprudin Hidayat"/>
    <s v="Male"/>
    <d v="1989-12-18T00:00:00"/>
    <d v="2018-09-21T00:00:00"/>
    <x v="0"/>
    <x v="0"/>
    <s v="Probation"/>
    <s v="saprudinhidayat@email.com"/>
    <s v="084118125233"/>
  </r>
  <r>
    <n v="858"/>
    <x v="857"/>
    <s v="Nadya Nur Afifah"/>
    <s v="Female"/>
    <d v="1999-08-28T00:00:00"/>
    <d v="2024-02-20T00:00:00"/>
    <x v="0"/>
    <x v="0"/>
    <s v="Active"/>
    <s v="nadyanurafifah@email.com"/>
    <s v="080907941297"/>
  </r>
  <r>
    <n v="859"/>
    <x v="858"/>
    <s v="Rahma Maulidia"/>
    <s v="Female"/>
    <d v="1991-03-04T00:00:00"/>
    <d v="2018-07-17T00:00:00"/>
    <x v="0"/>
    <x v="0"/>
    <s v="Probation"/>
    <s v="rahmamaulidia@email.com"/>
    <s v="082010963559"/>
  </r>
  <r>
    <n v="860"/>
    <x v="859"/>
    <s v="Wasilatul Inayah"/>
    <s v="Female"/>
    <d v="1991-01-18T00:00:00"/>
    <d v="2021-12-11T00:00:00"/>
    <x v="0"/>
    <x v="0"/>
    <s v="Probation"/>
    <s v="wasilatulinayah@email.com"/>
    <s v="084494157377"/>
  </r>
  <r>
    <n v="861"/>
    <x v="860"/>
    <s v="Muhammad Aditya"/>
    <s v="Male"/>
    <d v="1998-04-20T00:00:00"/>
    <d v="2018-10-14T00:00:00"/>
    <x v="5"/>
    <x v="5"/>
    <s v="Resigned"/>
    <s v="muhammadaditya@email.com"/>
    <s v="089756465598"/>
  </r>
  <r>
    <n v="862"/>
    <x v="861"/>
    <s v="Ivan Endri Haryanto"/>
    <s v="Male"/>
    <d v="2001-05-10T00:00:00"/>
    <d v="2021-08-07T00:00:00"/>
    <x v="0"/>
    <x v="0"/>
    <s v="Probation"/>
    <s v="ivanendriharyanto@email.com"/>
    <s v="083163845429"/>
  </r>
  <r>
    <n v="863"/>
    <x v="862"/>
    <s v="Reza Pangestu"/>
    <s v="Male"/>
    <d v="2000-04-17T00:00:00"/>
    <d v="2019-03-20T00:00:00"/>
    <x v="5"/>
    <x v="5"/>
    <s v="Active"/>
    <s v="rezapangestu@email.com"/>
    <s v="080076977662"/>
  </r>
  <r>
    <n v="864"/>
    <x v="863"/>
    <s v="Urip Fatahilah"/>
    <s v="Male"/>
    <d v="1991-08-28T00:00:00"/>
    <d v="2020-11-07T00:00:00"/>
    <x v="5"/>
    <x v="5"/>
    <s v="Resigned"/>
    <s v="uripfatahilah@email.com"/>
    <s v="083114791904"/>
  </r>
  <r>
    <n v="865"/>
    <x v="864"/>
    <s v="Nova Linda Azhari"/>
    <s v="Female"/>
    <d v="1995-12-12T00:00:00"/>
    <d v="2024-02-09T00:00:00"/>
    <x v="0"/>
    <x v="0"/>
    <s v="Resigned"/>
    <s v="novalindaazhari@email.com"/>
    <s v="080067762244"/>
  </r>
  <r>
    <n v="866"/>
    <x v="865"/>
    <s v="Joko Satria Wibowo"/>
    <s v="Male"/>
    <d v="1994-12-07T00:00:00"/>
    <d v="2019-02-26T00:00:00"/>
    <x v="5"/>
    <x v="5"/>
    <s v="Probation"/>
    <s v="jokosatriawibowo@email.com"/>
    <s v="084229518342"/>
  </r>
  <r>
    <n v="867"/>
    <x v="866"/>
    <s v="Ibnu Mimbar Maulana"/>
    <s v="Male"/>
    <d v="1990-12-08T00:00:00"/>
    <d v="2018-07-09T00:00:00"/>
    <x v="0"/>
    <x v="0"/>
    <s v="Active"/>
    <s v="ibnumimbarmaulana@email.com"/>
    <s v="085938020244"/>
  </r>
  <r>
    <n v="868"/>
    <x v="867"/>
    <s v="M Syamsul Ma Arif"/>
    <s v="Male"/>
    <d v="1995-09-23T00:00:00"/>
    <d v="2025-07-25T00:00:00"/>
    <x v="0"/>
    <x v="0"/>
    <s v="Active"/>
    <s v="msyamsulmaarif@email.com"/>
    <s v="081873421984"/>
  </r>
  <r>
    <n v="869"/>
    <x v="868"/>
    <s v="Siti Khoirunisa"/>
    <s v="Female"/>
    <d v="1986-01-25T00:00:00"/>
    <d v="2024-03-16T00:00:00"/>
    <x v="0"/>
    <x v="0"/>
    <s v="Resigned"/>
    <s v="sitikhoirunisa@email.com"/>
    <s v="086463724626"/>
  </r>
  <r>
    <n v="870"/>
    <x v="869"/>
    <s v="Yuli Fitriawati"/>
    <s v="Female"/>
    <d v="1993-05-28T00:00:00"/>
    <d v="2022-02-06T00:00:00"/>
    <x v="0"/>
    <x v="0"/>
    <s v="Probation"/>
    <s v="yulifitriawati@email.com"/>
    <s v="080182924127"/>
  </r>
  <r>
    <n v="871"/>
    <x v="870"/>
    <s v="Hilal Mubarok"/>
    <s v="Male"/>
    <d v="1986-06-08T00:00:00"/>
    <d v="2023-05-05T00:00:00"/>
    <x v="5"/>
    <x v="5"/>
    <s v="Resigned"/>
    <s v="hilalmubarok@email.com"/>
    <s v="084071023431"/>
  </r>
  <r>
    <n v="872"/>
    <x v="871"/>
    <s v="Mei Divi Asiyah"/>
    <s v="Female"/>
    <d v="1992-10-05T00:00:00"/>
    <d v="2020-12-19T00:00:00"/>
    <x v="0"/>
    <x v="0"/>
    <s v="Active"/>
    <s v="meidiviasiyah@email.com"/>
    <s v="083129443074"/>
  </r>
  <r>
    <n v="873"/>
    <x v="872"/>
    <s v="Didit Alnur"/>
    <s v="Male"/>
    <d v="1993-01-22T00:00:00"/>
    <d v="2019-08-09T00:00:00"/>
    <x v="5"/>
    <x v="5"/>
    <s v="Active"/>
    <s v="diditalnur@email.com"/>
    <s v="0802841033"/>
  </r>
  <r>
    <n v="874"/>
    <x v="873"/>
    <s v="Nabila Sabrina"/>
    <s v="Female"/>
    <d v="2000-02-24T00:00:00"/>
    <d v="2022-01-22T00:00:00"/>
    <x v="0"/>
    <x v="0"/>
    <s v="Active"/>
    <s v="nabilasabrina@email.com"/>
    <s v="081443677422"/>
  </r>
  <r>
    <n v="875"/>
    <x v="874"/>
    <s v="Nur Sapitriyani"/>
    <s v="Female"/>
    <d v="2001-01-24T00:00:00"/>
    <d v="2020-02-23T00:00:00"/>
    <x v="0"/>
    <x v="0"/>
    <s v="Active"/>
    <s v="nursapitriyani@email.com"/>
    <s v="087492165744"/>
  </r>
  <r>
    <n v="876"/>
    <x v="875"/>
    <s v="Arofah"/>
    <s v="Female"/>
    <d v="1989-01-04T00:00:00"/>
    <d v="2018-03-15T00:00:00"/>
    <x v="0"/>
    <x v="0"/>
    <s v="Active"/>
    <s v="arofah@email.com"/>
    <s v="089756465599"/>
  </r>
  <r>
    <n v="877"/>
    <x v="876"/>
    <s v="Aat Sukma Wijaya"/>
    <s v="Male"/>
    <d v="1991-10-07T00:00:00"/>
    <d v="2024-03-20T00:00:00"/>
    <x v="0"/>
    <x v="0"/>
    <s v="Probation"/>
    <s v="aatsukmawijaya@email.com"/>
    <s v="086449742214"/>
  </r>
  <r>
    <n v="878"/>
    <x v="877"/>
    <s v="Siti Nurhabibah"/>
    <s v="Female"/>
    <d v="1987-10-19T00:00:00"/>
    <d v="2018-03-01T00:00:00"/>
    <x v="0"/>
    <x v="0"/>
    <s v="Resigned"/>
    <s v="sitinurhabibah@email.com"/>
    <s v="088921321424"/>
  </r>
  <r>
    <n v="879"/>
    <x v="878"/>
    <s v="Yanto"/>
    <s v="Male"/>
    <d v="1991-08-21T00:00:00"/>
    <d v="2022-02-18T00:00:00"/>
    <x v="5"/>
    <x v="5"/>
    <s v="Active"/>
    <s v="yanto@email.com"/>
    <s v="088524669915"/>
  </r>
  <r>
    <n v="880"/>
    <x v="879"/>
    <s v="Arya Sanjaya"/>
    <s v="Male"/>
    <d v="1989-06-05T00:00:00"/>
    <d v="2018-10-29T00:00:00"/>
    <x v="6"/>
    <x v="6"/>
    <s v="Resigned"/>
    <s v="aryasanjaya@email.com"/>
    <s v="088746309334"/>
  </r>
  <r>
    <n v="881"/>
    <x v="880"/>
    <s v="Akhmad Jazuli"/>
    <s v="Male"/>
    <d v="1992-12-17T00:00:00"/>
    <d v="2019-11-22T00:00:00"/>
    <x v="0"/>
    <x v="0"/>
    <s v="Probation"/>
    <s v="akhmadjazuli@email.com"/>
    <s v="080670679597"/>
  </r>
  <r>
    <n v="882"/>
    <x v="881"/>
    <s v="Nining Fauziyah"/>
    <s v="Female"/>
    <d v="1998-05-04T00:00:00"/>
    <d v="2020-05-03T00:00:00"/>
    <x v="0"/>
    <x v="0"/>
    <s v="Probation"/>
    <s v="niningfauziyah@email.com"/>
    <s v="081991739615"/>
  </r>
  <r>
    <n v="883"/>
    <x v="882"/>
    <s v="Lia Irsa Lina"/>
    <s v="Female"/>
    <d v="1995-08-23T00:00:00"/>
    <d v="2020-03-08T00:00:00"/>
    <x v="0"/>
    <x v="0"/>
    <s v="Active"/>
    <s v="liairsalina@email.com"/>
    <s v="089611777616"/>
  </r>
  <r>
    <n v="884"/>
    <x v="883"/>
    <s v="Yuni Setia Ningsih"/>
    <s v="Female"/>
    <d v="1996-06-05T00:00:00"/>
    <d v="2024-01-01T00:00:00"/>
    <x v="0"/>
    <x v="0"/>
    <s v="Active"/>
    <s v="yunisetianingsih@email.com"/>
    <s v="083526432468"/>
  </r>
  <r>
    <n v="885"/>
    <x v="884"/>
    <s v="Anisatun Rochmah"/>
    <s v="Female"/>
    <d v="1998-08-26T00:00:00"/>
    <d v="2021-11-28T00:00:00"/>
    <x v="0"/>
    <x v="0"/>
    <s v="Resigned"/>
    <s v="anisatunrochmah@email.com"/>
    <s v="086997389383"/>
  </r>
  <r>
    <n v="886"/>
    <x v="885"/>
    <s v="Tati Puspita Sari"/>
    <s v="Female"/>
    <d v="1989-09-17T00:00:00"/>
    <d v="2018-10-30T00:00:00"/>
    <x v="0"/>
    <x v="0"/>
    <s v="Resigned"/>
    <s v="tatipuspitasari@email.com"/>
    <s v="086991946612"/>
  </r>
  <r>
    <n v="887"/>
    <x v="886"/>
    <s v="Siti Zafira"/>
    <s v="Female"/>
    <d v="1994-10-21T00:00:00"/>
    <d v="2020-12-16T00:00:00"/>
    <x v="0"/>
    <x v="0"/>
    <s v="Active"/>
    <s v="sitizafira@email.com"/>
    <s v="081771412876"/>
  </r>
  <r>
    <n v="888"/>
    <x v="887"/>
    <s v="Syifa Hayatun Nufus"/>
    <s v="Female"/>
    <d v="1991-11-26T00:00:00"/>
    <d v="2022-11-20T00:00:00"/>
    <x v="1"/>
    <x v="1"/>
    <s v="Active"/>
    <s v="syifahayatunnufus@email.com"/>
    <s v="088237604736"/>
  </r>
  <r>
    <n v="889"/>
    <x v="888"/>
    <s v="Yunus Prasetyo"/>
    <s v="Male"/>
    <d v="1996-11-27T00:00:00"/>
    <d v="2020-01-23T00:00:00"/>
    <x v="5"/>
    <x v="5"/>
    <s v="Resigned"/>
    <s v="yunusprasetyo@email.com"/>
    <s v="087540799368"/>
  </r>
  <r>
    <n v="890"/>
    <x v="889"/>
    <s v="E Cecep Ian Firmansyah"/>
    <s v="Male"/>
    <d v="1989-07-11T00:00:00"/>
    <d v="2018-01-03T00:00:00"/>
    <x v="4"/>
    <x v="4"/>
    <s v="Active"/>
    <s v="ececepianfirmansyah@email.com"/>
    <s v="083148511753"/>
  </r>
  <r>
    <n v="891"/>
    <x v="890"/>
    <s v="Nani Setiani"/>
    <s v="Female"/>
    <d v="1990-09-17T00:00:00"/>
    <d v="2020-04-24T00:00:00"/>
    <x v="0"/>
    <x v="0"/>
    <s v="Probation"/>
    <s v="nanisetiani@email.com"/>
    <s v="084991699117"/>
  </r>
  <r>
    <n v="892"/>
    <x v="891"/>
    <s v="Feli Yulianti"/>
    <s v="Female"/>
    <d v="2001-09-24T00:00:00"/>
    <d v="2019-09-28T00:00:00"/>
    <x v="0"/>
    <x v="0"/>
    <s v="Resigned"/>
    <s v="feliyulianti@email.com"/>
    <s v="087200134087"/>
  </r>
  <r>
    <n v="893"/>
    <x v="892"/>
    <s v="Indah Mutiara Nur Aeni"/>
    <s v="Female"/>
    <d v="1987-12-30T00:00:00"/>
    <d v="2021-03-14T00:00:00"/>
    <x v="1"/>
    <x v="1"/>
    <s v="Resigned"/>
    <s v="indahmutiaranuraeni@email.com"/>
    <s v="080769092686"/>
  </r>
  <r>
    <n v="894"/>
    <x v="893"/>
    <s v="Mohammad Irsan Gustiroh"/>
    <s v="Male"/>
    <d v="1992-04-07T00:00:00"/>
    <d v="2021-11-30T00:00:00"/>
    <x v="0"/>
    <x v="0"/>
    <s v="Probation"/>
    <s v="mohammadirsangustiroh@email.com"/>
    <s v="081567405598"/>
  </r>
  <r>
    <n v="895"/>
    <x v="894"/>
    <s v="Tri Windari"/>
    <s v="Female"/>
    <d v="1999-09-28T00:00:00"/>
    <d v="2020-06-29T00:00:00"/>
    <x v="1"/>
    <x v="1"/>
    <s v="Active"/>
    <s v="triwindari@email.com"/>
    <s v="080407705348"/>
  </r>
  <r>
    <n v="896"/>
    <x v="895"/>
    <s v="Nur Fatikha"/>
    <s v="Female"/>
    <d v="1998-07-15T00:00:00"/>
    <d v="2023-04-09T00:00:00"/>
    <x v="0"/>
    <x v="0"/>
    <s v="Resigned"/>
    <s v="nurfatikha@email.com"/>
    <s v="087652335284"/>
  </r>
  <r>
    <n v="897"/>
    <x v="896"/>
    <s v="Malik Mustofa"/>
    <s v="Male"/>
    <d v="1989-03-09T00:00:00"/>
    <d v="2021-08-22T00:00:00"/>
    <x v="4"/>
    <x v="4"/>
    <s v="Active"/>
    <s v="malikmustofa@email.com"/>
    <s v="088982370471"/>
  </r>
  <r>
    <n v="898"/>
    <x v="897"/>
    <s v="Ajeng Wulan Amelia"/>
    <s v="Female"/>
    <d v="1994-12-03T00:00:00"/>
    <d v="2025-08-21T00:00:00"/>
    <x v="3"/>
    <x v="3"/>
    <s v="Active"/>
    <s v="ajengwulanamelia@email.com"/>
    <s v="084617679641"/>
  </r>
  <r>
    <n v="899"/>
    <x v="898"/>
    <s v="Tri Oktaviana"/>
    <s v="Female"/>
    <d v="1988-05-08T00:00:00"/>
    <d v="2024-12-29T00:00:00"/>
    <x v="3"/>
    <x v="3"/>
    <s v="Resigned"/>
    <s v="trioktaviana@email.com"/>
    <s v="087371572741"/>
  </r>
  <r>
    <n v="900"/>
    <x v="899"/>
    <s v="M Arif Fahturohman"/>
    <s v="Male"/>
    <d v="2001-06-25T00:00:00"/>
    <d v="2023-12-22T00:00:00"/>
    <x v="0"/>
    <x v="0"/>
    <s v="Probation"/>
    <s v="mariffahturohman@email.com"/>
    <s v="089534178034"/>
  </r>
  <r>
    <n v="901"/>
    <x v="900"/>
    <s v="Winda Lestari"/>
    <s v="Female"/>
    <d v="2001-09-16T00:00:00"/>
    <d v="2018-05-14T00:00:00"/>
    <x v="1"/>
    <x v="1"/>
    <s v="Probation"/>
    <s v="windalestari@email.com"/>
    <s v="080379359649"/>
  </r>
  <r>
    <n v="902"/>
    <x v="901"/>
    <s v="Suherni"/>
    <s v="Female"/>
    <d v="2001-06-06T00:00:00"/>
    <d v="2025-02-20T00:00:00"/>
    <x v="3"/>
    <x v="3"/>
    <s v="Resigned"/>
    <s v="suherni@email.com"/>
    <s v="087738782567"/>
  </r>
  <r>
    <n v="903"/>
    <x v="902"/>
    <s v="Sholihin Nirza"/>
    <s v="Male"/>
    <d v="1993-12-10T00:00:00"/>
    <d v="2020-11-23T00:00:00"/>
    <x v="0"/>
    <x v="0"/>
    <s v="Active"/>
    <s v="sholihinnirza@email.com"/>
    <s v="082834012492"/>
  </r>
  <r>
    <n v="904"/>
    <x v="903"/>
    <s v="Wulandari Kristianingsih"/>
    <s v="Female"/>
    <d v="2003-08-18T00:00:00"/>
    <d v="2023-06-24T00:00:00"/>
    <x v="0"/>
    <x v="0"/>
    <s v="Probation"/>
    <s v="wulandarikristianingsih@email.com"/>
    <s v="089454868569"/>
  </r>
  <r>
    <n v="905"/>
    <x v="904"/>
    <s v="Rahmat Maulana Sukri"/>
    <s v="Male"/>
    <d v="1998-01-09T00:00:00"/>
    <d v="2024-09-20T00:00:00"/>
    <x v="5"/>
    <x v="5"/>
    <s v="Active"/>
    <s v="rahmatmaulanasukri@email.com"/>
    <s v="080813710089"/>
  </r>
  <r>
    <n v="906"/>
    <x v="905"/>
    <s v="Ya Shifa Rumaisha"/>
    <s v="Female"/>
    <d v="1997-02-16T00:00:00"/>
    <d v="2024-03-26T00:00:00"/>
    <x v="0"/>
    <x v="0"/>
    <s v="Resigned"/>
    <s v="yashifarumaisha@email.com"/>
    <s v="086166647381"/>
  </r>
  <r>
    <n v="907"/>
    <x v="906"/>
    <s v="Esa Tiara"/>
    <s v="Female"/>
    <d v="2003-01-17T00:00:00"/>
    <d v="2024-12-02T00:00:00"/>
    <x v="0"/>
    <x v="0"/>
    <s v="Probation"/>
    <s v="esatiara@email.com"/>
    <s v="087117325080"/>
  </r>
  <r>
    <n v="908"/>
    <x v="907"/>
    <s v="Asri Wulandari"/>
    <s v="Female"/>
    <d v="2000-05-01T00:00:00"/>
    <d v="2018-10-29T00:00:00"/>
    <x v="0"/>
    <x v="0"/>
    <s v="Active"/>
    <s v="asriwulandari@email.com"/>
    <s v="081051593739"/>
  </r>
  <r>
    <n v="909"/>
    <x v="908"/>
    <s v="Lyon Syahila"/>
    <s v="Male"/>
    <d v="2001-07-10T00:00:00"/>
    <d v="2020-10-14T00:00:00"/>
    <x v="0"/>
    <x v="0"/>
    <s v="Resigned"/>
    <s v="lyonsyahila@email.com"/>
    <s v="088135231233"/>
  </r>
  <r>
    <n v="910"/>
    <x v="909"/>
    <s v="Aqila Fadia Haya"/>
    <s v="Female"/>
    <d v="1993-03-24T00:00:00"/>
    <d v="2019-03-29T00:00:00"/>
    <x v="0"/>
    <x v="0"/>
    <s v="Active"/>
    <s v="aqilafadiahaya@email.com"/>
    <s v="089789036673"/>
  </r>
  <r>
    <n v="911"/>
    <x v="910"/>
    <s v="Mohamad Erik Maulana"/>
    <s v="Male"/>
    <d v="1986-09-23T00:00:00"/>
    <d v="2018-09-14T00:00:00"/>
    <x v="0"/>
    <x v="0"/>
    <s v="Probation"/>
    <s v="mohamaderikmaulana@email.com"/>
    <s v="084807586853"/>
  </r>
  <r>
    <n v="912"/>
    <x v="911"/>
    <s v="Inez Anastasya Agustin"/>
    <s v="Female"/>
    <d v="2001-06-24T00:00:00"/>
    <d v="2021-12-22T00:00:00"/>
    <x v="3"/>
    <x v="3"/>
    <s v="Active"/>
    <s v="inezanastasyaagustin@email.com"/>
    <s v="0862341956"/>
  </r>
  <r>
    <n v="913"/>
    <x v="912"/>
    <s v="Adang Suparman"/>
    <s v="Male"/>
    <d v="2003-05-30T00:00:00"/>
    <d v="2024-12-25T00:00:00"/>
    <x v="5"/>
    <x v="5"/>
    <s v="Active"/>
    <s v="adangsuparman@email.com"/>
    <s v="087996399891"/>
  </r>
  <r>
    <n v="914"/>
    <x v="913"/>
    <s v="Sarinih"/>
    <s v="Female"/>
    <d v="1993-05-06T00:00:00"/>
    <d v="2025-08-06T00:00:00"/>
    <x v="0"/>
    <x v="0"/>
    <s v="Probation"/>
    <s v="sarinih@email.com"/>
    <s v="086867747442"/>
  </r>
  <r>
    <n v="915"/>
    <x v="914"/>
    <s v="Nur Hikmah"/>
    <s v="Female"/>
    <d v="1993-01-03T00:00:00"/>
    <d v="2022-11-03T00:00:00"/>
    <x v="3"/>
    <x v="3"/>
    <s v="Resigned"/>
    <s v="nurhikmah@email.com"/>
    <s v="084763852738"/>
  </r>
  <r>
    <n v="916"/>
    <x v="915"/>
    <s v="Herman"/>
    <s v="Male"/>
    <d v="1987-07-08T00:00:00"/>
    <d v="2021-04-16T00:00:00"/>
    <x v="0"/>
    <x v="0"/>
    <s v="Probation"/>
    <s v="herman@email.com"/>
    <s v="081851137347"/>
  </r>
  <r>
    <n v="917"/>
    <x v="916"/>
    <s v="Aziematunikmah"/>
    <s v="Female"/>
    <d v="1987-10-19T00:00:00"/>
    <d v="2018-05-13T00:00:00"/>
    <x v="0"/>
    <x v="0"/>
    <s v="Active"/>
    <s v="aziematunikmah@email.com"/>
    <s v="081374137386"/>
  </r>
  <r>
    <n v="918"/>
    <x v="917"/>
    <s v="Tri Mulyaningsih"/>
    <s v="Female"/>
    <d v="1989-12-20T00:00:00"/>
    <d v="2020-12-31T00:00:00"/>
    <x v="0"/>
    <x v="0"/>
    <s v="Resigned"/>
    <s v="trimulyaningsih@email.com"/>
    <s v="083351651340"/>
  </r>
  <r>
    <n v="919"/>
    <x v="918"/>
    <s v="Aulia Zahra Ramadhani"/>
    <s v="Female"/>
    <d v="1993-05-30T00:00:00"/>
    <d v="2022-04-26T00:00:00"/>
    <x v="7"/>
    <x v="7"/>
    <s v="Resigned"/>
    <s v="auliazahraramadhani@email.com"/>
    <s v="082365140681"/>
  </r>
  <r>
    <n v="920"/>
    <x v="919"/>
    <s v="Akhmad Bakhtiar"/>
    <s v="Male"/>
    <d v="1988-11-26T00:00:00"/>
    <d v="2020-09-11T00:00:00"/>
    <x v="4"/>
    <x v="4"/>
    <s v="Active"/>
    <s v="akhmadbakhtiar@email.com"/>
    <s v="089756465600"/>
  </r>
  <r>
    <n v="921"/>
    <x v="920"/>
    <s v="Nur Azizah"/>
    <s v="Female"/>
    <d v="1985-03-14T00:00:00"/>
    <d v="2022-11-24T00:00:00"/>
    <x v="1"/>
    <x v="1"/>
    <s v="Probation"/>
    <s v="nurazizah@email.com"/>
    <s v="082476942557"/>
  </r>
  <r>
    <n v="922"/>
    <x v="921"/>
    <s v="Ikrima Adillah Denia"/>
    <s v="Female"/>
    <d v="1987-04-10T00:00:00"/>
    <d v="2022-08-04T00:00:00"/>
    <x v="1"/>
    <x v="1"/>
    <s v="Resigned"/>
    <s v="ikrimaadillahdenia@email.com"/>
    <s v="085747497818"/>
  </r>
  <r>
    <n v="923"/>
    <x v="922"/>
    <s v="Lela"/>
    <s v="Female"/>
    <d v="1991-04-26T00:00:00"/>
    <d v="2025-05-26T00:00:00"/>
    <x v="0"/>
    <x v="0"/>
    <s v="Active"/>
    <s v="lela@email.com"/>
    <s v="081106662859"/>
  </r>
  <r>
    <n v="924"/>
    <x v="923"/>
    <s v="Zahrotun Marshita"/>
    <s v="Female"/>
    <d v="2000-07-01T00:00:00"/>
    <d v="2021-01-20T00:00:00"/>
    <x v="0"/>
    <x v="0"/>
    <s v="Probation"/>
    <s v="zahrotunmarshita@email.com"/>
    <s v="082817677380"/>
  </r>
  <r>
    <n v="925"/>
    <x v="924"/>
    <s v="Yolanda Ayu Ningtias"/>
    <s v="Female"/>
    <d v="2003-07-13T00:00:00"/>
    <d v="2022-09-04T00:00:00"/>
    <x v="1"/>
    <x v="1"/>
    <s v="Resigned"/>
    <s v="yolandaayuningtias@email.com"/>
    <s v="081776544634"/>
  </r>
  <r>
    <n v="926"/>
    <x v="925"/>
    <s v="Najwa Alifiyyah"/>
    <s v="Female"/>
    <d v="1997-04-28T00:00:00"/>
    <d v="2018-12-21T00:00:00"/>
    <x v="0"/>
    <x v="0"/>
    <s v="Probation"/>
    <s v="najwaalifiyyah@email.com"/>
    <s v="084646440343"/>
  </r>
  <r>
    <n v="927"/>
    <x v="926"/>
    <s v="Desti Rusdiyanti"/>
    <s v="Female"/>
    <d v="1994-05-24T00:00:00"/>
    <d v="2018-10-19T00:00:00"/>
    <x v="0"/>
    <x v="0"/>
    <s v="Active"/>
    <s v="destirusdiyanti@email.com"/>
    <s v="080009097676"/>
  </r>
  <r>
    <n v="928"/>
    <x v="927"/>
    <s v="Rudi Hartono"/>
    <s v="Male"/>
    <d v="1988-08-13T00:00:00"/>
    <d v="2023-04-05T00:00:00"/>
    <x v="5"/>
    <x v="5"/>
    <s v="Probation"/>
    <s v="rudihartono@email.com"/>
    <s v="084461386351"/>
  </r>
  <r>
    <n v="929"/>
    <x v="928"/>
    <s v="Muhamad Syeh Malik Priana"/>
    <s v="Male"/>
    <d v="1988-03-22T00:00:00"/>
    <d v="2021-08-21T00:00:00"/>
    <x v="6"/>
    <x v="6"/>
    <s v="Resigned"/>
    <s v="muhamadsyehmalikpriana@email.com"/>
    <s v="087193966281"/>
  </r>
  <r>
    <n v="930"/>
    <x v="929"/>
    <s v="Aniki Keyla Gusti Safitri"/>
    <s v="Female"/>
    <d v="2002-02-10T00:00:00"/>
    <d v="2019-02-21T00:00:00"/>
    <x v="3"/>
    <x v="3"/>
    <s v="Active"/>
    <s v="anikikeylagustisafitri@email.com"/>
    <s v="088116037976"/>
  </r>
  <r>
    <n v="931"/>
    <x v="930"/>
    <s v="Dinal Mustaqim"/>
    <s v="Male"/>
    <d v="1985-09-07T00:00:00"/>
    <d v="2018-11-29T00:00:00"/>
    <x v="4"/>
    <x v="4"/>
    <s v="Active"/>
    <s v="dinalmustaqim@email.com"/>
    <s v="089435623256"/>
  </r>
  <r>
    <n v="932"/>
    <x v="931"/>
    <s v="Nurrachma Isdiyanti"/>
    <s v="Female"/>
    <d v="1993-10-05T00:00:00"/>
    <d v="2022-02-16T00:00:00"/>
    <x v="0"/>
    <x v="0"/>
    <s v="Probation"/>
    <s v="nurrachmaisdiyanti@email.com"/>
    <s v="084750734962"/>
  </r>
  <r>
    <n v="933"/>
    <x v="932"/>
    <s v="Akhmad Akhul Misjan"/>
    <s v="Male"/>
    <d v="1992-04-25T00:00:00"/>
    <d v="2019-11-03T00:00:00"/>
    <x v="5"/>
    <x v="5"/>
    <s v="Active"/>
    <s v="akhmadakhulmisjan@email.com"/>
    <s v="084922746817"/>
  </r>
  <r>
    <n v="934"/>
    <x v="933"/>
    <s v="Mohammad Jami Al Fawaid"/>
    <s v="Male"/>
    <d v="1997-06-29T00:00:00"/>
    <d v="2025-06-28T00:00:00"/>
    <x v="6"/>
    <x v="6"/>
    <s v="Resigned"/>
    <s v="mohammadjamialfawaid@email.com"/>
    <s v="086528464507"/>
  </r>
  <r>
    <n v="935"/>
    <x v="934"/>
    <s v="Siti Nurkhasanah"/>
    <s v="Female"/>
    <d v="2002-08-11T00:00:00"/>
    <d v="2025-02-08T00:00:00"/>
    <x v="3"/>
    <x v="3"/>
    <s v="Resigned"/>
    <s v="sitinurkhasanah@email.com"/>
    <s v="081591159457"/>
  </r>
  <r>
    <n v="936"/>
    <x v="935"/>
    <s v="Latif Andriansyah"/>
    <s v="Male"/>
    <d v="1994-02-08T00:00:00"/>
    <d v="2022-05-05T00:00:00"/>
    <x v="4"/>
    <x v="4"/>
    <s v="Active"/>
    <s v="latifandriansyah@email.com"/>
    <s v="084212887512"/>
  </r>
  <r>
    <n v="937"/>
    <x v="936"/>
    <s v="Kiki Mufaizin"/>
    <s v="Male"/>
    <d v="1996-10-22T00:00:00"/>
    <d v="2021-08-05T00:00:00"/>
    <x v="4"/>
    <x v="4"/>
    <s v="Active"/>
    <s v="kikimufaizin@email.com"/>
    <s v="086459808620"/>
  </r>
  <r>
    <n v="938"/>
    <x v="937"/>
    <s v="Dinda Kristina Oktavia"/>
    <s v="Female"/>
    <d v="1987-06-28T00:00:00"/>
    <d v="2020-12-21T00:00:00"/>
    <x v="7"/>
    <x v="7"/>
    <s v="Resigned"/>
    <s v="dindakristinaoktavia@email.com"/>
    <s v="087563794039"/>
  </r>
  <r>
    <n v="939"/>
    <x v="938"/>
    <s v="Putry Lia Oktaviani"/>
    <s v="Female"/>
    <d v="2000-07-04T00:00:00"/>
    <d v="2019-10-12T00:00:00"/>
    <x v="0"/>
    <x v="0"/>
    <s v="Active"/>
    <s v="putryliaoktaviani@email.com"/>
    <s v="086653794424"/>
  </r>
  <r>
    <n v="940"/>
    <x v="939"/>
    <s v="Rani Nabila Putri"/>
    <s v="Female"/>
    <d v="1988-04-21T00:00:00"/>
    <d v="2022-01-20T00:00:00"/>
    <x v="0"/>
    <x v="0"/>
    <s v="Probation"/>
    <s v="raninabilaputri@email.com"/>
    <s v="086004121213"/>
  </r>
  <r>
    <n v="941"/>
    <x v="940"/>
    <s v="Moch Dava Rifai"/>
    <s v="Male"/>
    <d v="1995-09-14T00:00:00"/>
    <d v="2020-06-13T00:00:00"/>
    <x v="0"/>
    <x v="0"/>
    <s v="Probation"/>
    <s v="mochdavarifai@email.com"/>
    <s v="087473184218"/>
  </r>
  <r>
    <n v="942"/>
    <x v="941"/>
    <s v="Rifki Amalia Desta Karimatun"/>
    <s v="Female"/>
    <d v="2002-08-04T00:00:00"/>
    <d v="2025-07-09T00:00:00"/>
    <x v="0"/>
    <x v="0"/>
    <s v="Resigned"/>
    <s v="rifkiamaliadestakarimatun@email.com"/>
    <s v="080341736488"/>
  </r>
  <r>
    <n v="943"/>
    <x v="942"/>
    <s v="M. Aulia Ardi"/>
    <s v="Male"/>
    <d v="1986-12-27T00:00:00"/>
    <d v="2023-06-26T00:00:00"/>
    <x v="4"/>
    <x v="4"/>
    <s v="Active"/>
    <s v="m.auliaardi@email.com"/>
    <s v="080659841178"/>
  </r>
  <r>
    <n v="944"/>
    <x v="943"/>
    <s v="Erni Wulandari"/>
    <s v="Female"/>
    <d v="1997-12-02T00:00:00"/>
    <d v="2018-01-05T00:00:00"/>
    <x v="0"/>
    <x v="0"/>
    <s v="Probation"/>
    <s v="erniwulandari@email.com"/>
    <s v="083978091134"/>
  </r>
  <r>
    <n v="945"/>
    <x v="944"/>
    <s v="Marisa Estiana"/>
    <s v="Female"/>
    <d v="1993-07-21T00:00:00"/>
    <d v="2018-09-25T00:00:00"/>
    <x v="1"/>
    <x v="1"/>
    <s v="Probation"/>
    <s v="marisaestiana@email.com"/>
    <s v="0867290995"/>
  </r>
  <r>
    <n v="946"/>
    <x v="945"/>
    <s v="Muh Eldin Asadillah"/>
    <s v="Male"/>
    <d v="2001-11-02T00:00:00"/>
    <d v="2019-09-25T00:00:00"/>
    <x v="0"/>
    <x v="0"/>
    <s v="Resigned"/>
    <s v="muheldinasadillah@email.com"/>
    <s v="083747490452"/>
  </r>
  <r>
    <n v="947"/>
    <x v="946"/>
    <s v="Ani Rosidah"/>
    <s v="Female"/>
    <d v="1990-07-12T00:00:00"/>
    <d v="2023-03-30T00:00:00"/>
    <x v="0"/>
    <x v="0"/>
    <s v="Probation"/>
    <s v="anirosidah@email.com"/>
    <s v="088730686511"/>
  </r>
  <r>
    <n v="948"/>
    <x v="947"/>
    <s v="Ossy Octaviola Setiawan"/>
    <s v="Female"/>
    <d v="2000-12-04T00:00:00"/>
    <d v="2024-08-17T00:00:00"/>
    <x v="0"/>
    <x v="0"/>
    <s v="Active"/>
    <s v="ossyoctaviolasetiawan@email.com"/>
    <s v="089126738005"/>
  </r>
  <r>
    <n v="949"/>
    <x v="948"/>
    <s v="Kiki Kurnia"/>
    <s v="Female"/>
    <d v="1988-10-02T00:00:00"/>
    <d v="2024-09-03T00:00:00"/>
    <x v="7"/>
    <x v="7"/>
    <s v="Resigned"/>
    <s v="kikikurnia@email.com"/>
    <s v="083642778632"/>
  </r>
  <r>
    <n v="950"/>
    <x v="949"/>
    <s v="Nur Aisyah"/>
    <s v="Female"/>
    <d v="1990-04-04T00:00:00"/>
    <d v="2024-10-24T00:00:00"/>
    <x v="1"/>
    <x v="1"/>
    <s v="Active"/>
    <s v="nuraisyah@email.com"/>
    <s v="082106666687"/>
  </r>
  <r>
    <n v="951"/>
    <x v="950"/>
    <s v="Fitriyani"/>
    <s v="Female"/>
    <d v="1985-06-12T00:00:00"/>
    <d v="2019-04-11T00:00:00"/>
    <x v="0"/>
    <x v="0"/>
    <s v="Probation"/>
    <s v="fitriyani@email.com"/>
    <s v="082099615996"/>
  </r>
  <r>
    <n v="952"/>
    <x v="951"/>
    <s v="Cantika Indah"/>
    <s v="Female"/>
    <d v="1999-11-19T00:00:00"/>
    <d v="2024-05-12T00:00:00"/>
    <x v="0"/>
    <x v="0"/>
    <s v="Active"/>
    <s v="cantikaindah@email.com"/>
    <s v="089202847345"/>
  </r>
  <r>
    <n v="953"/>
    <x v="952"/>
    <s v="Sherla Sallusi"/>
    <s v="Female"/>
    <d v="1995-09-22T00:00:00"/>
    <d v="2022-01-08T00:00:00"/>
    <x v="1"/>
    <x v="1"/>
    <s v="Probation"/>
    <s v="sherlasallusi@email.com"/>
    <s v="086388016472"/>
  </r>
  <r>
    <n v="954"/>
    <x v="953"/>
    <s v="Devi Rahmawati"/>
    <s v="Female"/>
    <d v="1990-12-27T00:00:00"/>
    <d v="2022-03-18T00:00:00"/>
    <x v="3"/>
    <x v="3"/>
    <s v="Active"/>
    <s v="devirahmawati@email.com"/>
    <s v="087353644802"/>
  </r>
  <r>
    <n v="955"/>
    <x v="954"/>
    <s v="Muhammad Irwan"/>
    <s v="Male"/>
    <d v="1999-07-31T00:00:00"/>
    <d v="2021-02-23T00:00:00"/>
    <x v="0"/>
    <x v="0"/>
    <s v="Probation"/>
    <s v="muhammadirwan@email.com"/>
    <s v="085621050012"/>
  </r>
  <r>
    <n v="956"/>
    <x v="955"/>
    <s v="Andi Yoessianto"/>
    <s v="Male"/>
    <d v="1987-05-19T00:00:00"/>
    <d v="2022-07-03T00:00:00"/>
    <x v="0"/>
    <x v="0"/>
    <s v="Probation"/>
    <s v="andiyoessianto@email.com"/>
    <s v="0851656548"/>
  </r>
  <r>
    <n v="957"/>
    <x v="956"/>
    <s v="Putri Agustina"/>
    <s v="Female"/>
    <d v="1993-02-10T00:00:00"/>
    <d v="2023-01-12T00:00:00"/>
    <x v="0"/>
    <x v="0"/>
    <s v="Probation"/>
    <s v="putriagustina@email.com"/>
    <s v="086021635838"/>
  </r>
  <r>
    <n v="958"/>
    <x v="957"/>
    <s v="Mutiara Rahma Fadilah"/>
    <s v="Female"/>
    <d v="1993-09-18T00:00:00"/>
    <d v="2021-02-21T00:00:00"/>
    <x v="1"/>
    <x v="1"/>
    <s v="Resigned"/>
    <s v="mutiararahmafadilah@email.com"/>
    <s v="083840040297"/>
  </r>
  <r>
    <n v="959"/>
    <x v="958"/>
    <s v="Rio Adi Saputra"/>
    <s v="Male"/>
    <d v="1988-06-21T00:00:00"/>
    <d v="2023-09-07T00:00:00"/>
    <x v="5"/>
    <x v="5"/>
    <s v="Probation"/>
    <s v="rioadisaputra@email.com"/>
    <s v="087693186090"/>
  </r>
  <r>
    <n v="960"/>
    <x v="959"/>
    <s v="Muhammad Arya Saputra"/>
    <s v="Male"/>
    <d v="1996-07-07T00:00:00"/>
    <d v="2021-10-08T00:00:00"/>
    <x v="0"/>
    <x v="0"/>
    <s v="Probation"/>
    <s v="muhammadaryasaputra@email.com"/>
    <s v="088270535993"/>
  </r>
  <r>
    <n v="961"/>
    <x v="960"/>
    <s v="Amellia"/>
    <s v="Female"/>
    <d v="1997-12-21T00:00:00"/>
    <d v="2022-09-25T00:00:00"/>
    <x v="0"/>
    <x v="0"/>
    <s v="Resigned"/>
    <s v="amellia@email.com"/>
    <s v="089962940202"/>
  </r>
  <r>
    <n v="962"/>
    <x v="961"/>
    <s v="Kifani Arifiah"/>
    <s v="Female"/>
    <d v="1991-05-11T00:00:00"/>
    <d v="2020-08-09T00:00:00"/>
    <x v="3"/>
    <x v="3"/>
    <s v="Active"/>
    <s v="kifaniarifiah@email.com"/>
    <s v="085159060688"/>
  </r>
  <r>
    <n v="963"/>
    <x v="962"/>
    <s v="Siti Aisyah"/>
    <s v="Female"/>
    <d v="1998-01-17T00:00:00"/>
    <d v="2021-05-03T00:00:00"/>
    <x v="1"/>
    <x v="1"/>
    <s v="Resigned"/>
    <s v="sitiaisyah@email.com"/>
    <s v="089756465601"/>
  </r>
  <r>
    <n v="964"/>
    <x v="963"/>
    <s v="Sopiatun"/>
    <s v="Female"/>
    <d v="1999-05-20T00:00:00"/>
    <d v="2018-02-22T00:00:00"/>
    <x v="1"/>
    <x v="1"/>
    <s v="Active"/>
    <s v="sopiatun@email.com"/>
    <s v="080133781655"/>
  </r>
  <r>
    <n v="965"/>
    <x v="964"/>
    <s v="Nur Imannudin"/>
    <s v="Male"/>
    <d v="1996-06-11T00:00:00"/>
    <d v="2023-07-04T00:00:00"/>
    <x v="0"/>
    <x v="0"/>
    <s v="Active"/>
    <s v="nurimannudin@email.com"/>
    <s v="085701952824"/>
  </r>
  <r>
    <n v="966"/>
    <x v="965"/>
    <s v="Kiki Amelia"/>
    <s v="Female"/>
    <d v="1999-03-06T00:00:00"/>
    <d v="2022-10-07T00:00:00"/>
    <x v="0"/>
    <x v="0"/>
    <s v="Resigned"/>
    <s v="kikiamelia@email.com"/>
    <s v="084465349874"/>
  </r>
  <r>
    <n v="967"/>
    <x v="966"/>
    <s v="Amelia"/>
    <s v="Female"/>
    <d v="2002-07-30T00:00:00"/>
    <d v="2018-07-09T00:00:00"/>
    <x v="1"/>
    <x v="1"/>
    <s v="Probation"/>
    <s v="amelia@email.com"/>
    <s v="083078868289"/>
  </r>
  <r>
    <n v="968"/>
    <x v="967"/>
    <s v="Mujizat Allamin"/>
    <s v="Male"/>
    <d v="1997-03-13T00:00:00"/>
    <d v="2021-05-13T00:00:00"/>
    <x v="0"/>
    <x v="0"/>
    <s v="Probation"/>
    <s v="mujizatallamin@email.com"/>
    <s v="082853575321"/>
  </r>
  <r>
    <n v="969"/>
    <x v="968"/>
    <s v="Murni Sarojah"/>
    <s v="Female"/>
    <d v="2002-06-04T00:00:00"/>
    <d v="2024-09-06T00:00:00"/>
    <x v="0"/>
    <x v="0"/>
    <s v="Active"/>
    <s v="murnisarojah@email.com"/>
    <s v="087784513113"/>
  </r>
  <r>
    <n v="970"/>
    <x v="969"/>
    <s v="Sri Wahyuni"/>
    <s v="Female"/>
    <d v="1994-04-02T00:00:00"/>
    <d v="2019-11-21T00:00:00"/>
    <x v="0"/>
    <x v="0"/>
    <s v="Resigned"/>
    <s v="sriwahyuni@email.com"/>
    <s v="0832489269"/>
  </r>
  <r>
    <n v="971"/>
    <x v="970"/>
    <s v="Novi Oktavia Ramadani"/>
    <s v="Female"/>
    <d v="1985-09-20T00:00:00"/>
    <d v="2018-07-08T00:00:00"/>
    <x v="0"/>
    <x v="0"/>
    <s v="Active"/>
    <s v="novioktaviaramadani@email.com"/>
    <s v="089756465602"/>
  </r>
  <r>
    <n v="972"/>
    <x v="971"/>
    <s v="Wiwin Indriyani"/>
    <s v="Female"/>
    <d v="2003-05-28T00:00:00"/>
    <d v="2020-11-19T00:00:00"/>
    <x v="0"/>
    <x v="0"/>
    <s v="Active"/>
    <s v="wiwinindriyani@email.com"/>
    <s v="086879954276"/>
  </r>
  <r>
    <n v="973"/>
    <x v="972"/>
    <s v="Khafit Khaerul Fatikhin"/>
    <s v="Male"/>
    <d v="1990-12-31T00:00:00"/>
    <d v="2025-08-08T00:00:00"/>
    <x v="5"/>
    <x v="5"/>
    <s v="Resigned"/>
    <s v="khafitkhaerulfatikhin@email.com"/>
    <s v="082420697140"/>
  </r>
  <r>
    <n v="974"/>
    <x v="973"/>
    <s v="M Khoerul Amin"/>
    <s v="Male"/>
    <d v="1988-07-21T00:00:00"/>
    <d v="2025-07-22T00:00:00"/>
    <x v="5"/>
    <x v="5"/>
    <s v="Active"/>
    <s v="mkhoerulamin@email.com"/>
    <s v="083886026810"/>
  </r>
  <r>
    <n v="975"/>
    <x v="974"/>
    <s v="Ahmad Ighnail Marzuk"/>
    <s v="Male"/>
    <d v="2000-11-07T00:00:00"/>
    <d v="2022-01-07T00:00:00"/>
    <x v="4"/>
    <x v="4"/>
    <s v="Resigned"/>
    <s v="ahmadighnailmarzuk@email.com"/>
    <s v="084517881174"/>
  </r>
  <r>
    <n v="976"/>
    <x v="975"/>
    <s v="Khoirul Husna"/>
    <s v="Male"/>
    <d v="1998-04-02T00:00:00"/>
    <d v="2024-09-02T00:00:00"/>
    <x v="0"/>
    <x v="0"/>
    <s v="Active"/>
    <s v="khoirulhusna@email.com"/>
    <s v="089661071266"/>
  </r>
  <r>
    <n v="977"/>
    <x v="976"/>
    <s v="Mita Astriyani"/>
    <s v="Female"/>
    <d v="1987-06-20T00:00:00"/>
    <d v="2018-08-05T00:00:00"/>
    <x v="0"/>
    <x v="0"/>
    <s v="Probation"/>
    <s v="mitaastriyani@email.com"/>
    <s v="086408473676"/>
  </r>
  <r>
    <n v="978"/>
    <x v="977"/>
    <s v="Dwi Febri Valentin"/>
    <s v="Female"/>
    <d v="1988-08-04T00:00:00"/>
    <d v="2019-05-30T00:00:00"/>
    <x v="0"/>
    <x v="0"/>
    <s v="Active"/>
    <s v="dwifebrivalentin@email.com"/>
    <s v="084196267016"/>
  </r>
  <r>
    <n v="979"/>
    <x v="978"/>
    <s v="Ayu Faliyani"/>
    <s v="Female"/>
    <d v="1989-11-03T00:00:00"/>
    <d v="2024-03-15T00:00:00"/>
    <x v="0"/>
    <x v="0"/>
    <s v="Resigned"/>
    <s v="ayufaliyani@email.com"/>
    <s v="085217172399"/>
  </r>
  <r>
    <n v="980"/>
    <x v="979"/>
    <s v="Novi Puspita Dewi"/>
    <s v="Female"/>
    <d v="1989-08-25T00:00:00"/>
    <d v="2023-08-03T00:00:00"/>
    <x v="0"/>
    <x v="0"/>
    <s v="Resigned"/>
    <s v="novipuspitadewi@email.com"/>
    <s v="087924154610"/>
  </r>
  <r>
    <n v="981"/>
    <x v="980"/>
    <s v="Uswatun Khasanah"/>
    <s v="Female"/>
    <d v="1997-11-15T00:00:00"/>
    <d v="2025-03-22T00:00:00"/>
    <x v="0"/>
    <x v="0"/>
    <s v="Probation"/>
    <s v="uswatunkhasanah@email.com"/>
    <s v="080104259563"/>
  </r>
  <r>
    <n v="982"/>
    <x v="981"/>
    <s v="Dewi Tri Asih"/>
    <s v="Female"/>
    <d v="1991-05-08T00:00:00"/>
    <d v="2019-06-07T00:00:00"/>
    <x v="1"/>
    <x v="1"/>
    <s v="Active"/>
    <s v="dewitriasih@email.com"/>
    <s v="085114117220"/>
  </r>
  <r>
    <n v="983"/>
    <x v="982"/>
    <s v="Istikomah Mariana"/>
    <s v="Female"/>
    <d v="1985-12-08T00:00:00"/>
    <d v="2025-01-28T00:00:00"/>
    <x v="3"/>
    <x v="3"/>
    <s v="Resigned"/>
    <s v="istikomahmariana@email.com"/>
    <s v="087622799503"/>
  </r>
  <r>
    <n v="984"/>
    <x v="983"/>
    <s v="Nur Afni Fauziyah"/>
    <s v="Female"/>
    <d v="1998-07-08T00:00:00"/>
    <d v="2024-08-19T00:00:00"/>
    <x v="3"/>
    <x v="3"/>
    <s v="Active"/>
    <s v="nurafnifauziyah@email.com"/>
    <s v="088112210410"/>
  </r>
  <r>
    <n v="985"/>
    <x v="984"/>
    <s v="Resma Saputri"/>
    <s v="Female"/>
    <d v="1997-12-29T00:00:00"/>
    <d v="2021-12-02T00:00:00"/>
    <x v="7"/>
    <x v="7"/>
    <s v="Resigned"/>
    <s v="resmasaputri@email.com"/>
    <s v="087818136582"/>
  </r>
  <r>
    <n v="986"/>
    <x v="985"/>
    <s v="Labibah Uswatun Khasanah"/>
    <s v="Female"/>
    <d v="1998-09-26T00:00:00"/>
    <d v="2024-02-06T00:00:00"/>
    <x v="0"/>
    <x v="0"/>
    <s v="Active"/>
    <s v="labibahuswatunkhasanah@email.com"/>
    <s v="086623360749"/>
  </r>
  <r>
    <n v="987"/>
    <x v="986"/>
    <s v="Muhammad Pasha Nur Rifki"/>
    <s v="Male"/>
    <d v="2003-01-30T00:00:00"/>
    <d v="2018-12-19T00:00:00"/>
    <x v="0"/>
    <x v="0"/>
    <s v="Active"/>
    <s v="muhammadpashanurrifki@email.com"/>
    <s v="088180124354"/>
  </r>
  <r>
    <n v="988"/>
    <x v="987"/>
    <s v="Eka Handayono"/>
    <s v="Male"/>
    <d v="1996-01-02T00:00:00"/>
    <d v="2023-06-13T00:00:00"/>
    <x v="4"/>
    <x v="4"/>
    <s v="Active"/>
    <s v="ekahandayono@email.com"/>
    <s v="088509455541"/>
  </r>
  <r>
    <n v="989"/>
    <x v="988"/>
    <s v="Dasep Adi Hardiyansah"/>
    <s v="Male"/>
    <d v="2003-08-26T00:00:00"/>
    <d v="2019-11-08T00:00:00"/>
    <x v="5"/>
    <x v="5"/>
    <s v="Resigned"/>
    <s v="dasepadihardiyansah@email.com"/>
    <s v="087847255094"/>
  </r>
  <r>
    <n v="990"/>
    <x v="989"/>
    <s v="Zaenun Najib"/>
    <s v="Male"/>
    <d v="1994-07-17T00:00:00"/>
    <d v="2024-10-12T00:00:00"/>
    <x v="4"/>
    <x v="4"/>
    <s v="Resigned"/>
    <s v="zaenunnajib@email.com"/>
    <s v="089756465603"/>
  </r>
  <r>
    <n v="991"/>
    <x v="990"/>
    <s v="Eka Rahmat Riyanto"/>
    <s v="Male"/>
    <d v="2003-05-28T00:00:00"/>
    <d v="2021-03-19T00:00:00"/>
    <x v="4"/>
    <x v="4"/>
    <s v="Active"/>
    <s v="ekarahmatriyanto@email.com"/>
    <s v="084824617496"/>
  </r>
  <r>
    <n v="992"/>
    <x v="991"/>
    <s v="Novita"/>
    <s v="Female"/>
    <d v="1988-04-21T00:00:00"/>
    <d v="2024-08-20T00:00:00"/>
    <x v="0"/>
    <x v="0"/>
    <s v="Active"/>
    <s v="novita@email.com"/>
    <s v="084425023722"/>
  </r>
  <r>
    <n v="993"/>
    <x v="992"/>
    <s v="Delan Nurmala"/>
    <s v="Female"/>
    <d v="2001-10-04T00:00:00"/>
    <d v="2018-06-02T00:00:00"/>
    <x v="0"/>
    <x v="0"/>
    <s v="Active"/>
    <s v="delannurmala@email.com"/>
    <s v="083797924561"/>
  </r>
  <r>
    <n v="994"/>
    <x v="993"/>
    <s v="Anggi Pangestu"/>
    <s v="Male"/>
    <d v="2000-05-02T00:00:00"/>
    <d v="2021-06-16T00:00:00"/>
    <x v="6"/>
    <x v="6"/>
    <s v="Resigned"/>
    <s v="anggipangestu@email.com"/>
    <s v="080574143487"/>
  </r>
  <r>
    <n v="995"/>
    <x v="994"/>
    <s v="Usi Sulistiawati"/>
    <s v="Female"/>
    <d v="2001-06-09T00:00:00"/>
    <d v="2024-02-12T00:00:00"/>
    <x v="7"/>
    <x v="7"/>
    <s v="Resigned"/>
    <s v="usisulistiawati@email.com"/>
    <s v="087740801043"/>
  </r>
  <r>
    <n v="996"/>
    <x v="995"/>
    <s v="Anastasya Astri Muzalfah"/>
    <s v="Female"/>
    <d v="2000-08-18T00:00:00"/>
    <d v="2023-08-07T00:00:00"/>
    <x v="0"/>
    <x v="0"/>
    <s v="Active"/>
    <s v="anastasyaastrimuzalfah@email.com"/>
    <s v="085446242211"/>
  </r>
  <r>
    <n v="997"/>
    <x v="996"/>
    <s v="Meisya Ajeng Artika Sari"/>
    <s v="Female"/>
    <d v="1987-07-22T00:00:00"/>
    <d v="2022-08-26T00:00:00"/>
    <x v="3"/>
    <x v="3"/>
    <s v="Resigned"/>
    <s v="meisyaajengartikasari@email.com"/>
    <s v="085291159736"/>
  </r>
  <r>
    <n v="998"/>
    <x v="997"/>
    <s v="Irfan Hibatullah"/>
    <s v="Male"/>
    <d v="1995-05-25T00:00:00"/>
    <d v="2025-06-21T00:00:00"/>
    <x v="0"/>
    <x v="0"/>
    <s v="Probation"/>
    <s v="irfanhibatullah@email.com"/>
    <s v="084966504762"/>
  </r>
  <r>
    <n v="999"/>
    <x v="998"/>
    <s v="Indriyani Rahayu"/>
    <s v="Female"/>
    <d v="1998-01-01T00:00:00"/>
    <d v="2021-09-14T00:00:00"/>
    <x v="0"/>
    <x v="0"/>
    <s v="Resigned"/>
    <s v="indriyanirahayu@email.com"/>
    <s v="080817906233"/>
  </r>
  <r>
    <n v="1000"/>
    <x v="999"/>
    <s v="Agus Priyadi"/>
    <s v="Male"/>
    <d v="1988-07-16T00:00:00"/>
    <d v="2020-06-02T00:00:00"/>
    <x v="5"/>
    <x v="5"/>
    <s v="Active"/>
    <s v="aguspriyadi@email.com"/>
    <s v="080019026420"/>
  </r>
</pivotCacheRecords>
</file>

<file path=xl/pivotCache/pivotCacheRecords2.xml><?xml version="1.0" encoding="utf-8"?>
<pivotCacheRecords xmlns="http://schemas.openxmlformats.org/spreadsheetml/2006/main" xmlns:r="http://schemas.openxmlformats.org/officeDocument/2006/relationships" count="1000">
  <r>
    <s v="EMP0001"/>
    <s v="Ridwan Akmaluddin"/>
    <x v="0"/>
    <d v="1988-05-25T00:00:00"/>
    <d v="2022-12-29T00:00:00"/>
    <x v="0"/>
    <x v="0"/>
    <x v="0"/>
    <s v="ridwanakmaluddin@email.com"/>
    <s v="082188191195"/>
  </r>
  <r>
    <s v="EMP0002"/>
    <s v="Siti Maghfiroh"/>
    <x v="1"/>
    <d v="1986-10-02T00:00:00"/>
    <d v="2024-10-12T00:00:00"/>
    <x v="0"/>
    <x v="0"/>
    <x v="0"/>
    <s v="sitimaghfiroh@email.com"/>
    <s v="0893260231"/>
  </r>
  <r>
    <s v="EMP0003"/>
    <s v="Diyah Rhodhotul Avivah"/>
    <x v="1"/>
    <d v="1994-10-02T00:00:00"/>
    <d v="2025-09-01T00:00:00"/>
    <x v="1"/>
    <x v="1"/>
    <x v="1"/>
    <s v="diyahrhodhotulavivah@email.com"/>
    <s v="088550888361"/>
  </r>
  <r>
    <s v="EMP0004"/>
    <s v="Avielva Zhelviany"/>
    <x v="1"/>
    <d v="2003-05-04T00:00:00"/>
    <d v="2023-01-02T00:00:00"/>
    <x v="2"/>
    <x v="2"/>
    <x v="0"/>
    <s v="avielvazhelviany@email.com"/>
    <s v="085713227015"/>
  </r>
  <r>
    <s v="EMP0005"/>
    <s v="Dede Mulyaningsih"/>
    <x v="1"/>
    <d v="1997-11-23T00:00:00"/>
    <d v="2023-04-08T00:00:00"/>
    <x v="0"/>
    <x v="0"/>
    <x v="0"/>
    <s v="dedemulyaningsih@email.com"/>
    <s v="080015675393"/>
  </r>
  <r>
    <s v="EMP0006"/>
    <s v="Ferri Riyanto"/>
    <x v="0"/>
    <d v="2002-06-16T00:00:00"/>
    <d v="2024-11-30T00:00:00"/>
    <x v="0"/>
    <x v="0"/>
    <x v="2"/>
    <s v="ferririyanto@email.com"/>
    <s v="082274087008"/>
  </r>
  <r>
    <s v="EMP0007"/>
    <s v="Alfi Nur Fadilah"/>
    <x v="1"/>
    <d v="1986-10-25T00:00:00"/>
    <d v="2024-02-14T00:00:00"/>
    <x v="1"/>
    <x v="1"/>
    <x v="0"/>
    <s v="alfinurfadilah@email.com"/>
    <s v="083226933728"/>
  </r>
  <r>
    <s v="EMP0008"/>
    <s v="Latif Ainur Rokhmah"/>
    <x v="1"/>
    <d v="1988-10-05T00:00:00"/>
    <d v="2021-12-02T00:00:00"/>
    <x v="2"/>
    <x v="2"/>
    <x v="0"/>
    <s v="latifainurrokhmah@email.com"/>
    <s v="087585339477"/>
  </r>
  <r>
    <s v="EMP0009"/>
    <s v="Fajar B Pratama"/>
    <x v="0"/>
    <d v="1993-10-27T00:00:00"/>
    <d v="2021-11-29T00:00:00"/>
    <x v="0"/>
    <x v="0"/>
    <x v="2"/>
    <s v="fajarbpratama@email.com"/>
    <s v="089883379308"/>
  </r>
  <r>
    <s v="EMP0010"/>
    <s v="Veby Astriani"/>
    <x v="1"/>
    <d v="1988-03-14T00:00:00"/>
    <d v="2025-06-10T00:00:00"/>
    <x v="0"/>
    <x v="0"/>
    <x v="1"/>
    <s v="vebyastriani@email.com"/>
    <s v="085418191103"/>
  </r>
  <r>
    <s v="EMP0011"/>
    <s v="A Khoirurroziqin"/>
    <x v="0"/>
    <d v="1998-03-28T00:00:00"/>
    <d v="2022-07-27T00:00:00"/>
    <x v="3"/>
    <x v="3"/>
    <x v="2"/>
    <s v="akhoirurroziqin@email.com"/>
    <s v="085944301279"/>
  </r>
  <r>
    <s v="EMP0012"/>
    <s v="Dian Nur Ardilla"/>
    <x v="0"/>
    <d v="1998-11-02T00:00:00"/>
    <d v="2019-11-14T00:00:00"/>
    <x v="4"/>
    <x v="4"/>
    <x v="0"/>
    <s v="diannurardilla@email.com"/>
    <s v="0803522114"/>
  </r>
  <r>
    <s v="EMP0013"/>
    <s v="Lutfi Ardiansyah"/>
    <x v="0"/>
    <d v="2001-07-30T00:00:00"/>
    <d v="2020-12-11T00:00:00"/>
    <x v="0"/>
    <x v="0"/>
    <x v="2"/>
    <s v="lutfiardiansyah@email.com"/>
    <s v="087480756904"/>
  </r>
  <r>
    <s v="EMP0014"/>
    <s v="Rahmayanti"/>
    <x v="1"/>
    <d v="2003-10-12T00:00:00"/>
    <d v="2020-03-31T00:00:00"/>
    <x v="0"/>
    <x v="0"/>
    <x v="0"/>
    <s v="rahmayanti@email.com"/>
    <s v="084798489654"/>
  </r>
  <r>
    <s v="EMP0015"/>
    <s v="Rahma Yuliana"/>
    <x v="1"/>
    <d v="1999-06-16T00:00:00"/>
    <d v="2020-07-07T00:00:00"/>
    <x v="0"/>
    <x v="0"/>
    <x v="2"/>
    <s v="rahmayuliana@email.com"/>
    <s v="0853887755"/>
  </r>
  <r>
    <s v="EMP0016"/>
    <s v="Wawan Setiawan Wandi"/>
    <x v="0"/>
    <d v="2004-01-02T00:00:00"/>
    <d v="2023-06-01T00:00:00"/>
    <x v="5"/>
    <x v="5"/>
    <x v="2"/>
    <s v="wawansetiawanwandi@email.com"/>
    <s v="080556387310"/>
  </r>
  <r>
    <s v="EMP0017"/>
    <s v="Nur Aisyah"/>
    <x v="1"/>
    <d v="1987-11-16T00:00:00"/>
    <d v="2019-05-10T00:00:00"/>
    <x v="3"/>
    <x v="3"/>
    <x v="2"/>
    <s v="nuraisyah@email.com"/>
    <s v="085278436321"/>
  </r>
  <r>
    <s v="EMP0018"/>
    <s v="Muhammad Rifal Ilyas"/>
    <x v="0"/>
    <d v="1986-04-13T00:00:00"/>
    <d v="2024-07-09T00:00:00"/>
    <x v="6"/>
    <x v="6"/>
    <x v="0"/>
    <s v="muhammadrifalilyas@email.com"/>
    <s v="086137380821"/>
  </r>
  <r>
    <s v="EMP0019"/>
    <s v="Tiyo Aryo"/>
    <x v="0"/>
    <d v="1999-07-15T00:00:00"/>
    <d v="2021-11-25T00:00:00"/>
    <x v="0"/>
    <x v="0"/>
    <x v="2"/>
    <s v="tiyoaryo@email.com"/>
    <s v="085740892375"/>
  </r>
  <r>
    <s v="EMP0020"/>
    <s v="Aditya Nugraha"/>
    <x v="0"/>
    <d v="2000-07-25T00:00:00"/>
    <d v="2018-01-16T00:00:00"/>
    <x v="7"/>
    <x v="7"/>
    <x v="0"/>
    <s v="adityanugraha@email.com"/>
    <s v="087056427531"/>
  </r>
  <r>
    <s v="EMP0021"/>
    <s v="Abdul Aziz"/>
    <x v="0"/>
    <d v="1994-07-20T00:00:00"/>
    <d v="2020-06-02T00:00:00"/>
    <x v="4"/>
    <x v="4"/>
    <x v="0"/>
    <s v="abdulaziz@email.com"/>
    <s v="081418040871"/>
  </r>
  <r>
    <s v="EMP0022"/>
    <s v="Ozi Priyanto"/>
    <x v="0"/>
    <d v="1987-09-27T00:00:00"/>
    <d v="2018-04-15T00:00:00"/>
    <x v="0"/>
    <x v="0"/>
    <x v="2"/>
    <s v="ozipriyanto@email.com"/>
    <s v="087596693717"/>
  </r>
  <r>
    <s v="EMP0023"/>
    <s v="M Aditya Mumin Ansori"/>
    <x v="0"/>
    <d v="1985-08-16T00:00:00"/>
    <d v="2023-08-23T00:00:00"/>
    <x v="7"/>
    <x v="7"/>
    <x v="0"/>
    <s v="madityamuminansori@email.com"/>
    <s v="084236403700"/>
  </r>
  <r>
    <s v="EMP0024"/>
    <s v="Siti Rochanah"/>
    <x v="1"/>
    <d v="1985-06-30T00:00:00"/>
    <d v="2022-01-15T00:00:00"/>
    <x v="0"/>
    <x v="0"/>
    <x v="1"/>
    <s v="sitirochanah@email.com"/>
    <s v="089977416966"/>
  </r>
  <r>
    <s v="EMP0025"/>
    <s v="Miske Nur Agustina"/>
    <x v="0"/>
    <d v="1995-05-03T00:00:00"/>
    <d v="2021-08-30T00:00:00"/>
    <x v="5"/>
    <x v="5"/>
    <x v="1"/>
    <s v="miskenuragustina@email.com"/>
    <s v="085419858274"/>
  </r>
  <r>
    <s v="EMP0026"/>
    <s v="Novi Wulandari"/>
    <x v="1"/>
    <d v="1985-03-02T00:00:00"/>
    <d v="2024-12-05T00:00:00"/>
    <x v="0"/>
    <x v="0"/>
    <x v="2"/>
    <s v="noviwulandari@email.com"/>
    <s v="084291820015"/>
  </r>
  <r>
    <s v="EMP0027"/>
    <s v="Rohmat"/>
    <x v="0"/>
    <d v="1994-02-13T00:00:00"/>
    <d v="2020-12-27T00:00:00"/>
    <x v="0"/>
    <x v="0"/>
    <x v="2"/>
    <s v="rohmat@email.com"/>
    <s v="085701851280"/>
  </r>
  <r>
    <s v="EMP0028"/>
    <s v="Feni Khoeru Nisa"/>
    <x v="1"/>
    <d v="1997-05-20T00:00:00"/>
    <d v="2019-09-07T00:00:00"/>
    <x v="3"/>
    <x v="3"/>
    <x v="2"/>
    <s v="fenikhoerunisa@email.com"/>
    <s v="088403857882"/>
  </r>
  <r>
    <s v="EMP0029"/>
    <s v="Hendri Setiawan"/>
    <x v="0"/>
    <d v="1994-01-20T00:00:00"/>
    <d v="2024-07-31T00:00:00"/>
    <x v="0"/>
    <x v="0"/>
    <x v="0"/>
    <s v="hendrisetiawan@email.com"/>
    <s v="087137516884"/>
  </r>
  <r>
    <s v="EMP0030"/>
    <s v="Samsul Bahri"/>
    <x v="0"/>
    <d v="1996-08-24T00:00:00"/>
    <d v="2025-03-15T00:00:00"/>
    <x v="0"/>
    <x v="0"/>
    <x v="2"/>
    <s v="samsulbahri@email.com"/>
    <s v="085431036796"/>
  </r>
  <r>
    <s v="EMP0031"/>
    <s v="Nur Laeli Isna Marziatun"/>
    <x v="1"/>
    <d v="1999-01-18T00:00:00"/>
    <d v="2022-03-08T00:00:00"/>
    <x v="0"/>
    <x v="0"/>
    <x v="1"/>
    <s v="nurlaeliisnamarziatun@email.com"/>
    <s v="086879016495"/>
  </r>
  <r>
    <s v="EMP0032"/>
    <s v="Shinanda Saraswati"/>
    <x v="1"/>
    <d v="2000-09-27T00:00:00"/>
    <d v="2023-06-06T00:00:00"/>
    <x v="1"/>
    <x v="1"/>
    <x v="1"/>
    <s v="shinandasaraswati@email.com"/>
    <s v="081775706565"/>
  </r>
  <r>
    <s v="EMP0033"/>
    <s v="Adinda Ayu Ramadhani"/>
    <x v="1"/>
    <d v="2003-03-18T00:00:00"/>
    <d v="2018-01-17T00:00:00"/>
    <x v="0"/>
    <x v="0"/>
    <x v="1"/>
    <s v="adindaayuramadhani@email.com"/>
    <s v="083582405884"/>
  </r>
  <r>
    <s v="EMP0034"/>
    <s v="Rismayana Sahira"/>
    <x v="1"/>
    <d v="1997-03-26T00:00:00"/>
    <d v="2019-04-08T00:00:00"/>
    <x v="0"/>
    <x v="0"/>
    <x v="0"/>
    <s v="rismayanasahira@email.com"/>
    <s v="089475551432"/>
  </r>
  <r>
    <s v="EMP0035"/>
    <s v="Muhammad Nur Iskandar"/>
    <x v="0"/>
    <d v="2003-06-21T00:00:00"/>
    <d v="2019-07-17T00:00:00"/>
    <x v="0"/>
    <x v="0"/>
    <x v="2"/>
    <s v="muhammadnuriskandar@email.com"/>
    <s v="087146296583"/>
  </r>
  <r>
    <s v="EMP0036"/>
    <s v="Aditya Rohmatika"/>
    <x v="0"/>
    <d v="2000-04-04T00:00:00"/>
    <d v="2022-11-10T00:00:00"/>
    <x v="8"/>
    <x v="8"/>
    <x v="0"/>
    <s v="adityarohmatika@email.com"/>
    <s v="080650130549"/>
  </r>
  <r>
    <s v="EMP0037"/>
    <s v="Rizqi Amalia"/>
    <x v="1"/>
    <d v="1989-11-04T00:00:00"/>
    <d v="2021-02-06T00:00:00"/>
    <x v="0"/>
    <x v="0"/>
    <x v="1"/>
    <s v="rizqiamalia@email.com"/>
    <s v="086508782132"/>
  </r>
  <r>
    <s v="EMP0038"/>
    <s v="Beni"/>
    <x v="0"/>
    <d v="2001-03-09T00:00:00"/>
    <d v="2020-06-23T00:00:00"/>
    <x v="0"/>
    <x v="0"/>
    <x v="0"/>
    <s v="beni@email.com"/>
    <s v="0846922616"/>
  </r>
  <r>
    <s v="EMP0039"/>
    <s v="Vitriya Amanda Putri"/>
    <x v="1"/>
    <d v="2004-01-25T00:00:00"/>
    <d v="2021-08-08T00:00:00"/>
    <x v="8"/>
    <x v="8"/>
    <x v="0"/>
    <s v="vitriyaamandaputri@email.com"/>
    <s v="086460584576"/>
  </r>
  <r>
    <s v="EMP0040"/>
    <s v="Alda Surya Wijaya"/>
    <x v="0"/>
    <d v="1988-01-26T00:00:00"/>
    <d v="2021-07-23T00:00:00"/>
    <x v="0"/>
    <x v="0"/>
    <x v="1"/>
    <s v="aldasuryawijaya@email.com"/>
    <s v="088873927718"/>
  </r>
  <r>
    <s v="EMP0041"/>
    <s v="Fika Suci Sanawaliyah"/>
    <x v="1"/>
    <d v="1987-11-24T00:00:00"/>
    <d v="2022-09-28T00:00:00"/>
    <x v="0"/>
    <x v="0"/>
    <x v="2"/>
    <s v="fikasucisanawaliyah@email.com"/>
    <s v="085636332286"/>
  </r>
  <r>
    <s v="EMP0042"/>
    <s v="Bagus Wiranto"/>
    <x v="0"/>
    <d v="1990-05-01T00:00:00"/>
    <d v="2022-02-28T00:00:00"/>
    <x v="2"/>
    <x v="2"/>
    <x v="0"/>
    <s v="baguswiranto@email.com"/>
    <s v="082626918134"/>
  </r>
  <r>
    <s v="EMP0043"/>
    <s v="Sahrul Faizal Ramadhon"/>
    <x v="0"/>
    <d v="1990-01-10T00:00:00"/>
    <d v="2019-06-26T00:00:00"/>
    <x v="0"/>
    <x v="0"/>
    <x v="0"/>
    <s v="sahrulfaizalramadhon@email.com"/>
    <s v="084739492257"/>
  </r>
  <r>
    <s v="EMP0044"/>
    <s v="Dian Prastiana"/>
    <x v="0"/>
    <d v="1987-01-08T00:00:00"/>
    <d v="2018-05-31T00:00:00"/>
    <x v="0"/>
    <x v="0"/>
    <x v="2"/>
    <s v="dianprastiana@email.com"/>
    <s v="086451989393"/>
  </r>
  <r>
    <s v="EMP0045"/>
    <s v="Uswatun Khasanah"/>
    <x v="1"/>
    <d v="1989-12-22T00:00:00"/>
    <d v="2025-05-29T00:00:00"/>
    <x v="0"/>
    <x v="0"/>
    <x v="0"/>
    <s v="uswatunkhasanah@email.com"/>
    <s v="084176066224"/>
  </r>
  <r>
    <s v="EMP0046"/>
    <s v="Ika Risyifa Khaerunissa"/>
    <x v="1"/>
    <d v="1996-10-18T00:00:00"/>
    <d v="2018-05-18T00:00:00"/>
    <x v="0"/>
    <x v="0"/>
    <x v="0"/>
    <s v="ikarisyifakhaerunissa@email.com"/>
    <s v="082084751572"/>
  </r>
  <r>
    <s v="EMP0047"/>
    <s v="Ayu Pratmawati"/>
    <x v="1"/>
    <d v="1993-10-06T00:00:00"/>
    <d v="2020-01-29T00:00:00"/>
    <x v="0"/>
    <x v="0"/>
    <x v="2"/>
    <s v="ayupratmawati@email.com"/>
    <s v="086743969318"/>
  </r>
  <r>
    <s v="EMP0048"/>
    <s v="Ilman Nafiuddin"/>
    <x v="0"/>
    <d v="1985-02-11T00:00:00"/>
    <d v="2022-03-17T00:00:00"/>
    <x v="5"/>
    <x v="5"/>
    <x v="0"/>
    <s v="ilmannafiuddin@email.com"/>
    <s v="083285892002"/>
  </r>
  <r>
    <s v="EMP0049"/>
    <s v="Nur Laela Pitriyana"/>
    <x v="1"/>
    <d v="1997-12-25T00:00:00"/>
    <d v="2022-08-28T00:00:00"/>
    <x v="0"/>
    <x v="0"/>
    <x v="0"/>
    <s v="nurlaelapitriyana@email.com"/>
    <s v="086710387241"/>
  </r>
  <r>
    <s v="EMP0050"/>
    <s v="Riski Ayu Fahrun Nisa"/>
    <x v="1"/>
    <d v="1995-08-14T00:00:00"/>
    <d v="2023-06-09T00:00:00"/>
    <x v="0"/>
    <x v="0"/>
    <x v="2"/>
    <s v="riskiayufahrunnisa@email.com"/>
    <s v="082425208158"/>
  </r>
  <r>
    <s v="EMP0051"/>
    <s v="Sasti Frayoga"/>
    <x v="0"/>
    <d v="2002-06-07T00:00:00"/>
    <d v="2019-10-20T00:00:00"/>
    <x v="0"/>
    <x v="0"/>
    <x v="2"/>
    <s v="sastifrayoga@email.com"/>
    <s v="085853897382"/>
  </r>
  <r>
    <s v="EMP0052"/>
    <s v="Artania Putri Purniawan"/>
    <x v="1"/>
    <d v="1990-07-04T00:00:00"/>
    <d v="2023-08-22T00:00:00"/>
    <x v="2"/>
    <x v="2"/>
    <x v="0"/>
    <s v="artaniaputripurniawan@email.com"/>
    <s v="082967656623"/>
  </r>
  <r>
    <s v="EMP0053"/>
    <s v="Robi Alfandi"/>
    <x v="0"/>
    <d v="2000-02-09T00:00:00"/>
    <d v="2022-03-17T00:00:00"/>
    <x v="5"/>
    <x v="5"/>
    <x v="2"/>
    <s v="robialfandi@email.com"/>
    <s v="085855267614"/>
  </r>
  <r>
    <s v="EMP0054"/>
    <s v="Nur Royanah"/>
    <x v="1"/>
    <d v="2002-01-14T00:00:00"/>
    <d v="2022-12-12T00:00:00"/>
    <x v="2"/>
    <x v="2"/>
    <x v="0"/>
    <s v="nurroyanah@email.com"/>
    <s v="089326367902"/>
  </r>
  <r>
    <s v="EMP0055"/>
    <s v="Dwi Feri Susanto"/>
    <x v="0"/>
    <d v="2000-12-11T00:00:00"/>
    <d v="2018-06-03T00:00:00"/>
    <x v="6"/>
    <x v="6"/>
    <x v="0"/>
    <s v="dwiferisusanto@email.com"/>
    <s v="087568168986"/>
  </r>
  <r>
    <s v="EMP0056"/>
    <s v="Nur Khasanah"/>
    <x v="1"/>
    <d v="1996-06-14T00:00:00"/>
    <d v="2019-07-31T00:00:00"/>
    <x v="0"/>
    <x v="0"/>
    <x v="0"/>
    <s v="nurkhasanah@email.com"/>
    <s v="087271267681"/>
  </r>
  <r>
    <s v="EMP0057"/>
    <s v="Aghnia Maghfiroh"/>
    <x v="1"/>
    <d v="2002-04-10T00:00:00"/>
    <d v="2021-04-14T00:00:00"/>
    <x v="0"/>
    <x v="0"/>
    <x v="2"/>
    <s v="aghniamaghfiroh@email.com"/>
    <s v="084633059082"/>
  </r>
  <r>
    <s v="EMP0058"/>
    <s v="Wina Cahaya"/>
    <x v="1"/>
    <d v="1988-08-24T00:00:00"/>
    <d v="2021-01-01T00:00:00"/>
    <x v="0"/>
    <x v="0"/>
    <x v="1"/>
    <s v="winacahaya@email.com"/>
    <s v="086957931301"/>
  </r>
  <r>
    <s v="EMP0059"/>
    <s v="Nur Fadilah"/>
    <x v="0"/>
    <d v="1987-09-06T00:00:00"/>
    <d v="2025-04-25T00:00:00"/>
    <x v="0"/>
    <x v="0"/>
    <x v="2"/>
    <s v="nurfadilah@email.com"/>
    <s v="084846589712"/>
  </r>
  <r>
    <s v="EMP0060"/>
    <s v="Ashar Sabiila"/>
    <x v="0"/>
    <d v="1989-03-29T00:00:00"/>
    <d v="2022-06-24T00:00:00"/>
    <x v="5"/>
    <x v="5"/>
    <x v="0"/>
    <s v="asharsabiila@email.com"/>
    <s v="088701669874"/>
  </r>
  <r>
    <s v="EMP0061"/>
    <s v="Umiyati Salamiyah"/>
    <x v="1"/>
    <d v="1992-05-12T00:00:00"/>
    <d v="2019-09-06T00:00:00"/>
    <x v="3"/>
    <x v="3"/>
    <x v="2"/>
    <s v="umiyatisalamiyah@email.com"/>
    <s v="085800467107"/>
  </r>
  <r>
    <s v="EMP0062"/>
    <s v="Marsa Dwi Widodo"/>
    <x v="1"/>
    <d v="1992-10-11T00:00:00"/>
    <d v="2024-02-17T00:00:00"/>
    <x v="0"/>
    <x v="0"/>
    <x v="1"/>
    <s v="marsadwiwidodo@email.com"/>
    <s v="084247612506"/>
  </r>
  <r>
    <s v="EMP0063"/>
    <s v="Bayu Eman Setiawan"/>
    <x v="0"/>
    <d v="1987-04-11T00:00:00"/>
    <d v="2019-02-14T00:00:00"/>
    <x v="0"/>
    <x v="0"/>
    <x v="1"/>
    <s v="bayuemansetiawan@email.com"/>
    <s v="085663466221"/>
  </r>
  <r>
    <s v="EMP0064"/>
    <s v="Muh Rasya Nur Rizki"/>
    <x v="0"/>
    <d v="1993-07-26T00:00:00"/>
    <d v="2022-06-09T00:00:00"/>
    <x v="6"/>
    <x v="6"/>
    <x v="0"/>
    <s v="muhrasyanurrizki@email.com"/>
    <s v="082791580056"/>
  </r>
  <r>
    <s v="EMP0065"/>
    <s v="Dafid Silva"/>
    <x v="0"/>
    <d v="1990-03-24T00:00:00"/>
    <d v="2019-10-22T00:00:00"/>
    <x v="5"/>
    <x v="5"/>
    <x v="1"/>
    <s v="dafidsilva@email.com"/>
    <s v="081129466478"/>
  </r>
  <r>
    <s v="EMP0066"/>
    <s v="Wulan Ariska"/>
    <x v="1"/>
    <d v="1989-03-18T00:00:00"/>
    <d v="2023-02-23T00:00:00"/>
    <x v="0"/>
    <x v="0"/>
    <x v="0"/>
    <s v="wulanariska@email.com"/>
    <s v="081629677537"/>
  </r>
  <r>
    <s v="EMP0067"/>
    <s v="Kholifatun Khasanah"/>
    <x v="1"/>
    <d v="1998-06-19T00:00:00"/>
    <d v="2023-02-13T00:00:00"/>
    <x v="3"/>
    <x v="3"/>
    <x v="2"/>
    <s v="kholifatunkhasanah@email.com"/>
    <s v="082454429356"/>
  </r>
  <r>
    <s v="EMP0068"/>
    <s v="Izatul Khayati"/>
    <x v="1"/>
    <d v="1986-06-11T00:00:00"/>
    <d v="2019-10-03T00:00:00"/>
    <x v="0"/>
    <x v="0"/>
    <x v="2"/>
    <s v="izatulkhayati@email.com"/>
    <s v="082198448957"/>
  </r>
  <r>
    <s v="EMP0069"/>
    <s v="Cucu Sahari"/>
    <x v="0"/>
    <d v="2001-11-04T00:00:00"/>
    <d v="2021-07-22T00:00:00"/>
    <x v="1"/>
    <x v="1"/>
    <x v="0"/>
    <s v="cucusahari@email.com"/>
    <s v="086925636611"/>
  </r>
  <r>
    <s v="EMP0070"/>
    <s v="Septi Wulandari"/>
    <x v="1"/>
    <d v="1988-11-01T00:00:00"/>
    <d v="2021-06-16T00:00:00"/>
    <x v="1"/>
    <x v="1"/>
    <x v="0"/>
    <s v="septiwulandari@email.com"/>
    <s v="080685453445"/>
  </r>
  <r>
    <s v="EMP0071"/>
    <s v="Egi Retno Faluqi"/>
    <x v="0"/>
    <d v="1999-08-23T00:00:00"/>
    <d v="2019-10-02T00:00:00"/>
    <x v="6"/>
    <x v="6"/>
    <x v="0"/>
    <s v="egiretnofaluqi@email.com"/>
    <s v="0887061541"/>
  </r>
  <r>
    <s v="EMP0072"/>
    <s v="Catur Difta Kahantoro"/>
    <x v="0"/>
    <d v="1993-09-06T00:00:00"/>
    <d v="2021-09-11T00:00:00"/>
    <x v="0"/>
    <x v="0"/>
    <x v="0"/>
    <s v="caturdiftakahantoro@email.com"/>
    <s v="086944276726"/>
  </r>
  <r>
    <s v="EMP0073"/>
    <s v="David Erlangga"/>
    <x v="0"/>
    <d v="1996-01-26T00:00:00"/>
    <d v="2019-10-15T00:00:00"/>
    <x v="0"/>
    <x v="0"/>
    <x v="1"/>
    <s v="daviderlangga@email.com"/>
    <s v="082354936722"/>
  </r>
  <r>
    <s v="EMP0074"/>
    <s v="Syafik Mirza"/>
    <x v="0"/>
    <d v="2002-08-22T00:00:00"/>
    <d v="2020-03-04T00:00:00"/>
    <x v="0"/>
    <x v="0"/>
    <x v="2"/>
    <s v="syafikmirza@email.com"/>
    <s v="081052279862"/>
  </r>
  <r>
    <s v="EMP0075"/>
    <s v="Eka Saputra Ramadhan"/>
    <x v="0"/>
    <d v="2003-10-22T00:00:00"/>
    <d v="2020-07-15T00:00:00"/>
    <x v="7"/>
    <x v="7"/>
    <x v="0"/>
    <s v="ekasaputraramadhan@email.com"/>
    <s v="083515663912"/>
  </r>
  <r>
    <s v="EMP0076"/>
    <s v="Lulu Syarifatul Ulum"/>
    <x v="1"/>
    <d v="1995-08-05T00:00:00"/>
    <d v="2024-12-25T00:00:00"/>
    <x v="0"/>
    <x v="0"/>
    <x v="1"/>
    <s v="lulusyarifatululum@email.com"/>
    <s v="084424934801"/>
  </r>
  <r>
    <s v="EMP0077"/>
    <s v="Lutfatul Latifah"/>
    <x v="1"/>
    <d v="1996-07-24T00:00:00"/>
    <d v="2024-12-22T00:00:00"/>
    <x v="0"/>
    <x v="0"/>
    <x v="2"/>
    <s v="lutfatullatifah@email.com"/>
    <s v="088492207423"/>
  </r>
  <r>
    <s v="EMP0078"/>
    <s v="Rahmaditya Chandra"/>
    <x v="0"/>
    <d v="1990-01-01T00:00:00"/>
    <d v="2024-11-18T00:00:00"/>
    <x v="0"/>
    <x v="0"/>
    <x v="1"/>
    <s v="rahmadityachandra@email.com"/>
    <s v="088492207411"/>
  </r>
  <r>
    <s v="EMP0079"/>
    <s v="Topari"/>
    <x v="0"/>
    <d v="1993-11-27T00:00:00"/>
    <d v="2019-03-10T00:00:00"/>
    <x v="0"/>
    <x v="0"/>
    <x v="2"/>
    <s v="topari@email.com"/>
    <s v="084236884910"/>
  </r>
  <r>
    <s v="EMP0080"/>
    <s v="Asep Maulana"/>
    <x v="0"/>
    <d v="1990-01-05T00:00:00"/>
    <d v="2018-11-18T00:00:00"/>
    <x v="0"/>
    <x v="0"/>
    <x v="1"/>
    <s v="asepmaulana@email.com"/>
    <s v="087125018420"/>
  </r>
  <r>
    <s v="EMP0081"/>
    <s v="Reza Pratama"/>
    <x v="0"/>
    <d v="2003-12-11T00:00:00"/>
    <d v="2018-03-11T00:00:00"/>
    <x v="4"/>
    <x v="4"/>
    <x v="0"/>
    <s v="rezapratama@email.com"/>
    <s v="083529677134"/>
  </r>
  <r>
    <s v="EMP0082"/>
    <s v="Adinda Kuni Zakiyah"/>
    <x v="1"/>
    <d v="1985-06-09T00:00:00"/>
    <d v="2024-10-01T00:00:00"/>
    <x v="0"/>
    <x v="0"/>
    <x v="1"/>
    <s v="adindakunizakiyah@email.com"/>
    <s v="081728334904"/>
  </r>
  <r>
    <s v="EMP0083"/>
    <s v="Hendra Nur Priharto"/>
    <x v="0"/>
    <d v="1986-04-28T00:00:00"/>
    <d v="2019-06-27T00:00:00"/>
    <x v="1"/>
    <x v="1"/>
    <x v="0"/>
    <s v="hendranurpriharto@email.com"/>
    <s v="089098975533"/>
  </r>
  <r>
    <s v="EMP0084"/>
    <s v="Ina Rotul Koni"/>
    <x v="1"/>
    <d v="2003-11-19T00:00:00"/>
    <d v="2024-09-26T00:00:00"/>
    <x v="2"/>
    <x v="2"/>
    <x v="0"/>
    <s v="inarotulkoni@email.com"/>
    <s v="082773814282"/>
  </r>
  <r>
    <s v="EMP0085"/>
    <s v="Silvia Ayu Nurhasanah"/>
    <x v="1"/>
    <d v="1996-05-25T00:00:00"/>
    <d v="2024-06-19T00:00:00"/>
    <x v="0"/>
    <x v="0"/>
    <x v="0"/>
    <s v="silviaayunurhasanah@email.com"/>
    <s v="0887161188"/>
  </r>
  <r>
    <s v="EMP0086"/>
    <s v="Rosi Anggraeni"/>
    <x v="1"/>
    <d v="1998-11-24T00:00:00"/>
    <d v="2018-04-23T00:00:00"/>
    <x v="0"/>
    <x v="0"/>
    <x v="2"/>
    <s v="rosianggraeni@email.com"/>
    <s v="082876489069"/>
  </r>
  <r>
    <s v="EMP0087"/>
    <s v="Galang Dimas Aditya"/>
    <x v="0"/>
    <d v="1995-07-24T00:00:00"/>
    <d v="2021-06-29T00:00:00"/>
    <x v="0"/>
    <x v="0"/>
    <x v="2"/>
    <s v="galangdimasaditya@email.com"/>
    <s v="080083620338"/>
  </r>
  <r>
    <s v="EMP0088"/>
    <s v="Alaysh Awaliyah"/>
    <x v="1"/>
    <d v="2002-12-08T00:00:00"/>
    <d v="2020-05-17T00:00:00"/>
    <x v="0"/>
    <x v="0"/>
    <x v="2"/>
    <s v="alayshawaliyah@email.com"/>
    <s v="080361557947"/>
  </r>
  <r>
    <s v="EMP0089"/>
    <s v="Iqmah Faiqoh"/>
    <x v="1"/>
    <d v="1993-09-15T00:00:00"/>
    <d v="2020-08-20T00:00:00"/>
    <x v="1"/>
    <x v="1"/>
    <x v="2"/>
    <s v="iqmahfaiqoh@email.com"/>
    <s v="080361557955"/>
  </r>
  <r>
    <s v="EMP0090"/>
    <s v="Afidah"/>
    <x v="1"/>
    <d v="1999-01-25T00:00:00"/>
    <d v="2019-08-18T00:00:00"/>
    <x v="1"/>
    <x v="1"/>
    <x v="0"/>
    <s v="afidah@email.com"/>
    <s v="088804434111"/>
  </r>
  <r>
    <s v="EMP0091"/>
    <s v="Amellia Putri"/>
    <x v="1"/>
    <d v="1986-03-23T00:00:00"/>
    <d v="2023-12-12T00:00:00"/>
    <x v="1"/>
    <x v="1"/>
    <x v="1"/>
    <s v="amelliaputri@email.com"/>
    <s v="086393498031"/>
  </r>
  <r>
    <s v="EMP0092"/>
    <s v="Idris Nurfauzi"/>
    <x v="0"/>
    <d v="2002-04-03T00:00:00"/>
    <d v="2018-01-07T00:00:00"/>
    <x v="0"/>
    <x v="0"/>
    <x v="0"/>
    <s v="idrisnurfauzi@email.com"/>
    <s v="089337550722"/>
  </r>
  <r>
    <s v="EMP0093"/>
    <s v="Adi Sepriono"/>
    <x v="0"/>
    <d v="1988-11-14T00:00:00"/>
    <d v="2025-03-27T00:00:00"/>
    <x v="5"/>
    <x v="5"/>
    <x v="1"/>
    <s v="adisepriono@email.com"/>
    <s v="085159161376"/>
  </r>
  <r>
    <s v="EMP0094"/>
    <s v="Adi Ratno"/>
    <x v="0"/>
    <d v="1992-10-01T00:00:00"/>
    <d v="2018-10-25T00:00:00"/>
    <x v="4"/>
    <x v="4"/>
    <x v="0"/>
    <s v="adiratno@email.com"/>
    <s v="084680353271"/>
  </r>
  <r>
    <s v="EMP0095"/>
    <s v="Nur Ahmad Riski"/>
    <x v="0"/>
    <d v="1995-07-22T00:00:00"/>
    <d v="2021-09-21T00:00:00"/>
    <x v="0"/>
    <x v="0"/>
    <x v="2"/>
    <s v="nurahmadriski@email.com"/>
    <s v="080549868671"/>
  </r>
  <r>
    <s v="EMP0096"/>
    <s v="Santi Widiastuti"/>
    <x v="1"/>
    <d v="1991-03-01T00:00:00"/>
    <d v="2021-05-09T00:00:00"/>
    <x v="0"/>
    <x v="0"/>
    <x v="2"/>
    <s v="santiwidiastuti@email.com"/>
    <s v="089133580201"/>
  </r>
  <r>
    <s v="EMP0097"/>
    <s v="Ulil Hidayati"/>
    <x v="1"/>
    <d v="1999-10-19T00:00:00"/>
    <d v="2024-06-04T00:00:00"/>
    <x v="0"/>
    <x v="0"/>
    <x v="2"/>
    <s v="ulilhidayati@email.com"/>
    <s v="081049312552"/>
  </r>
  <r>
    <s v="EMP0098"/>
    <s v="Imelia"/>
    <x v="1"/>
    <d v="1990-11-29T00:00:00"/>
    <d v="2022-04-24T00:00:00"/>
    <x v="1"/>
    <x v="1"/>
    <x v="0"/>
    <s v="imelia@email.com"/>
    <s v="086771796215"/>
  </r>
  <r>
    <s v="EMP0099"/>
    <s v="Nurmala Destriana"/>
    <x v="1"/>
    <d v="1985-05-18T00:00:00"/>
    <d v="2024-09-24T00:00:00"/>
    <x v="0"/>
    <x v="0"/>
    <x v="2"/>
    <s v="nurmaladestriana@email.com"/>
    <s v="082274534759"/>
  </r>
  <r>
    <s v="EMP0100"/>
    <s v="Moh Arham Samudro"/>
    <x v="0"/>
    <d v="1989-03-02T00:00:00"/>
    <d v="2019-12-02T00:00:00"/>
    <x v="0"/>
    <x v="0"/>
    <x v="2"/>
    <s v="moharhamsamudro@email.com"/>
    <s v="082065990266"/>
  </r>
  <r>
    <s v="EMP0101"/>
    <s v="Wahyu Umar Said"/>
    <x v="0"/>
    <d v="1993-09-05T00:00:00"/>
    <d v="2022-09-02T00:00:00"/>
    <x v="4"/>
    <x v="4"/>
    <x v="0"/>
    <s v="wahyuumarsaid@email.com"/>
    <s v="081638057793"/>
  </r>
  <r>
    <s v="EMP0102"/>
    <s v="Muhamad Mahatier"/>
    <x v="0"/>
    <d v="1986-11-26T00:00:00"/>
    <d v="2018-06-24T00:00:00"/>
    <x v="6"/>
    <x v="6"/>
    <x v="0"/>
    <s v="muhamadmahatier@email.com"/>
    <s v="087738020218"/>
  </r>
  <r>
    <s v="EMP0103"/>
    <s v="Siti Amisa"/>
    <x v="1"/>
    <d v="1992-05-18T00:00:00"/>
    <d v="2020-03-16T00:00:00"/>
    <x v="0"/>
    <x v="0"/>
    <x v="2"/>
    <s v="sitiamisa@email.com"/>
    <s v="083493161963"/>
  </r>
  <r>
    <s v="EMP0104"/>
    <s v="Evi Latifah"/>
    <x v="1"/>
    <d v="1989-02-17T00:00:00"/>
    <d v="2021-01-17T00:00:00"/>
    <x v="0"/>
    <x v="0"/>
    <x v="0"/>
    <s v="evilatifah@email.com"/>
    <s v="082613151224"/>
  </r>
  <r>
    <s v="EMP0105"/>
    <s v="Wawas Setiawati"/>
    <x v="1"/>
    <d v="1992-05-18T00:00:00"/>
    <d v="2023-11-20T00:00:00"/>
    <x v="0"/>
    <x v="0"/>
    <x v="0"/>
    <s v="wawassetiawati@email.com"/>
    <s v="084719932746"/>
  </r>
  <r>
    <s v="EMP0106"/>
    <s v="Dinda Permata Mariza"/>
    <x v="1"/>
    <d v="1988-01-26T00:00:00"/>
    <d v="2023-03-02T00:00:00"/>
    <x v="0"/>
    <x v="0"/>
    <x v="1"/>
    <s v="dindapermatamariza@email.com"/>
    <s v="087950986555"/>
  </r>
  <r>
    <s v="EMP0107"/>
    <s v="Reva"/>
    <x v="1"/>
    <d v="1985-02-08T00:00:00"/>
    <d v="2025-06-28T00:00:00"/>
    <x v="7"/>
    <x v="7"/>
    <x v="0"/>
    <s v="reva@email.com"/>
    <s v="088885842906"/>
  </r>
  <r>
    <s v="EMP0108"/>
    <s v="Nita Nurlita"/>
    <x v="1"/>
    <d v="1986-11-11T00:00:00"/>
    <d v="2022-12-20T00:00:00"/>
    <x v="0"/>
    <x v="0"/>
    <x v="0"/>
    <s v="nitanurlita@email.com"/>
    <s v="083569004708"/>
  </r>
  <r>
    <s v="EMP0109"/>
    <s v="Imam Widiyanto"/>
    <x v="0"/>
    <d v="2004-02-29T00:00:00"/>
    <d v="2021-03-14T00:00:00"/>
    <x v="0"/>
    <x v="0"/>
    <x v="2"/>
    <s v="imamwidiyanto@email.com"/>
    <s v="086262055874"/>
  </r>
  <r>
    <s v="EMP0110"/>
    <s v="Soni Haryanto"/>
    <x v="0"/>
    <d v="1986-04-20T00:00:00"/>
    <d v="2018-10-05T00:00:00"/>
    <x v="5"/>
    <x v="5"/>
    <x v="1"/>
    <s v="soniharyanto@email.com"/>
    <s v="084197987717"/>
  </r>
  <r>
    <s v="EMP0111"/>
    <s v="Siti Nur Aeni"/>
    <x v="1"/>
    <d v="1999-12-04T00:00:00"/>
    <d v="2023-05-18T00:00:00"/>
    <x v="0"/>
    <x v="0"/>
    <x v="2"/>
    <s v="sitinuraeni@email.com"/>
    <s v="080514331296"/>
  </r>
  <r>
    <s v="EMP0112"/>
    <s v="Naya Meisya Fiantika"/>
    <x v="1"/>
    <d v="1993-07-01T00:00:00"/>
    <d v="2022-06-18T00:00:00"/>
    <x v="2"/>
    <x v="2"/>
    <x v="0"/>
    <s v="nayameisyafiantika@email.com"/>
    <s v="084172630598"/>
  </r>
  <r>
    <s v="EMP0113"/>
    <s v="Hermawati"/>
    <x v="1"/>
    <d v="1991-07-12T00:00:00"/>
    <d v="2024-11-14T00:00:00"/>
    <x v="0"/>
    <x v="0"/>
    <x v="2"/>
    <s v="hermawati@email.com"/>
    <s v="082913790841"/>
  </r>
  <r>
    <s v="EMP0114"/>
    <s v="Nurul Mulyaningsih"/>
    <x v="1"/>
    <d v="2000-07-26T00:00:00"/>
    <d v="2025-03-14T00:00:00"/>
    <x v="0"/>
    <x v="0"/>
    <x v="2"/>
    <s v="nurulmulyaningsih@email.com"/>
    <s v="085018323941"/>
  </r>
  <r>
    <s v="EMP0115"/>
    <s v="Ragil Amalia Az Zahrah"/>
    <x v="1"/>
    <d v="2001-03-16T00:00:00"/>
    <d v="2018-09-23T00:00:00"/>
    <x v="0"/>
    <x v="0"/>
    <x v="2"/>
    <s v="ragilamaliaazzahrah@email.com"/>
    <s v="085018323931"/>
  </r>
  <r>
    <s v="EMP0116"/>
    <s v="Mochamad Erwin Rois"/>
    <x v="0"/>
    <d v="1997-05-21T00:00:00"/>
    <d v="2022-08-27T00:00:00"/>
    <x v="0"/>
    <x v="0"/>
    <x v="0"/>
    <s v="mochamaderwinrois@email.com"/>
    <s v="081941365199"/>
  </r>
  <r>
    <s v="EMP0117"/>
    <s v="Muhammad Syahrul Ahnan"/>
    <x v="0"/>
    <d v="1987-01-25T00:00:00"/>
    <d v="2022-03-03T00:00:00"/>
    <x v="5"/>
    <x v="5"/>
    <x v="0"/>
    <s v="muhammadsyahrulahnan@email.com"/>
    <s v="082104364954"/>
  </r>
  <r>
    <s v="EMP0118"/>
    <s v="Didi Agus Setiawan"/>
    <x v="0"/>
    <d v="1993-09-09T00:00:00"/>
    <d v="2025-07-15T00:00:00"/>
    <x v="0"/>
    <x v="0"/>
    <x v="1"/>
    <s v="didiagussetiawan@email.com"/>
    <s v="086559762033"/>
  </r>
  <r>
    <s v="EMP0119"/>
    <s v="Khayrunisha Salsabila"/>
    <x v="1"/>
    <d v="1994-08-07T00:00:00"/>
    <d v="2020-10-09T00:00:00"/>
    <x v="0"/>
    <x v="0"/>
    <x v="2"/>
    <s v="khayrunishasalsabila@email.com"/>
    <s v="080752089213"/>
  </r>
  <r>
    <s v="EMP0120"/>
    <s v="Diah Safitri"/>
    <x v="1"/>
    <d v="1994-10-20T00:00:00"/>
    <d v="2023-06-12T00:00:00"/>
    <x v="0"/>
    <x v="0"/>
    <x v="1"/>
    <s v="diahsafitri@email.com"/>
    <s v="089265929501"/>
  </r>
  <r>
    <s v="EMP0121"/>
    <s v="Gandhis Sekar Taji"/>
    <x v="1"/>
    <d v="1986-06-17T00:00:00"/>
    <d v="2024-04-22T00:00:00"/>
    <x v="8"/>
    <x v="8"/>
    <x v="0"/>
    <s v="gandhissekartaji@email.com"/>
    <s v="082824785186"/>
  </r>
  <r>
    <s v="EMP0122"/>
    <s v="Aditya Eka Saputra"/>
    <x v="0"/>
    <d v="1995-06-11T00:00:00"/>
    <d v="2022-08-31T00:00:00"/>
    <x v="0"/>
    <x v="0"/>
    <x v="1"/>
    <s v="adityaekasaputra@email.com"/>
    <s v="089965861330"/>
  </r>
  <r>
    <s v="EMP0123"/>
    <s v="Khofiatus Syukur Pratama"/>
    <x v="0"/>
    <d v="1989-11-27T00:00:00"/>
    <d v="2024-08-17T00:00:00"/>
    <x v="0"/>
    <x v="0"/>
    <x v="0"/>
    <s v="khofiatussyukurpratama@email.com"/>
    <s v="0868658328"/>
  </r>
  <r>
    <s v="EMP0124"/>
    <s v="Nimas Serli Purwanti"/>
    <x v="1"/>
    <d v="1991-08-03T00:00:00"/>
    <d v="2024-06-25T00:00:00"/>
    <x v="8"/>
    <x v="8"/>
    <x v="1"/>
    <s v="nimasserlipurwanti@email.com"/>
    <s v="084191247802"/>
  </r>
  <r>
    <s v="EMP0125"/>
    <s v="Oki Feri Nursandi"/>
    <x v="0"/>
    <d v="1995-08-07T00:00:00"/>
    <d v="2020-01-02T00:00:00"/>
    <x v="0"/>
    <x v="0"/>
    <x v="1"/>
    <s v="okiferinursandi@email.com"/>
    <s v="082940326329"/>
  </r>
  <r>
    <s v="EMP0126"/>
    <s v="Muhamad Parikhi"/>
    <x v="0"/>
    <d v="1997-07-26T00:00:00"/>
    <d v="2022-02-13T00:00:00"/>
    <x v="6"/>
    <x v="6"/>
    <x v="0"/>
    <s v="muhamadparikhi@email.com"/>
    <s v="082102612193"/>
  </r>
  <r>
    <s v="EMP0127"/>
    <s v="Rian Adi Saputra"/>
    <x v="0"/>
    <d v="1991-10-26T00:00:00"/>
    <d v="2022-11-14T00:00:00"/>
    <x v="0"/>
    <x v="0"/>
    <x v="2"/>
    <s v="rianadisaputra@email.com"/>
    <s v="0854279230"/>
  </r>
  <r>
    <s v="EMP0128"/>
    <s v="Sepria Adimulya"/>
    <x v="0"/>
    <d v="2000-12-27T00:00:00"/>
    <d v="2023-10-14T00:00:00"/>
    <x v="5"/>
    <x v="5"/>
    <x v="0"/>
    <s v="sepriaadimulya@email.com"/>
    <s v="082635081873"/>
  </r>
  <r>
    <s v="EMP0129"/>
    <s v="Ismiatun Maghfiroh"/>
    <x v="1"/>
    <d v="1996-12-26T00:00:00"/>
    <d v="2025-05-11T00:00:00"/>
    <x v="2"/>
    <x v="2"/>
    <x v="0"/>
    <s v="ismiatunmaghfiroh@email.com"/>
    <s v="088933868092"/>
  </r>
  <r>
    <s v="EMP0130"/>
    <s v="Krisna Juni Pamungkas"/>
    <x v="0"/>
    <d v="2002-10-25T00:00:00"/>
    <d v="2022-08-27T00:00:00"/>
    <x v="0"/>
    <x v="0"/>
    <x v="0"/>
    <s v="krisnajunipamungkas@email.com"/>
    <s v="085493560022"/>
  </r>
  <r>
    <s v="EMP0131"/>
    <s v="Azzahra Mulyaningtyas"/>
    <x v="1"/>
    <d v="2003-04-06T00:00:00"/>
    <d v="2019-03-07T00:00:00"/>
    <x v="0"/>
    <x v="0"/>
    <x v="1"/>
    <s v="azzahramulyaningtyas@email.com"/>
    <s v="087827766076"/>
  </r>
  <r>
    <s v="EMP0132"/>
    <s v="Siti Rahayu"/>
    <x v="1"/>
    <d v="2003-09-26T00:00:00"/>
    <d v="2025-03-17T00:00:00"/>
    <x v="0"/>
    <x v="0"/>
    <x v="2"/>
    <s v="sitirahayu@email.com"/>
    <s v="083069540028"/>
  </r>
  <r>
    <s v="EMP0133"/>
    <s v="Cintiya Meilina"/>
    <x v="1"/>
    <d v="1992-09-22T00:00:00"/>
    <d v="2019-04-17T00:00:00"/>
    <x v="8"/>
    <x v="8"/>
    <x v="0"/>
    <s v="cintiyameilina@email.com"/>
    <s v="085794523761"/>
  </r>
  <r>
    <s v="EMP0134"/>
    <s v="Wiwik Juniarsih"/>
    <x v="1"/>
    <d v="1992-05-13T00:00:00"/>
    <d v="2018-05-20T00:00:00"/>
    <x v="0"/>
    <x v="0"/>
    <x v="1"/>
    <s v="wiwikjuniarsih@email.com"/>
    <s v="0801337301"/>
  </r>
  <r>
    <s v="EMP0135"/>
    <s v="Dian Elga Prastika"/>
    <x v="1"/>
    <d v="2000-09-07T00:00:00"/>
    <d v="2023-01-19T00:00:00"/>
    <x v="0"/>
    <x v="0"/>
    <x v="0"/>
    <s v="dianelgaprastika@email.com"/>
    <s v="088375734850"/>
  </r>
  <r>
    <s v="EMP0136"/>
    <s v="M Niki Cahaya Purnomo"/>
    <x v="0"/>
    <d v="1988-02-19T00:00:00"/>
    <d v="2018-09-18T00:00:00"/>
    <x v="0"/>
    <x v="0"/>
    <x v="1"/>
    <s v="mnikicahayapurnomo@email.com"/>
    <s v="084665500406"/>
  </r>
  <r>
    <s v="EMP0137"/>
    <s v="Ranti Livia Sari"/>
    <x v="1"/>
    <d v="1987-08-26T00:00:00"/>
    <d v="2019-02-14T00:00:00"/>
    <x v="1"/>
    <x v="1"/>
    <x v="1"/>
    <s v="rantiliviasari@email.com"/>
    <s v="082870294285"/>
  </r>
  <r>
    <s v="EMP0138"/>
    <s v="Yuliasih"/>
    <x v="1"/>
    <d v="1998-01-25T00:00:00"/>
    <d v="2019-03-22T00:00:00"/>
    <x v="0"/>
    <x v="0"/>
    <x v="1"/>
    <s v="yuliasih@email.com"/>
    <s v="088362340887"/>
  </r>
  <r>
    <s v="EMP0139"/>
    <s v="Akhmad Faozi Saputra"/>
    <x v="0"/>
    <d v="1991-09-16T00:00:00"/>
    <d v="2019-11-15T00:00:00"/>
    <x v="0"/>
    <x v="0"/>
    <x v="2"/>
    <s v="akhmadfaozisaputra@email.com"/>
    <s v="085111368796"/>
  </r>
  <r>
    <s v="EMP0140"/>
    <s v="Juwita Atika Putri"/>
    <x v="1"/>
    <d v="1985-04-21T00:00:00"/>
    <d v="2023-08-03T00:00:00"/>
    <x v="0"/>
    <x v="0"/>
    <x v="1"/>
    <s v="juwitaatikaputri@email.com"/>
    <s v="088499097733"/>
  </r>
  <r>
    <s v="EMP0141"/>
    <s v="Muhammad Nur Asfa Fuadi"/>
    <x v="0"/>
    <d v="1989-09-07T00:00:00"/>
    <d v="2018-09-22T00:00:00"/>
    <x v="5"/>
    <x v="5"/>
    <x v="1"/>
    <s v="muhammadnurasfafuadi@email.com"/>
    <s v="087974595486"/>
  </r>
  <r>
    <s v="EMP0142"/>
    <s v="Dea Putri Amelia"/>
    <x v="1"/>
    <d v="1998-12-18T00:00:00"/>
    <d v="2022-02-16T00:00:00"/>
    <x v="0"/>
    <x v="0"/>
    <x v="0"/>
    <s v="deaputriamelia@email.com"/>
    <s v="089166006042"/>
  </r>
  <r>
    <s v="EMP0143"/>
    <s v="Atika Putri Dhiniarie"/>
    <x v="1"/>
    <d v="1997-11-18T00:00:00"/>
    <d v="2024-09-02T00:00:00"/>
    <x v="8"/>
    <x v="8"/>
    <x v="0"/>
    <s v="atikaputridhiniarie@email.com"/>
    <s v="088279748493"/>
  </r>
  <r>
    <s v="EMP0144"/>
    <s v="Ahmad Rafi Rifkyansyah"/>
    <x v="0"/>
    <d v="1988-04-05T00:00:00"/>
    <d v="2022-05-28T00:00:00"/>
    <x v="0"/>
    <x v="0"/>
    <x v="1"/>
    <s v="ahmadrafirifkyansyah@email.com"/>
    <s v="083778725832"/>
  </r>
  <r>
    <s v="EMP0145"/>
    <s v="Wilda Islami"/>
    <x v="0"/>
    <d v="2003-08-12T00:00:00"/>
    <d v="2018-03-21T00:00:00"/>
    <x v="5"/>
    <x v="5"/>
    <x v="1"/>
    <s v="wildaislami@email.com"/>
    <s v="080649427962"/>
  </r>
  <r>
    <s v="EMP0146"/>
    <s v="Rahma Elsantanawati"/>
    <x v="1"/>
    <d v="1997-11-13T00:00:00"/>
    <d v="2024-12-10T00:00:00"/>
    <x v="0"/>
    <x v="0"/>
    <x v="0"/>
    <s v="rahmaelsantanawati@email.com"/>
    <s v="085368578737"/>
  </r>
  <r>
    <s v="EMP0147"/>
    <s v="Sri Aidah"/>
    <x v="1"/>
    <d v="1994-11-12T00:00:00"/>
    <d v="2023-06-21T00:00:00"/>
    <x v="2"/>
    <x v="2"/>
    <x v="0"/>
    <s v="sriaidah@email.com"/>
    <s v="084830286333"/>
  </r>
  <r>
    <s v="EMP0148"/>
    <s v="Syamsudin"/>
    <x v="0"/>
    <d v="1985-12-06T00:00:00"/>
    <d v="2019-05-01T00:00:00"/>
    <x v="5"/>
    <x v="5"/>
    <x v="0"/>
    <s v="syamsudin@email.com"/>
    <s v="080677650320"/>
  </r>
  <r>
    <s v="EMP0149"/>
    <s v="Nisaul Fatimah"/>
    <x v="1"/>
    <d v="1997-08-08T00:00:00"/>
    <d v="2024-04-07T00:00:00"/>
    <x v="0"/>
    <x v="0"/>
    <x v="2"/>
    <s v="nisaulfatimah@email.com"/>
    <s v="087067563633"/>
  </r>
  <r>
    <s v="EMP0150"/>
    <s v="Irma Elfiana"/>
    <x v="1"/>
    <d v="1990-08-16T00:00:00"/>
    <d v="2019-03-30T00:00:00"/>
    <x v="0"/>
    <x v="0"/>
    <x v="2"/>
    <s v="irmaelfiana@email.com"/>
    <s v="080222482162"/>
  </r>
  <r>
    <s v="EMP0151"/>
    <s v="Davit Hendriansyah"/>
    <x v="0"/>
    <d v="2003-05-25T00:00:00"/>
    <d v="2019-09-11T00:00:00"/>
    <x v="4"/>
    <x v="4"/>
    <x v="1"/>
    <s v="davithendriansyah@email.com"/>
    <s v="089748802594"/>
  </r>
  <r>
    <s v="EMP0152"/>
    <s v="Raafi Naafiu Ghaniy"/>
    <x v="0"/>
    <d v="1985-08-21T00:00:00"/>
    <d v="2022-08-27T00:00:00"/>
    <x v="0"/>
    <x v="0"/>
    <x v="2"/>
    <s v="raafinaafiughaniy@email.com"/>
    <s v="086176764120"/>
  </r>
  <r>
    <s v="EMP0153"/>
    <s v="Misbah Syahru Ramadhan"/>
    <x v="0"/>
    <d v="1990-10-09T00:00:00"/>
    <d v="2020-05-22T00:00:00"/>
    <x v="0"/>
    <x v="0"/>
    <x v="2"/>
    <s v="misbahsyahruramadhan@email.com"/>
    <s v="086793761594"/>
  </r>
  <r>
    <s v="EMP0154"/>
    <s v="Siti Mutiara Nikmah"/>
    <x v="1"/>
    <d v="1988-01-17T00:00:00"/>
    <d v="2025-07-12T00:00:00"/>
    <x v="0"/>
    <x v="0"/>
    <x v="0"/>
    <s v="sitimutiaranikmah@email.com"/>
    <s v="082348105181"/>
  </r>
  <r>
    <s v="EMP0155"/>
    <s v="Hadi Setiadi"/>
    <x v="0"/>
    <d v="2002-08-19T00:00:00"/>
    <d v="2018-03-27T00:00:00"/>
    <x v="1"/>
    <x v="1"/>
    <x v="2"/>
    <s v="hadisetiadi@email.com"/>
    <s v="089785724196"/>
  </r>
  <r>
    <s v="EMP0156"/>
    <s v="Siti Masito"/>
    <x v="1"/>
    <d v="1985-12-26T00:00:00"/>
    <d v="2018-02-17T00:00:00"/>
    <x v="0"/>
    <x v="0"/>
    <x v="2"/>
    <s v="sitimasito@email.com"/>
    <s v="089881253114"/>
  </r>
  <r>
    <s v="EMP0157"/>
    <s v="Nurjahidin"/>
    <x v="0"/>
    <d v="1988-03-16T00:00:00"/>
    <d v="2019-01-03T00:00:00"/>
    <x v="0"/>
    <x v="0"/>
    <x v="2"/>
    <s v="nurjahidin@email.com"/>
    <s v="089881253111"/>
  </r>
  <r>
    <s v="EMP0158"/>
    <s v="Suprihana"/>
    <x v="0"/>
    <d v="1988-03-28T00:00:00"/>
    <d v="2022-11-10T00:00:00"/>
    <x v="0"/>
    <x v="0"/>
    <x v="0"/>
    <s v="suprihana@email.com"/>
    <s v="080096953432"/>
  </r>
  <r>
    <s v="EMP0159"/>
    <s v="Putikha"/>
    <x v="1"/>
    <d v="2000-10-11T00:00:00"/>
    <d v="2023-08-17T00:00:00"/>
    <x v="0"/>
    <x v="0"/>
    <x v="1"/>
    <s v="putikha@email.com"/>
    <s v="088492264330"/>
  </r>
  <r>
    <s v="EMP0160"/>
    <s v="Nizar Abiyadin Nafis"/>
    <x v="0"/>
    <d v="2004-01-27T00:00:00"/>
    <d v="2022-10-28T00:00:00"/>
    <x v="0"/>
    <x v="0"/>
    <x v="0"/>
    <s v="nizarabiyadinnafis@email.com"/>
    <s v="086576856897"/>
  </r>
  <r>
    <s v="EMP0161"/>
    <s v="Ikhfa Ghouzaly Gymnastiar"/>
    <x v="0"/>
    <d v="2003-10-02T00:00:00"/>
    <d v="2021-11-19T00:00:00"/>
    <x v="0"/>
    <x v="0"/>
    <x v="2"/>
    <s v="ikhfaghouzalygymnastiar@email.com"/>
    <s v="0805677688"/>
  </r>
  <r>
    <s v="EMP0162"/>
    <s v="Ody Bambang Supriadi"/>
    <x v="0"/>
    <d v="1985-04-26T00:00:00"/>
    <d v="2018-02-28T00:00:00"/>
    <x v="0"/>
    <x v="0"/>
    <x v="0"/>
    <s v="odybambangsupriadi@email.com"/>
    <s v="080126343551"/>
  </r>
  <r>
    <s v="EMP0163"/>
    <s v="Juweriyah Anggrek Suryani"/>
    <x v="1"/>
    <d v="1991-10-03T00:00:00"/>
    <d v="2022-10-29T00:00:00"/>
    <x v="0"/>
    <x v="0"/>
    <x v="2"/>
    <s v="juweriyahanggreksuryani@email.com"/>
    <s v="083563092361"/>
  </r>
  <r>
    <s v="EMP0164"/>
    <s v="Rizki Baehaqi"/>
    <x v="0"/>
    <d v="1996-07-09T00:00:00"/>
    <d v="2020-03-23T00:00:00"/>
    <x v="0"/>
    <x v="0"/>
    <x v="2"/>
    <s v="rizkibaehaqi@email.com"/>
    <s v="089683657517"/>
  </r>
  <r>
    <s v="EMP0165"/>
    <s v="Triyoso"/>
    <x v="1"/>
    <d v="1998-01-17T00:00:00"/>
    <d v="2022-11-02T00:00:00"/>
    <x v="0"/>
    <x v="0"/>
    <x v="0"/>
    <s v="triyoso@email.com"/>
    <s v="083254998230"/>
  </r>
  <r>
    <s v="EMP0166"/>
    <s v="Izza Fredata Endarto"/>
    <x v="0"/>
    <d v="1994-02-15T00:00:00"/>
    <d v="2018-12-13T00:00:00"/>
    <x v="5"/>
    <x v="5"/>
    <x v="0"/>
    <s v="izzafredataendarto@email.com"/>
    <s v="085069327482"/>
  </r>
  <r>
    <s v="EMP0167"/>
    <s v="Anis Alfiyati"/>
    <x v="1"/>
    <d v="1996-06-11T00:00:00"/>
    <d v="2024-03-16T00:00:00"/>
    <x v="0"/>
    <x v="0"/>
    <x v="2"/>
    <s v="anisalfiyati@email.com"/>
    <s v="083968334425"/>
  </r>
  <r>
    <s v="EMP0168"/>
    <s v="Jihan Maulina"/>
    <x v="1"/>
    <d v="2000-07-10T00:00:00"/>
    <d v="2022-03-09T00:00:00"/>
    <x v="0"/>
    <x v="0"/>
    <x v="2"/>
    <s v="jihanmaulina@email.com"/>
    <s v="083968334433"/>
  </r>
  <r>
    <s v="EMP0169"/>
    <s v="Khanina Lestary"/>
    <x v="1"/>
    <d v="1995-03-20T00:00:00"/>
    <d v="2020-08-19T00:00:00"/>
    <x v="0"/>
    <x v="0"/>
    <x v="1"/>
    <s v="khaninalestary@email.com"/>
    <s v="087316097167"/>
  </r>
  <r>
    <s v="EMP0170"/>
    <s v="Pipit Slamet Sugiarti Irawan"/>
    <x v="1"/>
    <d v="1991-09-28T00:00:00"/>
    <d v="2020-06-12T00:00:00"/>
    <x v="0"/>
    <x v="0"/>
    <x v="2"/>
    <s v="pipitslametsugiartiirawan@email.com"/>
    <s v="083960626749"/>
  </r>
  <r>
    <s v="EMP0171"/>
    <s v="Witriyah"/>
    <x v="1"/>
    <d v="1997-08-28T00:00:00"/>
    <d v="2023-08-01T00:00:00"/>
    <x v="0"/>
    <x v="0"/>
    <x v="0"/>
    <s v="witriyah@email.com"/>
    <s v="089677465415"/>
  </r>
  <r>
    <s v="EMP0172"/>
    <s v="Ragil Baehaqy Hidayat"/>
    <x v="0"/>
    <d v="1998-12-15T00:00:00"/>
    <d v="2022-03-13T00:00:00"/>
    <x v="0"/>
    <x v="0"/>
    <x v="0"/>
    <s v="ragilbaehaqyhidayat@email.com"/>
    <s v="082083313264"/>
  </r>
  <r>
    <s v="EMP0173"/>
    <s v="Erni Suherni"/>
    <x v="1"/>
    <d v="1986-04-03T00:00:00"/>
    <d v="2024-02-15T00:00:00"/>
    <x v="0"/>
    <x v="0"/>
    <x v="2"/>
    <s v="ernisuherni@email.com"/>
    <s v="083317041046"/>
  </r>
  <r>
    <s v="EMP0174"/>
    <s v="Rahel Riyandi"/>
    <x v="0"/>
    <d v="1991-12-24T00:00:00"/>
    <d v="2023-05-18T00:00:00"/>
    <x v="1"/>
    <x v="1"/>
    <x v="2"/>
    <s v="rahelriyandi@email.com"/>
    <s v="083771735539"/>
  </r>
  <r>
    <s v="EMP0175"/>
    <s v="Agus Lukiana"/>
    <x v="1"/>
    <d v="1999-08-16T00:00:00"/>
    <d v="2019-10-17T00:00:00"/>
    <x v="0"/>
    <x v="0"/>
    <x v="0"/>
    <s v="aguslukiana@email.com"/>
    <s v="089756465511"/>
  </r>
  <r>
    <s v="EMP0176"/>
    <s v="Ridwan"/>
    <x v="0"/>
    <d v="2002-08-07T00:00:00"/>
    <d v="2024-05-13T00:00:00"/>
    <x v="0"/>
    <x v="0"/>
    <x v="0"/>
    <s v="ridwan@email.com"/>
    <s v="088192048658"/>
  </r>
  <r>
    <s v="EMP0177"/>
    <s v="Nughni Al Gauran"/>
    <x v="0"/>
    <d v="1986-09-13T00:00:00"/>
    <d v="2019-07-02T00:00:00"/>
    <x v="0"/>
    <x v="0"/>
    <x v="2"/>
    <s v="nughnialgauran@email.com"/>
    <s v="082333826760"/>
  </r>
  <r>
    <s v="EMP0178"/>
    <s v="Yudha Rizki Wibowo"/>
    <x v="0"/>
    <d v="1997-12-28T00:00:00"/>
    <d v="2018-03-28T00:00:00"/>
    <x v="5"/>
    <x v="5"/>
    <x v="0"/>
    <s v="yudharizkiwibowo@email.com"/>
    <s v="080904867517"/>
  </r>
  <r>
    <s v="EMP0179"/>
    <s v="Wandi Ardiansyah Putra"/>
    <x v="0"/>
    <d v="1997-06-27T00:00:00"/>
    <d v="2024-04-13T00:00:00"/>
    <x v="0"/>
    <x v="0"/>
    <x v="2"/>
    <s v="wandiardiansyahputra@email.com"/>
    <s v="085085830341"/>
  </r>
  <r>
    <s v="EMP0180"/>
    <s v="Yunita Budiman"/>
    <x v="1"/>
    <d v="1996-12-24T00:00:00"/>
    <d v="2024-09-12T00:00:00"/>
    <x v="0"/>
    <x v="0"/>
    <x v="0"/>
    <s v="yunitabudiman@email.com"/>
    <s v="088926642021"/>
  </r>
  <r>
    <s v="EMP0181"/>
    <s v="Affan Bagas Arokhman"/>
    <x v="0"/>
    <d v="1986-05-27T00:00:00"/>
    <d v="2021-06-18T00:00:00"/>
    <x v="0"/>
    <x v="0"/>
    <x v="2"/>
    <s v="affanbagasarokhman@email.com"/>
    <s v="087849737440"/>
  </r>
  <r>
    <s v="EMP0182"/>
    <s v="Anugrah Nur Fristian"/>
    <x v="0"/>
    <d v="1985-08-13T00:00:00"/>
    <d v="2024-01-06T00:00:00"/>
    <x v="0"/>
    <x v="0"/>
    <x v="2"/>
    <s v="anugrahnurfristian@email.com"/>
    <s v="080327938947"/>
  </r>
  <r>
    <s v="EMP0183"/>
    <s v="Ahmal Ardianto"/>
    <x v="0"/>
    <d v="2000-10-21T00:00:00"/>
    <d v="2019-09-08T00:00:00"/>
    <x v="6"/>
    <x v="6"/>
    <x v="0"/>
    <s v="ahmalardianto@email.com"/>
    <s v="082584753759"/>
  </r>
  <r>
    <s v="EMP0184"/>
    <s v="Laelatul Azizah"/>
    <x v="1"/>
    <d v="1992-11-14T00:00:00"/>
    <d v="2018-04-18T00:00:00"/>
    <x v="0"/>
    <x v="0"/>
    <x v="0"/>
    <s v="laelatulazizah@email.com"/>
    <s v="086353185776"/>
  </r>
  <r>
    <s v="EMP0185"/>
    <s v="Fitriya Wijayanti"/>
    <x v="1"/>
    <d v="1988-08-18T00:00:00"/>
    <d v="2023-04-26T00:00:00"/>
    <x v="0"/>
    <x v="0"/>
    <x v="2"/>
    <s v="fitriyawijayanti@email.com"/>
    <s v="083020293852"/>
  </r>
  <r>
    <s v="EMP0186"/>
    <s v="Windi Santia Andrayani"/>
    <x v="1"/>
    <d v="1993-05-10T00:00:00"/>
    <d v="2024-03-15T00:00:00"/>
    <x v="1"/>
    <x v="1"/>
    <x v="2"/>
    <s v="windisantiaandrayani@email.com"/>
    <s v="082376334892"/>
  </r>
  <r>
    <s v="EMP0187"/>
    <s v="Shilvia Saputri"/>
    <x v="1"/>
    <d v="1996-04-03T00:00:00"/>
    <d v="2025-08-18T00:00:00"/>
    <x v="0"/>
    <x v="0"/>
    <x v="2"/>
    <s v="shilviasaputri@email.com"/>
    <s v="086593252106"/>
  </r>
  <r>
    <s v="EMP0188"/>
    <s v="Iin Tanisah"/>
    <x v="1"/>
    <d v="1994-05-23T00:00:00"/>
    <d v="2022-11-18T00:00:00"/>
    <x v="0"/>
    <x v="0"/>
    <x v="0"/>
    <s v="iintanisah@email.com"/>
    <s v="087640417872"/>
  </r>
  <r>
    <s v="EMP0189"/>
    <s v="Muhamad Ainun Umam"/>
    <x v="0"/>
    <d v="1986-05-28T00:00:00"/>
    <d v="2018-02-08T00:00:00"/>
    <x v="5"/>
    <x v="5"/>
    <x v="0"/>
    <s v="muhamadainunumam@email.com"/>
    <s v="080648538826"/>
  </r>
  <r>
    <s v="EMP0190"/>
    <s v="Nugi Rangga Rantausia"/>
    <x v="0"/>
    <d v="1994-06-07T00:00:00"/>
    <d v="2024-03-18T00:00:00"/>
    <x v="0"/>
    <x v="0"/>
    <x v="2"/>
    <s v="nugiranggarantausia@email.com"/>
    <s v="084444910257"/>
  </r>
  <r>
    <s v="EMP0191"/>
    <s v="Siti Mulyati"/>
    <x v="1"/>
    <d v="1985-11-05T00:00:00"/>
    <d v="2023-04-10T00:00:00"/>
    <x v="0"/>
    <x v="0"/>
    <x v="2"/>
    <s v="sitimulyati@email.com"/>
    <s v="086036752515"/>
  </r>
  <r>
    <s v="EMP0192"/>
    <s v="Resgiyan Trenanda"/>
    <x v="0"/>
    <d v="1989-05-24T00:00:00"/>
    <d v="2023-07-15T00:00:00"/>
    <x v="0"/>
    <x v="0"/>
    <x v="1"/>
    <s v="resgiyantrenanda@email.com"/>
    <s v="085941668963"/>
  </r>
  <r>
    <s v="EMP0193"/>
    <s v="Kadinda Nur Agustin"/>
    <x v="1"/>
    <d v="1985-02-23T00:00:00"/>
    <d v="2022-08-31T00:00:00"/>
    <x v="0"/>
    <x v="0"/>
    <x v="2"/>
    <s v="kadindanuragustin@email.com"/>
    <s v="082821076136"/>
  </r>
  <r>
    <s v="EMP0194"/>
    <s v="Galuh Fitri Ningrum"/>
    <x v="1"/>
    <d v="2001-05-15T00:00:00"/>
    <d v="2022-03-22T00:00:00"/>
    <x v="8"/>
    <x v="8"/>
    <x v="1"/>
    <s v="galuhfitriningrum@email.com"/>
    <s v="086276420087"/>
  </r>
  <r>
    <s v="EMP0195"/>
    <s v="Nur Oftavia"/>
    <x v="1"/>
    <d v="1995-11-03T00:00:00"/>
    <d v="2024-08-05T00:00:00"/>
    <x v="0"/>
    <x v="0"/>
    <x v="2"/>
    <s v="nuroftavia@email.com"/>
    <s v="088018470946"/>
  </r>
  <r>
    <s v="EMP0196"/>
    <s v="Aji Sanjaya"/>
    <x v="0"/>
    <d v="1988-07-06T00:00:00"/>
    <d v="2021-02-07T00:00:00"/>
    <x v="6"/>
    <x v="6"/>
    <x v="0"/>
    <s v="ajisanjaya@email.com"/>
    <s v="087849774444"/>
  </r>
  <r>
    <s v="EMP0197"/>
    <s v="Citra Ayu Saputri"/>
    <x v="1"/>
    <d v="1991-07-07T00:00:00"/>
    <d v="2023-11-16T00:00:00"/>
    <x v="0"/>
    <x v="0"/>
    <x v="1"/>
    <s v="citraayusaputri@email.com"/>
    <s v="087998291028"/>
  </r>
  <r>
    <s v="EMP0198"/>
    <s v="Aisyah Ummu Latifah"/>
    <x v="1"/>
    <d v="2001-01-24T00:00:00"/>
    <d v="2024-01-14T00:00:00"/>
    <x v="0"/>
    <x v="0"/>
    <x v="2"/>
    <s v="aisyahummulatifah@email.com"/>
    <s v="081391052764"/>
  </r>
  <r>
    <s v="EMP0199"/>
    <s v="Ruri Septiana"/>
    <x v="1"/>
    <d v="1999-11-24T00:00:00"/>
    <d v="2024-01-21T00:00:00"/>
    <x v="0"/>
    <x v="0"/>
    <x v="0"/>
    <s v="ruriseptiana@email.com"/>
    <s v="087653690003"/>
  </r>
  <r>
    <s v="EMP0200"/>
    <s v="Wika Dwi Nopelia"/>
    <x v="1"/>
    <d v="1998-11-05T00:00:00"/>
    <d v="2023-10-31T00:00:00"/>
    <x v="0"/>
    <x v="0"/>
    <x v="2"/>
    <s v="wikadwinopelia@email.com"/>
    <s v="088087005974"/>
  </r>
  <r>
    <s v="EMP0201"/>
    <s v="Tia Atikah"/>
    <x v="1"/>
    <d v="1990-03-15T00:00:00"/>
    <d v="2019-06-14T00:00:00"/>
    <x v="0"/>
    <x v="0"/>
    <x v="0"/>
    <s v="tiaatikah@email.com"/>
    <s v="081281889962"/>
  </r>
  <r>
    <s v="EMP0202"/>
    <s v="Fasikha"/>
    <x v="1"/>
    <d v="1996-10-26T00:00:00"/>
    <d v="2022-06-18T00:00:00"/>
    <x v="0"/>
    <x v="0"/>
    <x v="0"/>
    <s v="fasikha@email.com"/>
    <s v="082513621873"/>
  </r>
  <r>
    <s v="EMP0203"/>
    <s v="Misbahul Anam"/>
    <x v="0"/>
    <d v="1997-03-25T00:00:00"/>
    <d v="2019-02-04T00:00:00"/>
    <x v="0"/>
    <x v="0"/>
    <x v="2"/>
    <s v="misbahulanam@email.com"/>
    <s v="083367478357"/>
  </r>
  <r>
    <s v="EMP0204"/>
    <s v="Dimas Aditya B. R"/>
    <x v="0"/>
    <d v="2003-03-03T00:00:00"/>
    <d v="2021-04-20T00:00:00"/>
    <x v="0"/>
    <x v="0"/>
    <x v="2"/>
    <s v="dimasadityab.r@email.com"/>
    <s v="080493094292"/>
  </r>
  <r>
    <s v="EMP0205"/>
    <s v="Khuswatun Khasanah"/>
    <x v="1"/>
    <d v="1995-09-11T00:00:00"/>
    <d v="2018-12-11T00:00:00"/>
    <x v="0"/>
    <x v="0"/>
    <x v="2"/>
    <s v="khuswatunkhasanah@email.com"/>
    <s v="083694878858"/>
  </r>
  <r>
    <s v="EMP0206"/>
    <s v="Rifky Agustian Dwi Putra"/>
    <x v="0"/>
    <d v="1987-08-24T00:00:00"/>
    <d v="2021-11-16T00:00:00"/>
    <x v="7"/>
    <x v="7"/>
    <x v="0"/>
    <s v="rifkyagustiandwiputra@email.com"/>
    <s v="083401117691"/>
  </r>
  <r>
    <s v="EMP0207"/>
    <s v="Riski Ikhbal Afdani"/>
    <x v="0"/>
    <d v="2002-08-28T00:00:00"/>
    <d v="2025-08-20T00:00:00"/>
    <x v="0"/>
    <x v="0"/>
    <x v="2"/>
    <s v="riskiikhbalafdani@email.com"/>
    <s v="085649407257"/>
  </r>
  <r>
    <s v="EMP0208"/>
    <s v="Dalpa Nakia"/>
    <x v="1"/>
    <d v="2001-10-31T00:00:00"/>
    <d v="2018-03-19T00:00:00"/>
    <x v="0"/>
    <x v="0"/>
    <x v="1"/>
    <s v="dalpanakia@email.com"/>
    <s v="086639118590"/>
  </r>
  <r>
    <s v="EMP0209"/>
    <s v="Defi Restu Anandari"/>
    <x v="1"/>
    <d v="1999-01-27T00:00:00"/>
    <d v="2024-03-13T00:00:00"/>
    <x v="8"/>
    <x v="8"/>
    <x v="1"/>
    <s v="defirestuanandari@email.com"/>
    <s v="089421192674"/>
  </r>
  <r>
    <s v="EMP0210"/>
    <s v="Nur Adi Pramono"/>
    <x v="0"/>
    <d v="1995-02-10T00:00:00"/>
    <d v="2018-06-02T00:00:00"/>
    <x v="6"/>
    <x v="6"/>
    <x v="0"/>
    <s v="nuradipramono@email.com"/>
    <s v="084640460500"/>
  </r>
  <r>
    <s v="EMP0211"/>
    <s v="Riyan Fauzi"/>
    <x v="0"/>
    <d v="1987-05-06T00:00:00"/>
    <d v="2025-05-10T00:00:00"/>
    <x v="6"/>
    <x v="6"/>
    <x v="0"/>
    <s v="riyanfauzi@email.com"/>
    <s v="080585238873"/>
  </r>
  <r>
    <s v="EMP0212"/>
    <s v="Santi"/>
    <x v="1"/>
    <d v="2001-01-09T00:00:00"/>
    <d v="2019-01-13T00:00:00"/>
    <x v="0"/>
    <x v="0"/>
    <x v="2"/>
    <s v="santi@email.com"/>
    <s v="082648773684"/>
  </r>
  <r>
    <s v="EMP0213"/>
    <s v="Aditya Prasetyo"/>
    <x v="0"/>
    <d v="1996-03-24T00:00:00"/>
    <d v="2019-05-23T00:00:00"/>
    <x v="5"/>
    <x v="5"/>
    <x v="0"/>
    <s v="adityaprasetyo@email.com"/>
    <s v="085055845495"/>
  </r>
  <r>
    <s v="EMP0214"/>
    <s v="Dwi Arum Muyita"/>
    <x v="1"/>
    <d v="1995-07-01T00:00:00"/>
    <d v="2019-08-28T00:00:00"/>
    <x v="0"/>
    <x v="0"/>
    <x v="1"/>
    <s v="dwiarummuyita@email.com"/>
    <s v="083299186976"/>
  </r>
  <r>
    <s v="EMP0215"/>
    <s v="Riyanto"/>
    <x v="0"/>
    <d v="2002-08-12T00:00:00"/>
    <d v="2024-03-20T00:00:00"/>
    <x v="0"/>
    <x v="0"/>
    <x v="2"/>
    <s v="riyanto@email.com"/>
    <s v="085291245465"/>
  </r>
  <r>
    <s v="EMP0216"/>
    <s v="Saeful Iman"/>
    <x v="0"/>
    <d v="1990-07-15T00:00:00"/>
    <d v="2018-03-26T00:00:00"/>
    <x v="4"/>
    <x v="4"/>
    <x v="0"/>
    <s v="saefuliman@email.com"/>
    <s v="089548676531"/>
  </r>
  <r>
    <s v="EMP0217"/>
    <s v="Umi Satun Munawaroh"/>
    <x v="1"/>
    <d v="2000-11-09T00:00:00"/>
    <d v="2022-12-05T00:00:00"/>
    <x v="0"/>
    <x v="0"/>
    <x v="1"/>
    <s v="umisatunmunawaroh@email.com"/>
    <s v="089336842967"/>
  </r>
  <r>
    <s v="EMP0218"/>
    <s v="Riska Kurniasih"/>
    <x v="1"/>
    <d v="1992-11-15T00:00:00"/>
    <d v="2020-04-18T00:00:00"/>
    <x v="0"/>
    <x v="0"/>
    <x v="0"/>
    <s v="riskakurniasih@email.com"/>
    <s v="086236445006"/>
  </r>
  <r>
    <s v="EMP0219"/>
    <s v="Mukhamad Ilham Basuki"/>
    <x v="0"/>
    <d v="1987-12-07T00:00:00"/>
    <d v="2019-01-12T00:00:00"/>
    <x v="1"/>
    <x v="1"/>
    <x v="1"/>
    <s v="mukhamadilhambasuki@email.com"/>
    <s v="082703604408"/>
  </r>
  <r>
    <s v="EMP0220"/>
    <s v="Rizky Artolariek Syah"/>
    <x v="0"/>
    <d v="2001-07-12T00:00:00"/>
    <d v="2022-10-02T00:00:00"/>
    <x v="8"/>
    <x v="8"/>
    <x v="1"/>
    <s v="rizkyartolarieksyah@email.com"/>
    <s v="088210644596"/>
  </r>
  <r>
    <s v="EMP0221"/>
    <s v="Toto Iskandar"/>
    <x v="0"/>
    <d v="1987-07-27T00:00:00"/>
    <d v="2018-02-13T00:00:00"/>
    <x v="0"/>
    <x v="0"/>
    <x v="2"/>
    <s v="totoiskandar@email.com"/>
    <s v="089652083675"/>
  </r>
  <r>
    <s v="EMP0222"/>
    <s v="Anisa Izaki"/>
    <x v="1"/>
    <d v="1999-09-30T00:00:00"/>
    <d v="2024-09-26T00:00:00"/>
    <x v="0"/>
    <x v="0"/>
    <x v="0"/>
    <s v="anisaizaki@email.com"/>
    <s v="089303531056"/>
  </r>
  <r>
    <s v="EMP0223"/>
    <s v="Gina Rosdiana"/>
    <x v="1"/>
    <d v="1997-01-06T00:00:00"/>
    <d v="2020-12-09T00:00:00"/>
    <x v="0"/>
    <x v="0"/>
    <x v="2"/>
    <s v="ginarosdiana@email.com"/>
    <s v="087002089046"/>
  </r>
  <r>
    <s v="EMP0224"/>
    <s v="Wawan Gunawan"/>
    <x v="0"/>
    <d v="2003-07-09T00:00:00"/>
    <d v="2025-01-06T00:00:00"/>
    <x v="0"/>
    <x v="0"/>
    <x v="1"/>
    <s v="wawangunawan@email.com"/>
    <s v="087434160593"/>
  </r>
  <r>
    <s v="EMP0225"/>
    <s v="Aulia Putri Nuraini"/>
    <x v="1"/>
    <d v="1997-03-19T00:00:00"/>
    <d v="2020-03-07T00:00:00"/>
    <x v="1"/>
    <x v="1"/>
    <x v="1"/>
    <s v="auliaputrinuraini@email.com"/>
    <s v="084665379821"/>
  </r>
  <r>
    <s v="EMP0226"/>
    <s v="Sandi Sopandi"/>
    <x v="0"/>
    <d v="1993-11-23T00:00:00"/>
    <d v="2020-10-09T00:00:00"/>
    <x v="0"/>
    <x v="0"/>
    <x v="2"/>
    <s v="sandisopandi@email.com"/>
    <s v="088221674427"/>
  </r>
  <r>
    <s v="EMP0227"/>
    <s v="Sri Surya Suganda"/>
    <x v="0"/>
    <d v="1999-01-05T00:00:00"/>
    <d v="2023-02-01T00:00:00"/>
    <x v="0"/>
    <x v="0"/>
    <x v="0"/>
    <s v="srisuryasuganda@email.com"/>
    <s v="084893074751"/>
  </r>
  <r>
    <s v="EMP0228"/>
    <s v="Egi Ardhanariswati"/>
    <x v="1"/>
    <d v="1996-06-24T00:00:00"/>
    <d v="2023-06-15T00:00:00"/>
    <x v="0"/>
    <x v="0"/>
    <x v="0"/>
    <s v="egiardhanariswati@email.com"/>
    <s v="089756465522"/>
  </r>
  <r>
    <s v="EMP0229"/>
    <s v="Sahrul Aripin"/>
    <x v="0"/>
    <d v="1990-10-24T00:00:00"/>
    <d v="2024-08-23T00:00:00"/>
    <x v="0"/>
    <x v="0"/>
    <x v="2"/>
    <s v="sahrularipin@email.com"/>
    <s v="088036018550"/>
  </r>
  <r>
    <s v="EMP0230"/>
    <s v="Nur Oktavia"/>
    <x v="1"/>
    <d v="1993-02-02T00:00:00"/>
    <d v="2022-05-27T00:00:00"/>
    <x v="0"/>
    <x v="0"/>
    <x v="0"/>
    <s v="nuroktavia@email.com"/>
    <s v="086800942032"/>
  </r>
  <r>
    <s v="EMP0231"/>
    <s v="Hikmatul Maula"/>
    <x v="1"/>
    <d v="1991-09-15T00:00:00"/>
    <d v="2018-03-01T00:00:00"/>
    <x v="0"/>
    <x v="0"/>
    <x v="2"/>
    <s v="hikmatulmaula@email.com"/>
    <s v="089756465533"/>
  </r>
  <r>
    <s v="EMP0232"/>
    <s v="Muhamad Tedi Ramadan"/>
    <x v="0"/>
    <d v="2002-08-13T00:00:00"/>
    <d v="2021-09-23T00:00:00"/>
    <x v="4"/>
    <x v="4"/>
    <x v="0"/>
    <s v="muhamadtediramadan@email.com"/>
    <s v="085218842261"/>
  </r>
  <r>
    <s v="EMP0233"/>
    <s v="Selvi Astriani"/>
    <x v="1"/>
    <d v="1987-04-14T00:00:00"/>
    <d v="2020-11-06T00:00:00"/>
    <x v="0"/>
    <x v="0"/>
    <x v="0"/>
    <s v="selviastriani@email.com"/>
    <s v="083865954360"/>
  </r>
  <r>
    <s v="EMP0234"/>
    <s v="Abdul Wahab"/>
    <x v="0"/>
    <d v="1993-09-19T00:00:00"/>
    <d v="2021-08-13T00:00:00"/>
    <x v="5"/>
    <x v="5"/>
    <x v="0"/>
    <s v="abdulwahab@email.com"/>
    <s v="085264729669"/>
  </r>
  <r>
    <s v="EMP0235"/>
    <s v="Indah Astrianingsih"/>
    <x v="1"/>
    <d v="1990-08-10T00:00:00"/>
    <d v="2025-03-14T00:00:00"/>
    <x v="7"/>
    <x v="7"/>
    <x v="0"/>
    <s v="indahastrianingsih@email.com"/>
    <s v="083523345025"/>
  </r>
  <r>
    <s v="EMP0236"/>
    <s v="Moh Dava Rangga Febrian"/>
    <x v="0"/>
    <d v="1995-05-02T00:00:00"/>
    <d v="2019-04-02T00:00:00"/>
    <x v="5"/>
    <x v="5"/>
    <x v="2"/>
    <s v="mohdavaranggafebrian@email.com"/>
    <s v="086101911315"/>
  </r>
  <r>
    <s v="EMP0237"/>
    <s v="Hanika Amanda"/>
    <x v="1"/>
    <d v="1996-04-11T00:00:00"/>
    <d v="2022-10-16T00:00:00"/>
    <x v="0"/>
    <x v="0"/>
    <x v="2"/>
    <s v="hanikaamanda@email.com"/>
    <s v="082238348604"/>
  </r>
  <r>
    <s v="EMP0238"/>
    <s v="Ahmad Nurfauzi"/>
    <x v="0"/>
    <d v="1985-08-14T00:00:00"/>
    <d v="2019-10-21T00:00:00"/>
    <x v="6"/>
    <x v="6"/>
    <x v="0"/>
    <s v="ahmadnurfauzi@email.com"/>
    <s v="085648720088"/>
  </r>
  <r>
    <s v="EMP0239"/>
    <s v="Tri Apriani Utami"/>
    <x v="1"/>
    <d v="1995-08-01T00:00:00"/>
    <d v="2020-08-15T00:00:00"/>
    <x v="0"/>
    <x v="0"/>
    <x v="0"/>
    <s v="triaprianiutami@email.com"/>
    <s v="086080273171"/>
  </r>
  <r>
    <s v="EMP0240"/>
    <s v="Windi Apriliyani"/>
    <x v="1"/>
    <d v="1992-07-13T00:00:00"/>
    <d v="2024-04-29T00:00:00"/>
    <x v="8"/>
    <x v="8"/>
    <x v="1"/>
    <s v="windiapriliyani@email.com"/>
    <s v="088322285591"/>
  </r>
  <r>
    <s v="EMP0241"/>
    <s v="Muhammad Izzun Azhar"/>
    <x v="0"/>
    <d v="1995-07-02T00:00:00"/>
    <d v="2020-05-07T00:00:00"/>
    <x v="0"/>
    <x v="0"/>
    <x v="2"/>
    <s v="muhammadizzunazhar@email.com"/>
    <s v="0898360387"/>
  </r>
  <r>
    <s v="EMP0242"/>
    <s v="Hasmi Ari Pinayung"/>
    <x v="1"/>
    <d v="2003-08-11T00:00:00"/>
    <d v="2018-12-22T00:00:00"/>
    <x v="0"/>
    <x v="0"/>
    <x v="2"/>
    <s v="hasmiaripinayung@email.com"/>
    <s v="087402779797"/>
  </r>
  <r>
    <s v="EMP0243"/>
    <s v="Lasmaria Sihombing"/>
    <x v="1"/>
    <d v="1991-04-18T00:00:00"/>
    <d v="2018-10-09T00:00:00"/>
    <x v="0"/>
    <x v="0"/>
    <x v="1"/>
    <s v="lasmariasihombing@email.com"/>
    <s v="081213507856"/>
  </r>
  <r>
    <s v="EMP0244"/>
    <s v="Latifatun Nisa"/>
    <x v="1"/>
    <d v="1994-01-13T00:00:00"/>
    <d v="2022-04-19T00:00:00"/>
    <x v="1"/>
    <x v="1"/>
    <x v="2"/>
    <s v="latifatunnisa@email.com"/>
    <s v="0816468879"/>
  </r>
  <r>
    <s v="EMP0245"/>
    <s v="Adira Noviya Ardani"/>
    <x v="1"/>
    <d v="1997-11-04T00:00:00"/>
    <d v="2021-03-02T00:00:00"/>
    <x v="0"/>
    <x v="0"/>
    <x v="0"/>
    <s v="adiranoviyaardani@email.com"/>
    <s v="089756465544"/>
  </r>
  <r>
    <s v="EMP0246"/>
    <s v="Hasriyah"/>
    <x v="1"/>
    <d v="1988-02-06T00:00:00"/>
    <d v="2018-02-21T00:00:00"/>
    <x v="1"/>
    <x v="1"/>
    <x v="2"/>
    <s v="hasriyah@email.com"/>
    <s v="083286890319"/>
  </r>
  <r>
    <s v="EMP0247"/>
    <s v="Nur Armala Putri"/>
    <x v="1"/>
    <d v="2000-06-28T00:00:00"/>
    <d v="2018-05-28T00:00:00"/>
    <x v="0"/>
    <x v="0"/>
    <x v="0"/>
    <s v="nurarmalaputri@email.com"/>
    <s v="083233185527"/>
  </r>
  <r>
    <s v="EMP0248"/>
    <s v="Teguh Pradesa"/>
    <x v="0"/>
    <d v="2002-03-09T00:00:00"/>
    <d v="2019-11-10T00:00:00"/>
    <x v="0"/>
    <x v="0"/>
    <x v="2"/>
    <s v="teguhpradesa@email.com"/>
    <s v="084897224253"/>
  </r>
  <r>
    <s v="EMP0249"/>
    <s v="Nur Mahmudah"/>
    <x v="1"/>
    <d v="1998-08-25T00:00:00"/>
    <d v="2023-06-28T00:00:00"/>
    <x v="0"/>
    <x v="0"/>
    <x v="0"/>
    <s v="nurmahmudah@email.com"/>
    <s v="082765562117"/>
  </r>
  <r>
    <s v="EMP0250"/>
    <s v="Muhamad Teguh Arissianto"/>
    <x v="0"/>
    <d v="1993-12-28T00:00:00"/>
    <d v="2021-12-12T00:00:00"/>
    <x v="5"/>
    <x v="5"/>
    <x v="1"/>
    <s v="muhamadteguharissianto@email.com"/>
    <s v="083053952508"/>
  </r>
  <r>
    <s v="EMP0251"/>
    <s v="Nayla Maylanti"/>
    <x v="1"/>
    <d v="1986-05-17T00:00:00"/>
    <d v="2023-07-24T00:00:00"/>
    <x v="0"/>
    <x v="0"/>
    <x v="0"/>
    <s v="naylamaylanti@email.com"/>
    <s v="086256939975"/>
  </r>
  <r>
    <s v="EMP0252"/>
    <s v="Maulani"/>
    <x v="0"/>
    <d v="1986-03-03T00:00:00"/>
    <d v="2018-08-29T00:00:00"/>
    <x v="4"/>
    <x v="4"/>
    <x v="0"/>
    <s v="maulani@email.com"/>
    <s v="088001255488"/>
  </r>
  <r>
    <s v="EMP0253"/>
    <s v="Nur Amaliyah"/>
    <x v="1"/>
    <d v="1985-02-02T00:00:00"/>
    <d v="2023-01-10T00:00:00"/>
    <x v="0"/>
    <x v="0"/>
    <x v="0"/>
    <s v="nuramaliyah@email.com"/>
    <s v="081851884123"/>
  </r>
  <r>
    <s v="EMP0254"/>
    <s v="Nida Ul Umaim"/>
    <x v="1"/>
    <d v="1998-07-31T00:00:00"/>
    <d v="2024-12-16T00:00:00"/>
    <x v="0"/>
    <x v="0"/>
    <x v="2"/>
    <s v="nidaulumaim@email.com"/>
    <s v="084908886008"/>
  </r>
  <r>
    <s v="EMP0255"/>
    <s v="Umar Syaifulloh"/>
    <x v="0"/>
    <d v="1991-01-19T00:00:00"/>
    <d v="2024-08-06T00:00:00"/>
    <x v="0"/>
    <x v="0"/>
    <x v="2"/>
    <s v="umarsyaifulloh@email.com"/>
    <s v="083497465230"/>
  </r>
  <r>
    <s v="EMP0256"/>
    <s v="Eka Fitriyani"/>
    <x v="1"/>
    <d v="1991-04-27T00:00:00"/>
    <d v="2023-03-14T00:00:00"/>
    <x v="0"/>
    <x v="0"/>
    <x v="2"/>
    <s v="ekafitriyani@email.com"/>
    <s v="082519661747"/>
  </r>
  <r>
    <s v="EMP0257"/>
    <s v="Cindy Aulia"/>
    <x v="1"/>
    <d v="1991-02-03T00:00:00"/>
    <d v="2024-09-28T00:00:00"/>
    <x v="1"/>
    <x v="1"/>
    <x v="0"/>
    <s v="cindyaulia@email.com"/>
    <s v="086411890828"/>
  </r>
  <r>
    <s v="EMP0258"/>
    <s v="Sepira Nurmalasari"/>
    <x v="1"/>
    <d v="1988-12-19T00:00:00"/>
    <d v="2023-11-27T00:00:00"/>
    <x v="0"/>
    <x v="0"/>
    <x v="0"/>
    <s v="sepiranurmalasari@email.com"/>
    <s v="088836868762"/>
  </r>
  <r>
    <s v="EMP0259"/>
    <s v="Sumiyati"/>
    <x v="1"/>
    <d v="1990-10-02T00:00:00"/>
    <d v="2020-11-02T00:00:00"/>
    <x v="7"/>
    <x v="7"/>
    <x v="0"/>
    <s v="sumiyati@email.com"/>
    <s v="086647919849"/>
  </r>
  <r>
    <s v="EMP0260"/>
    <s v="Irfan Maulana"/>
    <x v="0"/>
    <d v="1999-10-01T00:00:00"/>
    <d v="2018-02-09T00:00:00"/>
    <x v="5"/>
    <x v="5"/>
    <x v="0"/>
    <s v="irfanmaulana@email.com"/>
    <s v="085344394675"/>
  </r>
  <r>
    <s v="EMP0261"/>
    <s v="Koisah"/>
    <x v="1"/>
    <d v="1989-06-25T00:00:00"/>
    <d v="2025-06-29T00:00:00"/>
    <x v="0"/>
    <x v="0"/>
    <x v="2"/>
    <s v="koisah@email.com"/>
    <s v="088518586978"/>
  </r>
  <r>
    <s v="EMP0262"/>
    <s v="Ade Irfan"/>
    <x v="0"/>
    <d v="1999-09-21T00:00:00"/>
    <d v="2021-10-26T00:00:00"/>
    <x v="5"/>
    <x v="5"/>
    <x v="1"/>
    <s v="adeirfan@email.com"/>
    <s v="088941037927"/>
  </r>
  <r>
    <s v="EMP0263"/>
    <s v="Realita Febri"/>
    <x v="1"/>
    <d v="1989-04-08T00:00:00"/>
    <d v="2022-11-12T00:00:00"/>
    <x v="8"/>
    <x v="8"/>
    <x v="1"/>
    <s v="realitafebri@email.com"/>
    <s v="085328871915"/>
  </r>
  <r>
    <s v="EMP0264"/>
    <s v="Hilda Nova Aprilia"/>
    <x v="1"/>
    <d v="2002-11-15T00:00:00"/>
    <d v="2025-05-13T00:00:00"/>
    <x v="0"/>
    <x v="0"/>
    <x v="0"/>
    <s v="hildanovaaprilia@email.com"/>
    <s v="085812054669"/>
  </r>
  <r>
    <s v="EMP0265"/>
    <s v="Dian Ayu Rizqianah"/>
    <x v="1"/>
    <d v="2003-03-15T00:00:00"/>
    <d v="2019-02-24T00:00:00"/>
    <x v="0"/>
    <x v="0"/>
    <x v="0"/>
    <s v="dianayurizqianah@email.com"/>
    <s v="083204613263"/>
  </r>
  <r>
    <s v="EMP0266"/>
    <s v="Widya Aminur Alifah"/>
    <x v="1"/>
    <d v="1989-12-05T00:00:00"/>
    <d v="2020-12-24T00:00:00"/>
    <x v="1"/>
    <x v="1"/>
    <x v="0"/>
    <s v="widyaaminuralifah@email.com"/>
    <s v="086777671457"/>
  </r>
  <r>
    <s v="EMP0267"/>
    <s v="Zidan Alfarizi"/>
    <x v="0"/>
    <d v="1994-12-26T00:00:00"/>
    <d v="2022-01-28T00:00:00"/>
    <x v="0"/>
    <x v="0"/>
    <x v="0"/>
    <s v="zidanalfarizi@email.com"/>
    <s v="081399632970"/>
  </r>
  <r>
    <s v="EMP0268"/>
    <s v="Revalina Ramadhani"/>
    <x v="1"/>
    <d v="1992-01-25T00:00:00"/>
    <d v="2019-05-21T00:00:00"/>
    <x v="0"/>
    <x v="0"/>
    <x v="1"/>
    <s v="revalinaramadhani@email.com"/>
    <s v="089219814415"/>
  </r>
  <r>
    <s v="EMP0269"/>
    <s v="Nur Isnaaeni"/>
    <x v="1"/>
    <d v="1990-11-03T00:00:00"/>
    <d v="2023-01-03T00:00:00"/>
    <x v="1"/>
    <x v="1"/>
    <x v="0"/>
    <s v="nurisnaaeni@email.com"/>
    <s v="082243536884"/>
  </r>
  <r>
    <s v="EMP0270"/>
    <s v="Dika Aditiyani"/>
    <x v="1"/>
    <d v="2000-07-18T00:00:00"/>
    <d v="2019-10-09T00:00:00"/>
    <x v="7"/>
    <x v="7"/>
    <x v="0"/>
    <s v="dikaaditiyani@email.com"/>
    <s v="085556350458"/>
  </r>
  <r>
    <s v="EMP0271"/>
    <s v="Nur Afifah"/>
    <x v="1"/>
    <d v="2004-02-09T00:00:00"/>
    <d v="2020-09-25T00:00:00"/>
    <x v="0"/>
    <x v="0"/>
    <x v="1"/>
    <s v="nurafifah@email.com"/>
    <s v="083201761619"/>
  </r>
  <r>
    <s v="EMP0272"/>
    <s v="Anggih Sulistyono"/>
    <x v="0"/>
    <d v="1993-12-27T00:00:00"/>
    <d v="2023-04-02T00:00:00"/>
    <x v="0"/>
    <x v="0"/>
    <x v="2"/>
    <s v="anggihsulistyono@email.com"/>
    <s v="081572364090"/>
  </r>
  <r>
    <s v="EMP0273"/>
    <s v="Dzaki Taufiqul Hakim"/>
    <x v="0"/>
    <d v="2003-08-27T00:00:00"/>
    <d v="2023-01-11T00:00:00"/>
    <x v="5"/>
    <x v="5"/>
    <x v="2"/>
    <s v="dzakitaufiqulhakim@email.com"/>
    <s v="086425188366"/>
  </r>
  <r>
    <s v="EMP0274"/>
    <s v="Akhmad An Nur Fachri"/>
    <x v="0"/>
    <d v="1994-05-18T00:00:00"/>
    <d v="2021-06-05T00:00:00"/>
    <x v="1"/>
    <x v="1"/>
    <x v="0"/>
    <s v="akhmadannurfachri@email.com"/>
    <s v="089264006078"/>
  </r>
  <r>
    <s v="EMP0275"/>
    <s v="Ulfianah"/>
    <x v="1"/>
    <d v="2004-02-08T00:00:00"/>
    <d v="2019-03-26T00:00:00"/>
    <x v="1"/>
    <x v="1"/>
    <x v="2"/>
    <s v="ulfianah@email.com"/>
    <s v="082897937353"/>
  </r>
  <r>
    <s v="EMP0276"/>
    <s v="Tarmidi Tahir"/>
    <x v="0"/>
    <d v="1990-06-08T00:00:00"/>
    <d v="2024-01-24T00:00:00"/>
    <x v="7"/>
    <x v="7"/>
    <x v="0"/>
    <s v="tarmiditahir@email.com"/>
    <s v="080681631711"/>
  </r>
  <r>
    <s v="EMP0277"/>
    <s v="Sri Diana"/>
    <x v="1"/>
    <d v="1998-02-27T00:00:00"/>
    <d v="2025-03-16T00:00:00"/>
    <x v="0"/>
    <x v="0"/>
    <x v="0"/>
    <s v="sridiana@email.com"/>
    <s v="084950636994"/>
  </r>
  <r>
    <s v="EMP0278"/>
    <s v="Imtiya Zul Ilmi"/>
    <x v="1"/>
    <d v="2000-12-20T00:00:00"/>
    <d v="2018-10-25T00:00:00"/>
    <x v="0"/>
    <x v="0"/>
    <x v="0"/>
    <s v="imtiyazulilmi@email.com"/>
    <s v="087995370073"/>
  </r>
  <r>
    <s v="EMP0279"/>
    <s v="Andini Khoirun Nisa"/>
    <x v="1"/>
    <d v="2003-12-04T00:00:00"/>
    <d v="2023-10-15T00:00:00"/>
    <x v="8"/>
    <x v="8"/>
    <x v="1"/>
    <s v="andinikhoirunnisa@email.com"/>
    <s v="084005949454"/>
  </r>
  <r>
    <s v="EMP0280"/>
    <s v="Naira Eksa Nita"/>
    <x v="1"/>
    <d v="1998-04-24T00:00:00"/>
    <d v="2020-10-15T00:00:00"/>
    <x v="0"/>
    <x v="0"/>
    <x v="2"/>
    <s v="nairaeksanita@email.com"/>
    <s v="087395297678"/>
  </r>
  <r>
    <s v="EMP0281"/>
    <s v="Wini Siti Nuraeni"/>
    <x v="1"/>
    <d v="2002-09-18T00:00:00"/>
    <d v="2024-05-12T00:00:00"/>
    <x v="0"/>
    <x v="0"/>
    <x v="0"/>
    <s v="winisitinuraeni@email.com"/>
    <s v="084792719755"/>
  </r>
  <r>
    <s v="EMP0282"/>
    <s v="Revi Reviyanti"/>
    <x v="1"/>
    <d v="2004-01-01T00:00:00"/>
    <d v="2018-11-10T00:00:00"/>
    <x v="1"/>
    <x v="1"/>
    <x v="0"/>
    <s v="revireviyanti@email.com"/>
    <s v="085798893902"/>
  </r>
  <r>
    <s v="EMP0283"/>
    <s v="Isnin Irnia Analia"/>
    <x v="1"/>
    <d v="1997-08-12T00:00:00"/>
    <d v="2024-10-24T00:00:00"/>
    <x v="0"/>
    <x v="0"/>
    <x v="0"/>
    <s v="isninirniaanalia@email.com"/>
    <s v="089680971831"/>
  </r>
  <r>
    <s v="EMP0284"/>
    <s v="Siska Triputri"/>
    <x v="1"/>
    <d v="2002-05-05T00:00:00"/>
    <d v="2024-01-24T00:00:00"/>
    <x v="0"/>
    <x v="0"/>
    <x v="0"/>
    <s v="siskatriputri@email.com"/>
    <s v="082662492697"/>
  </r>
  <r>
    <s v="EMP0285"/>
    <s v="Linda Dwi Pertiwi"/>
    <x v="1"/>
    <d v="1999-08-05T00:00:00"/>
    <d v="2023-02-08T00:00:00"/>
    <x v="0"/>
    <x v="0"/>
    <x v="2"/>
    <s v="lindadwipertiwi@email.com"/>
    <s v="082344626681"/>
  </r>
  <r>
    <s v="EMP0286"/>
    <s v="Tomi Purnomo"/>
    <x v="0"/>
    <d v="1992-11-29T00:00:00"/>
    <d v="2023-05-09T00:00:00"/>
    <x v="0"/>
    <x v="0"/>
    <x v="1"/>
    <s v="tomipurnomo@email.com"/>
    <s v="080753601125"/>
  </r>
  <r>
    <s v="EMP0287"/>
    <s v="Muchamad Luthfi"/>
    <x v="0"/>
    <d v="2001-09-30T00:00:00"/>
    <d v="2023-02-11T00:00:00"/>
    <x v="5"/>
    <x v="5"/>
    <x v="2"/>
    <s v="muchamadluthfi@email.com"/>
    <s v="0863808382"/>
  </r>
  <r>
    <s v="EMP0288"/>
    <s v="Neng Rika Nuraeni"/>
    <x v="1"/>
    <d v="1993-01-30T00:00:00"/>
    <d v="2018-12-07T00:00:00"/>
    <x v="0"/>
    <x v="0"/>
    <x v="2"/>
    <s v="nengrikanuraeni@email.com"/>
    <s v="081409073277"/>
  </r>
  <r>
    <s v="EMP0289"/>
    <s v="Faisol Komari Zamwn"/>
    <x v="0"/>
    <d v="1987-09-12T00:00:00"/>
    <d v="2022-09-11T00:00:00"/>
    <x v="4"/>
    <x v="4"/>
    <x v="1"/>
    <s v="faisolkomarizamwn@email.com"/>
    <s v="089756465555"/>
  </r>
  <r>
    <s v="EMP0290"/>
    <s v="Hekel Badrusalam"/>
    <x v="0"/>
    <d v="1996-03-18T00:00:00"/>
    <d v="2019-03-11T00:00:00"/>
    <x v="4"/>
    <x v="4"/>
    <x v="0"/>
    <s v="hekelbadrusalam@email.com"/>
    <s v="081025454676"/>
  </r>
  <r>
    <s v="EMP0291"/>
    <s v="Fika Amala"/>
    <x v="1"/>
    <d v="1987-02-21T00:00:00"/>
    <d v="2024-04-30T00:00:00"/>
    <x v="0"/>
    <x v="0"/>
    <x v="0"/>
    <s v="fikaamala@email.com"/>
    <s v="082722374650"/>
  </r>
  <r>
    <s v="EMP0292"/>
    <s v="Gofar Ismail"/>
    <x v="0"/>
    <d v="2002-09-28T00:00:00"/>
    <d v="2023-09-29T00:00:00"/>
    <x v="0"/>
    <x v="0"/>
    <x v="2"/>
    <s v="gofarismail@email.com"/>
    <s v="084154020880"/>
  </r>
  <r>
    <s v="EMP0293"/>
    <s v="Sri Rahayu Wanti"/>
    <x v="1"/>
    <d v="1996-03-25T00:00:00"/>
    <d v="2020-01-26T00:00:00"/>
    <x v="0"/>
    <x v="0"/>
    <x v="0"/>
    <s v="srirahayuwanti@email.com"/>
    <s v="086248609386"/>
  </r>
  <r>
    <s v="EMP0294"/>
    <s v="Sakila Rahmawati"/>
    <x v="1"/>
    <d v="1993-08-16T00:00:00"/>
    <d v="2020-09-06T00:00:00"/>
    <x v="0"/>
    <x v="0"/>
    <x v="0"/>
    <s v="sakilarahmawati@email.com"/>
    <s v="088967779287"/>
  </r>
  <r>
    <s v="EMP0295"/>
    <s v="Cindy Apriliyana"/>
    <x v="1"/>
    <d v="2001-03-25T00:00:00"/>
    <d v="2018-05-14T00:00:00"/>
    <x v="0"/>
    <x v="0"/>
    <x v="2"/>
    <s v="cindyapriliyana@email.com"/>
    <s v="082007649810"/>
  </r>
  <r>
    <s v="EMP0296"/>
    <s v="Elen Amelia"/>
    <x v="1"/>
    <d v="1999-03-05T00:00:00"/>
    <d v="2021-01-21T00:00:00"/>
    <x v="0"/>
    <x v="0"/>
    <x v="1"/>
    <s v="elenamelia@email.com"/>
    <s v="080981909684"/>
  </r>
  <r>
    <s v="EMP0297"/>
    <s v="Hana Apriana"/>
    <x v="1"/>
    <d v="1987-08-18T00:00:00"/>
    <d v="2018-10-08T00:00:00"/>
    <x v="7"/>
    <x v="7"/>
    <x v="0"/>
    <s v="hanaapriana@email.com"/>
    <s v="083088039869"/>
  </r>
  <r>
    <s v="EMP0298"/>
    <s v="Dina Apriliani"/>
    <x v="1"/>
    <d v="2000-02-24T00:00:00"/>
    <d v="2023-09-19T00:00:00"/>
    <x v="1"/>
    <x v="1"/>
    <x v="2"/>
    <s v="dinaapriliani@email.com"/>
    <s v="082989865263"/>
  </r>
  <r>
    <s v="EMP0299"/>
    <s v="Yudhistira Afriezal Priyono"/>
    <x v="0"/>
    <d v="1988-02-21T00:00:00"/>
    <d v="2019-01-26T00:00:00"/>
    <x v="5"/>
    <x v="5"/>
    <x v="1"/>
    <s v="yudhistiraafriezalpriyono@email.com"/>
    <s v="085922605307"/>
  </r>
  <r>
    <s v="EMP0300"/>
    <s v="Lia Mulyati"/>
    <x v="1"/>
    <d v="1992-04-27T00:00:00"/>
    <d v="2022-05-06T00:00:00"/>
    <x v="0"/>
    <x v="0"/>
    <x v="0"/>
    <s v="liamulyati@email.com"/>
    <s v="085696231658"/>
  </r>
  <r>
    <s v="EMP0301"/>
    <s v="Agus Sopian"/>
    <x v="0"/>
    <d v="2003-09-06T00:00:00"/>
    <d v="2020-07-31T00:00:00"/>
    <x v="0"/>
    <x v="0"/>
    <x v="2"/>
    <s v="agussopian@email.com"/>
    <s v="0847077668"/>
  </r>
  <r>
    <s v="EMP0302"/>
    <s v="Ikhlasul Amal"/>
    <x v="0"/>
    <d v="2002-08-19T00:00:00"/>
    <d v="2018-01-31T00:00:00"/>
    <x v="4"/>
    <x v="4"/>
    <x v="0"/>
    <s v="ikhlasulamal@email.com"/>
    <s v="088558385853"/>
  </r>
  <r>
    <s v="EMP0303"/>
    <s v="Windy Septiani"/>
    <x v="1"/>
    <d v="1994-07-13T00:00:00"/>
    <d v="2022-07-02T00:00:00"/>
    <x v="0"/>
    <x v="0"/>
    <x v="2"/>
    <s v="windyseptiani@email.com"/>
    <s v="081786251395"/>
  </r>
  <r>
    <s v="EMP0304"/>
    <s v="Sukma Alam"/>
    <x v="0"/>
    <d v="1989-04-03T00:00:00"/>
    <d v="2023-05-11T00:00:00"/>
    <x v="6"/>
    <x v="6"/>
    <x v="0"/>
    <s v="sukmaalam@email.com"/>
    <s v="089577763289"/>
  </r>
  <r>
    <s v="EMP0305"/>
    <s v="Samsul Maarip"/>
    <x v="0"/>
    <d v="1985-09-15T00:00:00"/>
    <d v="2018-12-23T00:00:00"/>
    <x v="4"/>
    <x v="4"/>
    <x v="0"/>
    <s v="samsulmaarip@email.com"/>
    <s v="0844030954"/>
  </r>
  <r>
    <s v="EMP0306"/>
    <s v="Aldo Eka Saputra"/>
    <x v="0"/>
    <d v="1996-03-27T00:00:00"/>
    <d v="2020-03-13T00:00:00"/>
    <x v="0"/>
    <x v="0"/>
    <x v="1"/>
    <s v="aldoekasaputra@email.com"/>
    <s v="083996754666"/>
  </r>
  <r>
    <s v="EMP0307"/>
    <s v="Nur Febrianti"/>
    <x v="1"/>
    <d v="1999-06-20T00:00:00"/>
    <d v="2023-08-09T00:00:00"/>
    <x v="1"/>
    <x v="1"/>
    <x v="0"/>
    <s v="nurfebrianti@email.com"/>
    <s v="089398376538"/>
  </r>
  <r>
    <s v="EMP0308"/>
    <s v="Yono Cahyono"/>
    <x v="0"/>
    <d v="2001-07-07T00:00:00"/>
    <d v="2023-05-19T00:00:00"/>
    <x v="0"/>
    <x v="0"/>
    <x v="1"/>
    <s v="yonocahyono@email.com"/>
    <s v="087708784322"/>
  </r>
  <r>
    <s v="EMP0309"/>
    <s v="Gugun Gunawan"/>
    <x v="0"/>
    <d v="1990-11-16T00:00:00"/>
    <d v="2022-09-22T00:00:00"/>
    <x v="4"/>
    <x v="4"/>
    <x v="0"/>
    <s v="gugungunawan@email.com"/>
    <s v="0853666689"/>
  </r>
  <r>
    <s v="EMP0310"/>
    <s v="Zlatan Ibrahim Yusup"/>
    <x v="0"/>
    <d v="1989-06-30T00:00:00"/>
    <d v="2019-12-18T00:00:00"/>
    <x v="0"/>
    <x v="0"/>
    <x v="1"/>
    <s v="zlatanibrahimyusup@email.com"/>
    <s v="083946204559"/>
  </r>
  <r>
    <s v="EMP0311"/>
    <s v="Teguh Adi Prayogi"/>
    <x v="0"/>
    <d v="1990-10-26T00:00:00"/>
    <d v="2024-01-16T00:00:00"/>
    <x v="0"/>
    <x v="0"/>
    <x v="0"/>
    <s v="teguhadiprayogi@email.com"/>
    <s v="0852203466"/>
  </r>
  <r>
    <s v="EMP0312"/>
    <s v="Yuana Giraldien"/>
    <x v="0"/>
    <d v="2002-02-08T00:00:00"/>
    <d v="2025-05-03T00:00:00"/>
    <x v="0"/>
    <x v="0"/>
    <x v="1"/>
    <s v="yuanagiraldien@email.com"/>
    <s v="080466791537"/>
  </r>
  <r>
    <s v="EMP0313"/>
    <s v="Zidni Ilman Al Hakim"/>
    <x v="0"/>
    <d v="1985-12-16T00:00:00"/>
    <d v="2022-01-08T00:00:00"/>
    <x v="5"/>
    <x v="5"/>
    <x v="0"/>
    <s v="zidniilmanalhakim@email.com"/>
    <s v="085870363029"/>
  </r>
  <r>
    <s v="EMP0314"/>
    <s v="Muhamad Fiqih Abdul Ghoni"/>
    <x v="0"/>
    <d v="1997-04-15T00:00:00"/>
    <d v="2023-11-29T00:00:00"/>
    <x v="8"/>
    <x v="8"/>
    <x v="1"/>
    <s v="muhamadfiqihabdulghoni@email.com"/>
    <s v="088617796296"/>
  </r>
  <r>
    <s v="EMP0315"/>
    <s v="Nabilla Nurul Asyifa"/>
    <x v="1"/>
    <d v="2003-01-12T00:00:00"/>
    <d v="2022-01-25T00:00:00"/>
    <x v="0"/>
    <x v="0"/>
    <x v="0"/>
    <s v="nabillanurulasyifa@email.com"/>
    <s v="086082286336"/>
  </r>
  <r>
    <s v="EMP0316"/>
    <s v="Tedi Surahman"/>
    <x v="0"/>
    <d v="1990-04-07T00:00:00"/>
    <d v="2022-10-10T00:00:00"/>
    <x v="0"/>
    <x v="0"/>
    <x v="2"/>
    <s v="tedisurahman@email.com"/>
    <s v="089756465566"/>
  </r>
  <r>
    <s v="EMP0317"/>
    <s v="Ayuni Dini Guniawati"/>
    <x v="1"/>
    <d v="1993-11-13T00:00:00"/>
    <d v="2025-03-29T00:00:00"/>
    <x v="0"/>
    <x v="0"/>
    <x v="2"/>
    <s v="ayunidiniguniawati@email.com"/>
    <s v="086091454516"/>
  </r>
  <r>
    <s v="EMP0318"/>
    <s v="Sujimin"/>
    <x v="0"/>
    <d v="1998-11-25T00:00:00"/>
    <d v="2018-09-24T00:00:00"/>
    <x v="6"/>
    <x v="6"/>
    <x v="0"/>
    <s v="sujimin@email.com"/>
    <s v="086237684454"/>
  </r>
  <r>
    <s v="EMP0319"/>
    <s v="Andina Ferdinand"/>
    <x v="0"/>
    <d v="1990-02-01T00:00:00"/>
    <d v="2021-06-25T00:00:00"/>
    <x v="1"/>
    <x v="1"/>
    <x v="2"/>
    <s v="andinaferdinand@email.com"/>
    <s v="080796687481"/>
  </r>
  <r>
    <s v="EMP0320"/>
    <s v="Eva Indriyani"/>
    <x v="1"/>
    <d v="2000-02-23T00:00:00"/>
    <d v="2023-11-14T00:00:00"/>
    <x v="0"/>
    <x v="0"/>
    <x v="0"/>
    <s v="evaindriyani@email.com"/>
    <s v="080346583259"/>
  </r>
  <r>
    <s v="EMP0321"/>
    <s v="Ona Suryana"/>
    <x v="0"/>
    <d v="2001-12-05T00:00:00"/>
    <d v="2023-11-02T00:00:00"/>
    <x v="5"/>
    <x v="5"/>
    <x v="1"/>
    <s v="onasuryana@email.com"/>
    <s v="086007418345"/>
  </r>
  <r>
    <s v="EMP0322"/>
    <s v="Mety Elvira Dwi Zahra"/>
    <x v="1"/>
    <d v="1988-07-07T00:00:00"/>
    <d v="2020-05-09T00:00:00"/>
    <x v="0"/>
    <x v="0"/>
    <x v="2"/>
    <s v="metyelviradwizahra@email.com"/>
    <s v="081827284029"/>
  </r>
  <r>
    <s v="EMP0323"/>
    <s v="Siti Khopipah"/>
    <x v="1"/>
    <d v="1997-12-19T00:00:00"/>
    <d v="2018-03-01T00:00:00"/>
    <x v="0"/>
    <x v="0"/>
    <x v="0"/>
    <s v="sitikhopipah@email.com"/>
    <s v="088107698617"/>
  </r>
  <r>
    <s v="EMP0324"/>
    <s v="Muhammad Afwan Munir Maulana"/>
    <x v="0"/>
    <d v="1996-04-30T00:00:00"/>
    <d v="2025-04-25T00:00:00"/>
    <x v="0"/>
    <x v="0"/>
    <x v="2"/>
    <s v="muhammadafwanmunirmaulana@email.com"/>
    <s v="089756465578"/>
  </r>
  <r>
    <s v="EMP0325"/>
    <s v="Muhamad Irfan"/>
    <x v="0"/>
    <d v="1985-03-02T00:00:00"/>
    <d v="2023-10-28T00:00:00"/>
    <x v="5"/>
    <x v="5"/>
    <x v="1"/>
    <s v="muhamadirfan@email.com"/>
    <s v="084686121160"/>
  </r>
  <r>
    <s v="EMP0326"/>
    <s v="Syahidullah Muhammad Al Qawi"/>
    <x v="0"/>
    <d v="1994-05-19T00:00:00"/>
    <d v="2020-12-24T00:00:00"/>
    <x v="6"/>
    <x v="6"/>
    <x v="0"/>
    <s v="syahidullahmuhammadalqawi@email.com"/>
    <s v="087594122128"/>
  </r>
  <r>
    <s v="EMP0327"/>
    <s v="Marizka Tracyana"/>
    <x v="1"/>
    <d v="1992-06-28T00:00:00"/>
    <d v="2023-01-05T00:00:00"/>
    <x v="0"/>
    <x v="0"/>
    <x v="2"/>
    <s v="marizkatracyana@email.com"/>
    <s v="083475679832"/>
  </r>
  <r>
    <s v="EMP0328"/>
    <s v="Wasifatul Hidayah"/>
    <x v="1"/>
    <d v="1989-02-09T00:00:00"/>
    <d v="2018-09-27T00:00:00"/>
    <x v="0"/>
    <x v="0"/>
    <x v="0"/>
    <s v="wasifatulhidayah@email.com"/>
    <s v="082332129248"/>
  </r>
  <r>
    <s v="EMP0329"/>
    <s v="Mohamad Adam Prasetyo"/>
    <x v="0"/>
    <d v="1999-09-01T00:00:00"/>
    <d v="2019-10-15T00:00:00"/>
    <x v="6"/>
    <x v="6"/>
    <x v="0"/>
    <s v="mohamadadamprasetyo@email.com"/>
    <s v="089248227605"/>
  </r>
  <r>
    <s v="EMP0330"/>
    <s v="Abdulah Ikhsanudin"/>
    <x v="0"/>
    <d v="1986-03-07T00:00:00"/>
    <d v="2023-08-16T00:00:00"/>
    <x v="0"/>
    <x v="0"/>
    <x v="2"/>
    <s v="abdulahikhsanudin@email.com"/>
    <s v="089756465590"/>
  </r>
  <r>
    <s v="EMP0331"/>
    <s v="Irfan Junaedi"/>
    <x v="0"/>
    <d v="1995-02-25T00:00:00"/>
    <d v="2023-07-14T00:00:00"/>
    <x v="5"/>
    <x v="5"/>
    <x v="2"/>
    <s v="irfanjunaedi@email.com"/>
    <s v="087653411663"/>
  </r>
  <r>
    <s v="EMP0332"/>
    <s v="Diya Mahdiya"/>
    <x v="0"/>
    <d v="1995-10-05T00:00:00"/>
    <d v="2023-07-25T00:00:00"/>
    <x v="6"/>
    <x v="6"/>
    <x v="0"/>
    <s v="diyamahdiya@email.com"/>
    <s v="084407552396"/>
  </r>
  <r>
    <s v="EMP0333"/>
    <s v="Tri Yuli Yanti"/>
    <x v="1"/>
    <d v="1994-08-13T00:00:00"/>
    <d v="2021-06-12T00:00:00"/>
    <x v="0"/>
    <x v="0"/>
    <x v="0"/>
    <s v="triyuliyanti@email.com"/>
    <s v="083216024259"/>
  </r>
  <r>
    <s v="EMP0334"/>
    <s v="Reva Kharisma Berlian Kosasih"/>
    <x v="1"/>
    <d v="1989-07-12T00:00:00"/>
    <d v="2019-10-09T00:00:00"/>
    <x v="0"/>
    <x v="0"/>
    <x v="1"/>
    <s v="revakharismaberliankosasih@email.com"/>
    <s v="081537356619"/>
  </r>
  <r>
    <s v="EMP0335"/>
    <s v="Annisa Fauziah Agustin"/>
    <x v="1"/>
    <d v="1989-12-22T00:00:00"/>
    <d v="2025-05-23T00:00:00"/>
    <x v="0"/>
    <x v="0"/>
    <x v="0"/>
    <s v="annisafauziahagustin@email.com"/>
    <s v="086420973962"/>
  </r>
  <r>
    <s v="EMP0336"/>
    <s v="Irza Prassetiyo"/>
    <x v="0"/>
    <d v="1993-06-16T00:00:00"/>
    <d v="2019-10-17T00:00:00"/>
    <x v="0"/>
    <x v="0"/>
    <x v="2"/>
    <s v="irzaprassetiyo@email.com"/>
    <s v="083970990654"/>
  </r>
  <r>
    <s v="EMP0337"/>
    <s v="Lailatunnadipah"/>
    <x v="1"/>
    <d v="1993-02-10T00:00:00"/>
    <d v="2021-04-16T00:00:00"/>
    <x v="1"/>
    <x v="1"/>
    <x v="0"/>
    <s v="lailatunnadipah@email.com"/>
    <s v="080140650780"/>
  </r>
  <r>
    <s v="EMP0338"/>
    <s v="Friska Adhela"/>
    <x v="1"/>
    <d v="1996-05-02T00:00:00"/>
    <d v="2018-04-23T00:00:00"/>
    <x v="0"/>
    <x v="0"/>
    <x v="2"/>
    <s v="friskaadhela@email.com"/>
    <s v="089527955623"/>
  </r>
  <r>
    <s v="EMP0339"/>
    <s v="Ashlih Abidah"/>
    <x v="1"/>
    <d v="1986-12-08T00:00:00"/>
    <d v="2025-05-29T00:00:00"/>
    <x v="0"/>
    <x v="0"/>
    <x v="2"/>
    <s v="ashlihabidah@email.com"/>
    <s v="085656836924"/>
  </r>
  <r>
    <s v="EMP0340"/>
    <s v="Dea Kartika Sari"/>
    <x v="1"/>
    <d v="1986-05-03T00:00:00"/>
    <d v="2023-10-23T00:00:00"/>
    <x v="1"/>
    <x v="1"/>
    <x v="0"/>
    <s v="deakartikasari@email.com"/>
    <s v="084738711905"/>
  </r>
  <r>
    <s v="EMP0341"/>
    <s v="Ika Nurjanah"/>
    <x v="1"/>
    <d v="1993-05-09T00:00:00"/>
    <d v="2020-06-05T00:00:00"/>
    <x v="0"/>
    <x v="0"/>
    <x v="0"/>
    <s v="ikanurjanah@email.com"/>
    <s v="083058890198"/>
  </r>
  <r>
    <s v="EMP0342"/>
    <s v="Selvi Hindiyani"/>
    <x v="1"/>
    <d v="1999-11-23T00:00:00"/>
    <d v="2018-07-25T00:00:00"/>
    <x v="0"/>
    <x v="0"/>
    <x v="0"/>
    <s v="selvihindiyani@email.com"/>
    <s v="089653034442"/>
  </r>
  <r>
    <s v="EMP0343"/>
    <s v="Syahril Maulana Al Falah"/>
    <x v="0"/>
    <d v="1985-09-21T00:00:00"/>
    <d v="2023-03-01T00:00:00"/>
    <x v="0"/>
    <x v="0"/>
    <x v="0"/>
    <s v="syahrilmaulanaalfalah@email.com"/>
    <s v="085874761595"/>
  </r>
  <r>
    <s v="EMP0344"/>
    <s v="Widianingrum"/>
    <x v="1"/>
    <d v="1993-11-02T00:00:00"/>
    <d v="2025-05-16T00:00:00"/>
    <x v="0"/>
    <x v="0"/>
    <x v="1"/>
    <s v="widianingrum@email.com"/>
    <s v="087235078131"/>
  </r>
  <r>
    <s v="EMP0345"/>
    <s v="Rahda Sayrella Yolanda"/>
    <x v="1"/>
    <d v="1990-01-23T00:00:00"/>
    <d v="2023-09-11T00:00:00"/>
    <x v="0"/>
    <x v="0"/>
    <x v="0"/>
    <s v="rahdasayrellayolanda@email.com"/>
    <s v="086133931004"/>
  </r>
  <r>
    <s v="EMP0346"/>
    <s v="Ani Wahyuni"/>
    <x v="1"/>
    <d v="1985-11-14T00:00:00"/>
    <d v="2019-11-03T00:00:00"/>
    <x v="0"/>
    <x v="0"/>
    <x v="1"/>
    <s v="aniwahyuni@email.com"/>
    <s v="086751158565"/>
  </r>
  <r>
    <s v="EMP0347"/>
    <s v="Mohamad Farid Alamul Hudi"/>
    <x v="0"/>
    <d v="1988-04-03T00:00:00"/>
    <d v="2019-10-04T00:00:00"/>
    <x v="0"/>
    <x v="0"/>
    <x v="1"/>
    <s v="mohamadfaridalamulhudi@email.com"/>
    <s v="083347099457"/>
  </r>
  <r>
    <s v="EMP0348"/>
    <s v="Vivi Indriantika"/>
    <x v="1"/>
    <d v="1991-04-30T00:00:00"/>
    <d v="2023-04-26T00:00:00"/>
    <x v="0"/>
    <x v="0"/>
    <x v="0"/>
    <s v="viviindriantika@email.com"/>
    <s v="085013749216"/>
  </r>
  <r>
    <s v="EMP0349"/>
    <s v="Singgih Dwi Pangestu"/>
    <x v="0"/>
    <d v="2000-03-10T00:00:00"/>
    <d v="2023-01-14T00:00:00"/>
    <x v="4"/>
    <x v="4"/>
    <x v="0"/>
    <s v="singgihdwipangestu@email.com"/>
    <s v="088309660217"/>
  </r>
  <r>
    <s v="EMP0350"/>
    <s v="Erniati"/>
    <x v="1"/>
    <d v="1996-07-01T00:00:00"/>
    <d v="2024-11-19T00:00:00"/>
    <x v="0"/>
    <x v="0"/>
    <x v="2"/>
    <s v="erniati@email.com"/>
    <s v="089026618380"/>
  </r>
  <r>
    <s v="EMP0351"/>
    <s v="Teguh Prianto"/>
    <x v="0"/>
    <d v="1988-10-16T00:00:00"/>
    <d v="2024-07-30T00:00:00"/>
    <x v="5"/>
    <x v="5"/>
    <x v="0"/>
    <s v="teguhprianto@email.com"/>
    <s v="08975646562"/>
  </r>
  <r>
    <s v="EMP0352"/>
    <s v="Sugeng Alvin Nanda"/>
    <x v="0"/>
    <d v="1996-12-19T00:00:00"/>
    <d v="2021-09-30T00:00:00"/>
    <x v="0"/>
    <x v="0"/>
    <x v="1"/>
    <s v="sugengalvinnanda@email.com"/>
    <s v="081723289079"/>
  </r>
  <r>
    <s v="EMP0353"/>
    <s v="Dina Rizqiani"/>
    <x v="1"/>
    <d v="2001-10-16T00:00:00"/>
    <d v="2019-07-16T00:00:00"/>
    <x v="0"/>
    <x v="0"/>
    <x v="1"/>
    <s v="dinarizqiani@email.com"/>
    <s v="082750533312"/>
  </r>
  <r>
    <s v="EMP0354"/>
    <s v="Dwi Prasetyani"/>
    <x v="1"/>
    <d v="1987-08-25T00:00:00"/>
    <d v="2020-12-06T00:00:00"/>
    <x v="0"/>
    <x v="0"/>
    <x v="2"/>
    <s v="dwiprasetyani@email.com"/>
    <s v="089757377708"/>
  </r>
  <r>
    <s v="EMP0355"/>
    <s v="Yeni Widayanti"/>
    <x v="1"/>
    <d v="1988-11-20T00:00:00"/>
    <d v="2022-11-19T00:00:00"/>
    <x v="0"/>
    <x v="0"/>
    <x v="0"/>
    <s v="yeniwidayanti@email.com"/>
    <s v="087102861590"/>
  </r>
  <r>
    <s v="EMP0356"/>
    <s v="Tomy Supriyadi"/>
    <x v="0"/>
    <d v="1996-10-06T00:00:00"/>
    <d v="2024-06-17T00:00:00"/>
    <x v="0"/>
    <x v="0"/>
    <x v="1"/>
    <s v="tomysupriyadi@email.com"/>
    <s v="083952011033"/>
  </r>
  <r>
    <s v="EMP0357"/>
    <s v="Uswatun Khasanah"/>
    <x v="1"/>
    <d v="2001-07-09T00:00:00"/>
    <d v="2024-04-14T00:00:00"/>
    <x v="0"/>
    <x v="0"/>
    <x v="0"/>
    <s v="uswatunkhasanah@email.com"/>
    <s v="085660540800"/>
  </r>
  <r>
    <s v="EMP0358"/>
    <s v="Ela Winarsih"/>
    <x v="1"/>
    <d v="1998-03-02T00:00:00"/>
    <d v="2018-06-27T00:00:00"/>
    <x v="1"/>
    <x v="1"/>
    <x v="2"/>
    <s v="elawinarsih@email.com"/>
    <s v="086295792466"/>
  </r>
  <r>
    <s v="EMP0359"/>
    <s v="Shakhilah Nurur Rohmah"/>
    <x v="1"/>
    <d v="1988-07-20T00:00:00"/>
    <d v="2019-06-15T00:00:00"/>
    <x v="0"/>
    <x v="0"/>
    <x v="2"/>
    <s v="shakhilahnururrohmah@email.com"/>
    <s v="083422123468"/>
  </r>
  <r>
    <s v="EMP0360"/>
    <s v="Ratih Tri Nuraeni"/>
    <x v="1"/>
    <d v="1993-03-23T00:00:00"/>
    <d v="2022-09-12T00:00:00"/>
    <x v="0"/>
    <x v="0"/>
    <x v="1"/>
    <s v="ratihtrinuraeni@email.com"/>
    <s v="083123700238"/>
  </r>
  <r>
    <s v="EMP0361"/>
    <s v="Muhammad Alif Wisnu Murti"/>
    <x v="0"/>
    <d v="1991-12-29T00:00:00"/>
    <d v="2024-09-17T00:00:00"/>
    <x v="5"/>
    <x v="5"/>
    <x v="1"/>
    <s v="muhammadalifwisnumurti@email.com"/>
    <s v="085117795544"/>
  </r>
  <r>
    <s v="EMP0362"/>
    <s v="Muhammad Alwi Alrizky"/>
    <x v="0"/>
    <d v="2002-10-25T00:00:00"/>
    <d v="2024-02-21T00:00:00"/>
    <x v="4"/>
    <x v="4"/>
    <x v="0"/>
    <s v="muhammadalwialrizky@email.com"/>
    <s v="089756465581"/>
  </r>
  <r>
    <s v="EMP0363"/>
    <s v="Siti Mike Febiyanti"/>
    <x v="1"/>
    <d v="1995-11-01T00:00:00"/>
    <d v="2025-03-08T00:00:00"/>
    <x v="0"/>
    <x v="0"/>
    <x v="2"/>
    <s v="sitimikefebiyanti@email.com"/>
    <s v="089738012974"/>
  </r>
  <r>
    <s v="EMP0364"/>
    <s v="Tiara Ninda Apriliany"/>
    <x v="1"/>
    <d v="1997-07-14T00:00:00"/>
    <d v="2019-08-19T00:00:00"/>
    <x v="8"/>
    <x v="8"/>
    <x v="2"/>
    <s v="tiaranindaapriliany@email.com"/>
    <s v="081554714676"/>
  </r>
  <r>
    <s v="EMP0365"/>
    <s v="Elsa"/>
    <x v="1"/>
    <d v="1997-05-26T00:00:00"/>
    <d v="2019-12-19T00:00:00"/>
    <x v="0"/>
    <x v="0"/>
    <x v="2"/>
    <s v="elsa@email.com"/>
    <s v="087401604929"/>
  </r>
  <r>
    <s v="EMP0366"/>
    <s v="Leni"/>
    <x v="1"/>
    <d v="1996-04-22T00:00:00"/>
    <d v="2022-01-29T00:00:00"/>
    <x v="0"/>
    <x v="0"/>
    <x v="2"/>
    <s v="leni@email.com"/>
    <s v="083566793547"/>
  </r>
  <r>
    <s v="EMP0367"/>
    <s v="Maula Nurul Arifah"/>
    <x v="1"/>
    <d v="1995-01-25T00:00:00"/>
    <d v="2023-10-19T00:00:00"/>
    <x v="1"/>
    <x v="1"/>
    <x v="2"/>
    <s v="maulanurularifah@email.com"/>
    <s v="088820214226"/>
  </r>
  <r>
    <s v="EMP0368"/>
    <s v="Riyanti"/>
    <x v="1"/>
    <d v="1996-09-09T00:00:00"/>
    <d v="2020-05-03T00:00:00"/>
    <x v="0"/>
    <x v="0"/>
    <x v="0"/>
    <s v="riyanti@email.com"/>
    <s v="0881386486"/>
  </r>
  <r>
    <s v="EMP0369"/>
    <s v="Anisah Nurhidayah"/>
    <x v="1"/>
    <d v="1996-10-24T00:00:00"/>
    <d v="2023-04-25T00:00:00"/>
    <x v="1"/>
    <x v="1"/>
    <x v="2"/>
    <s v="anisahnurhidayah@email.com"/>
    <s v="089756465582"/>
  </r>
  <r>
    <s v="EMP0370"/>
    <s v="Naza Rahma Putrian"/>
    <x v="1"/>
    <d v="2000-08-25T00:00:00"/>
    <d v="2018-09-04T00:00:00"/>
    <x v="0"/>
    <x v="0"/>
    <x v="1"/>
    <s v="nazarahmaputrian@email.com"/>
    <s v="088993814078"/>
  </r>
  <r>
    <s v="EMP0371"/>
    <s v="Deva Silvana"/>
    <x v="0"/>
    <d v="1994-03-05T00:00:00"/>
    <d v="2018-02-10T00:00:00"/>
    <x v="0"/>
    <x v="0"/>
    <x v="2"/>
    <s v="devasilvana@email.com"/>
    <s v="083369794727"/>
  </r>
  <r>
    <s v="EMP0372"/>
    <s v="Putri Anjani"/>
    <x v="1"/>
    <d v="2001-01-11T00:00:00"/>
    <d v="2021-11-13T00:00:00"/>
    <x v="0"/>
    <x v="0"/>
    <x v="0"/>
    <s v="putrianjani@email.com"/>
    <s v="082786665325"/>
  </r>
  <r>
    <s v="EMP0373"/>
    <s v="Fajar Bayu Aji D D"/>
    <x v="0"/>
    <d v="1985-07-08T00:00:00"/>
    <d v="2022-03-22T00:00:00"/>
    <x v="1"/>
    <x v="1"/>
    <x v="0"/>
    <s v="fajarbayuajidd@email.com"/>
    <s v="086427932449"/>
  </r>
  <r>
    <s v="EMP0374"/>
    <s v="Uswatun Khasanah"/>
    <x v="1"/>
    <d v="2000-04-17T00:00:00"/>
    <d v="2019-03-29T00:00:00"/>
    <x v="0"/>
    <x v="0"/>
    <x v="0"/>
    <s v="uswatunkhasanah@email.com"/>
    <s v="088633530638"/>
  </r>
  <r>
    <s v="EMP0375"/>
    <s v="Hakiki"/>
    <x v="0"/>
    <d v="1987-03-17T00:00:00"/>
    <d v="2022-09-11T00:00:00"/>
    <x v="8"/>
    <x v="8"/>
    <x v="1"/>
    <s v="hakiki@email.com"/>
    <s v="084094513587"/>
  </r>
  <r>
    <s v="EMP0376"/>
    <s v="Nur Hakiki Puji Lestari"/>
    <x v="1"/>
    <d v="1986-03-20T00:00:00"/>
    <d v="2018-06-08T00:00:00"/>
    <x v="0"/>
    <x v="0"/>
    <x v="0"/>
    <s v="nurhakikipujilestari@email.com"/>
    <s v="086528675973"/>
  </r>
  <r>
    <s v="EMP0377"/>
    <s v="Mutia Azzahra"/>
    <x v="1"/>
    <d v="2001-12-03T00:00:00"/>
    <d v="2019-10-07T00:00:00"/>
    <x v="0"/>
    <x v="0"/>
    <x v="0"/>
    <s v="mutiaazzahra@email.com"/>
    <s v="081088704276"/>
  </r>
  <r>
    <s v="EMP0378"/>
    <s v="Tri Laksana Andrian"/>
    <x v="0"/>
    <d v="1993-12-22T00:00:00"/>
    <d v="2023-01-11T00:00:00"/>
    <x v="6"/>
    <x v="6"/>
    <x v="0"/>
    <s v="trilaksanaandrian@email.com"/>
    <s v="088141446335"/>
  </r>
  <r>
    <s v="EMP0379"/>
    <s v="Fatma Nurlaela"/>
    <x v="1"/>
    <d v="1988-08-23T00:00:00"/>
    <d v="2020-08-20T00:00:00"/>
    <x v="0"/>
    <x v="0"/>
    <x v="0"/>
    <s v="fatmanurlaela@email.com"/>
    <s v="083946464173"/>
  </r>
  <r>
    <s v="EMP0380"/>
    <s v="Syahrul Anan"/>
    <x v="0"/>
    <d v="1993-07-22T00:00:00"/>
    <d v="2020-06-10T00:00:00"/>
    <x v="6"/>
    <x v="6"/>
    <x v="0"/>
    <s v="syahrulanan@email.com"/>
    <s v="086534627973"/>
  </r>
  <r>
    <s v="EMP0381"/>
    <s v="Sita Nurkhasanah Azzahra"/>
    <x v="1"/>
    <d v="1987-06-03T00:00:00"/>
    <d v="2023-12-07T00:00:00"/>
    <x v="0"/>
    <x v="0"/>
    <x v="1"/>
    <s v="sitanurkhasanahazzahra@email.com"/>
    <s v="082018120113"/>
  </r>
  <r>
    <s v="EMP0382"/>
    <s v="Yuniar Tri Lestari"/>
    <x v="1"/>
    <d v="1999-08-31T00:00:00"/>
    <d v="2021-04-29T00:00:00"/>
    <x v="0"/>
    <x v="0"/>
    <x v="2"/>
    <s v="yuniartrilestari@email.com"/>
    <s v="085373114400"/>
  </r>
  <r>
    <s v="EMP0383"/>
    <s v="Petrus Bayu Setya Wibawa"/>
    <x v="0"/>
    <d v="1995-05-10T00:00:00"/>
    <d v="2018-05-28T00:00:00"/>
    <x v="5"/>
    <x v="5"/>
    <x v="0"/>
    <s v="petrusbayusetyawibawa@email.com"/>
    <s v="080935754115"/>
  </r>
  <r>
    <s v="EMP0384"/>
    <s v="Reza Setiawan"/>
    <x v="0"/>
    <d v="1996-10-08T00:00:00"/>
    <d v="2020-08-11T00:00:00"/>
    <x v="5"/>
    <x v="5"/>
    <x v="2"/>
    <s v="rezasetiawan@email.com"/>
    <s v="081131053693"/>
  </r>
  <r>
    <s v="EMP0385"/>
    <s v="Tiara Silviani"/>
    <x v="1"/>
    <d v="1994-12-09T00:00:00"/>
    <d v="2025-05-16T00:00:00"/>
    <x v="0"/>
    <x v="0"/>
    <x v="0"/>
    <s v="tiarasilviani@email.com"/>
    <s v="088474509149"/>
  </r>
  <r>
    <s v="EMP0386"/>
    <s v="Irnawati"/>
    <x v="1"/>
    <d v="2002-08-19T00:00:00"/>
    <d v="2019-01-27T00:00:00"/>
    <x v="0"/>
    <x v="0"/>
    <x v="1"/>
    <s v="irnawati@email.com"/>
    <s v="089756465583"/>
  </r>
  <r>
    <s v="EMP0387"/>
    <s v="Mohammad Levi Junian"/>
    <x v="0"/>
    <d v="1998-02-18T00:00:00"/>
    <d v="2019-03-22T00:00:00"/>
    <x v="0"/>
    <x v="0"/>
    <x v="2"/>
    <s v="mohammadlevijunian@email.com"/>
    <s v="089663630450"/>
  </r>
  <r>
    <s v="EMP0388"/>
    <s v="Nazwa Amalia"/>
    <x v="1"/>
    <d v="1985-04-01T00:00:00"/>
    <d v="2024-04-03T00:00:00"/>
    <x v="0"/>
    <x v="0"/>
    <x v="2"/>
    <s v="nazwaamalia@email.com"/>
    <s v="088070850806"/>
  </r>
  <r>
    <s v="EMP0389"/>
    <s v="Nani Diana"/>
    <x v="1"/>
    <d v="1985-10-09T00:00:00"/>
    <d v="2025-07-30T00:00:00"/>
    <x v="0"/>
    <x v="0"/>
    <x v="0"/>
    <s v="nanidiana@email.com"/>
    <s v="089184440623"/>
  </r>
  <r>
    <s v="EMP0390"/>
    <s v="Azaz Alfa Rizqi"/>
    <x v="0"/>
    <d v="1996-09-21T00:00:00"/>
    <d v="2018-02-18T00:00:00"/>
    <x v="4"/>
    <x v="4"/>
    <x v="1"/>
    <s v="azazalfarizqi@email.com"/>
    <s v="083064755925"/>
  </r>
  <r>
    <s v="EMP0391"/>
    <s v="Anwar Fuadi"/>
    <x v="0"/>
    <d v="1992-10-26T00:00:00"/>
    <d v="2021-10-18T00:00:00"/>
    <x v="5"/>
    <x v="5"/>
    <x v="2"/>
    <s v="anwarfuadi@email.com"/>
    <s v="089526174778"/>
  </r>
  <r>
    <s v="EMP0392"/>
    <s v="Nur Lita Dwi Purnamasari"/>
    <x v="1"/>
    <d v="1991-09-26T00:00:00"/>
    <d v="2019-06-22T00:00:00"/>
    <x v="0"/>
    <x v="0"/>
    <x v="0"/>
    <s v="nurlitadwipurnamasari@email.com"/>
    <s v="085838582660"/>
  </r>
  <r>
    <s v="EMP0393"/>
    <s v="Gayuh Rakasiwi"/>
    <x v="1"/>
    <d v="2003-02-21T00:00:00"/>
    <d v="2018-10-11T00:00:00"/>
    <x v="0"/>
    <x v="0"/>
    <x v="0"/>
    <s v="gayuhrakasiwi@email.com"/>
    <s v="087265315802"/>
  </r>
  <r>
    <s v="EMP0394"/>
    <s v="Arif Ulin Nuha"/>
    <x v="0"/>
    <d v="1990-01-07T00:00:00"/>
    <d v="2020-02-21T00:00:00"/>
    <x v="0"/>
    <x v="0"/>
    <x v="2"/>
    <s v="arifulinnuha@email.com"/>
    <s v="084766435999"/>
  </r>
  <r>
    <s v="EMP0395"/>
    <s v="Rahma Anjalina"/>
    <x v="1"/>
    <d v="1985-05-26T00:00:00"/>
    <d v="2020-07-07T00:00:00"/>
    <x v="1"/>
    <x v="1"/>
    <x v="0"/>
    <s v="rahmaanjalina@email.com"/>
    <s v="080357162388"/>
  </r>
  <r>
    <s v="EMP0396"/>
    <s v="Zaenal Arifin"/>
    <x v="0"/>
    <d v="1985-07-17T00:00:00"/>
    <d v="2023-09-26T00:00:00"/>
    <x v="0"/>
    <x v="0"/>
    <x v="2"/>
    <s v="zaenalarifin@email.com"/>
    <s v="080749239991"/>
  </r>
  <r>
    <s v="EMP0397"/>
    <s v="Trisnawan"/>
    <x v="0"/>
    <d v="2000-11-18T00:00:00"/>
    <d v="2018-03-27T00:00:00"/>
    <x v="6"/>
    <x v="6"/>
    <x v="0"/>
    <s v="trisnawan@email.com"/>
    <s v="088301397217"/>
  </r>
  <r>
    <s v="EMP0398"/>
    <s v="Sri Rejeki"/>
    <x v="1"/>
    <d v="1993-12-31T00:00:00"/>
    <d v="2018-06-07T00:00:00"/>
    <x v="0"/>
    <x v="0"/>
    <x v="0"/>
    <s v="srirejeki@email.com"/>
    <s v="084129167959"/>
  </r>
  <r>
    <s v="EMP0399"/>
    <s v="Melati Handayani"/>
    <x v="1"/>
    <d v="2001-12-19T00:00:00"/>
    <d v="2024-09-17T00:00:00"/>
    <x v="0"/>
    <x v="0"/>
    <x v="0"/>
    <s v="melatihandayani@email.com"/>
    <s v="085392121167"/>
  </r>
  <r>
    <s v="EMP0400"/>
    <s v="Nuraisyah"/>
    <x v="1"/>
    <d v="1986-12-14T00:00:00"/>
    <d v="2024-10-27T00:00:00"/>
    <x v="1"/>
    <x v="1"/>
    <x v="0"/>
    <s v="nuraisyah@email.com"/>
    <s v="080952553681"/>
  </r>
  <r>
    <s v="EMP0401"/>
    <s v="Ucu Sahroni"/>
    <x v="0"/>
    <d v="1989-12-02T00:00:00"/>
    <d v="2022-08-23T00:00:00"/>
    <x v="0"/>
    <x v="0"/>
    <x v="2"/>
    <s v="ucusahroni@email.com"/>
    <s v="081740583714"/>
  </r>
  <r>
    <s v="EMP0402"/>
    <s v="Dwi Marti Astuti"/>
    <x v="1"/>
    <d v="1988-01-07T00:00:00"/>
    <d v="2018-05-27T00:00:00"/>
    <x v="0"/>
    <x v="0"/>
    <x v="0"/>
    <s v="dwimartiastuti@email.com"/>
    <s v="081971863183"/>
  </r>
  <r>
    <s v="EMP0403"/>
    <s v="Devi Asti Andika"/>
    <x v="1"/>
    <d v="1989-04-21T00:00:00"/>
    <d v="2024-11-01T00:00:00"/>
    <x v="0"/>
    <x v="0"/>
    <x v="1"/>
    <s v="deviastiandika@email.com"/>
    <s v="088161096722"/>
  </r>
  <r>
    <s v="EMP0404"/>
    <s v="Siti Chodijah Agustin"/>
    <x v="1"/>
    <d v="1991-10-10T00:00:00"/>
    <d v="2021-05-14T00:00:00"/>
    <x v="0"/>
    <x v="0"/>
    <x v="0"/>
    <s v="sitichodijahagustin@email.com"/>
    <s v="080691061455"/>
  </r>
  <r>
    <s v="EMP0405"/>
    <s v="Rahmah Azizah"/>
    <x v="1"/>
    <d v="2001-09-24T00:00:00"/>
    <d v="2025-02-20T00:00:00"/>
    <x v="0"/>
    <x v="0"/>
    <x v="0"/>
    <s v="rahmahazizah@email.com"/>
    <s v="084392969649"/>
  </r>
  <r>
    <s v="EMP0406"/>
    <s v="Ahmad Riziq Maulana"/>
    <x v="0"/>
    <d v="1987-08-03T00:00:00"/>
    <d v="2024-06-21T00:00:00"/>
    <x v="5"/>
    <x v="5"/>
    <x v="0"/>
    <s v="ahmadriziqmaulana@email.com"/>
    <s v="088201587001"/>
  </r>
  <r>
    <s v="EMP0407"/>
    <s v="Junaedi"/>
    <x v="0"/>
    <d v="1993-06-14T00:00:00"/>
    <d v="2020-12-24T00:00:00"/>
    <x v="0"/>
    <x v="0"/>
    <x v="2"/>
    <s v="junaedi@email.com"/>
    <s v="088819496591"/>
  </r>
  <r>
    <s v="EMP0408"/>
    <s v="Alvi Wulandari"/>
    <x v="1"/>
    <d v="2000-05-03T00:00:00"/>
    <d v="2019-08-22T00:00:00"/>
    <x v="0"/>
    <x v="0"/>
    <x v="2"/>
    <s v="alviwulandari@email.com"/>
    <s v="082665516299"/>
  </r>
  <r>
    <s v="EMP0409"/>
    <s v="Diva Ainiyyah Febriyansyah"/>
    <x v="1"/>
    <d v="1993-05-31T00:00:00"/>
    <d v="2022-02-10T00:00:00"/>
    <x v="0"/>
    <x v="0"/>
    <x v="1"/>
    <s v="divaainiyyahfebriyansyah@email.com"/>
    <s v="084437059001"/>
  </r>
  <r>
    <s v="EMP0410"/>
    <s v="Lean Aulia"/>
    <x v="1"/>
    <d v="2002-06-01T00:00:00"/>
    <d v="2021-10-05T00:00:00"/>
    <x v="0"/>
    <x v="0"/>
    <x v="0"/>
    <s v="leanaulia@email.com"/>
    <s v="084364093953"/>
  </r>
  <r>
    <s v="EMP0411"/>
    <s v="Salsa Agustin"/>
    <x v="1"/>
    <d v="1993-03-29T00:00:00"/>
    <d v="2024-05-22T00:00:00"/>
    <x v="0"/>
    <x v="0"/>
    <x v="0"/>
    <s v="salsaagustin@email.com"/>
    <s v="084513293983"/>
  </r>
  <r>
    <s v="EMP0412"/>
    <s v="M Piki Purnama"/>
    <x v="0"/>
    <d v="1997-02-16T00:00:00"/>
    <d v="2025-06-11T00:00:00"/>
    <x v="0"/>
    <x v="0"/>
    <x v="0"/>
    <s v="mpikipurnama@email.com"/>
    <s v="081835804669"/>
  </r>
  <r>
    <s v="EMP0413"/>
    <s v="Noviana Kusuma Wardani"/>
    <x v="1"/>
    <d v="1992-12-29T00:00:00"/>
    <d v="2023-01-31T00:00:00"/>
    <x v="1"/>
    <x v="1"/>
    <x v="0"/>
    <s v="novianakusumawardani@email.com"/>
    <s v="081464784598"/>
  </r>
  <r>
    <s v="EMP0414"/>
    <s v="Widianingrum"/>
    <x v="1"/>
    <d v="1999-11-13T00:00:00"/>
    <d v="2022-09-23T00:00:00"/>
    <x v="1"/>
    <x v="1"/>
    <x v="2"/>
    <s v="widianingrum@email.com"/>
    <s v="084079953414"/>
  </r>
  <r>
    <s v="EMP0415"/>
    <s v="Septia Wijiana"/>
    <x v="1"/>
    <d v="2000-06-26T00:00:00"/>
    <d v="2018-10-22T00:00:00"/>
    <x v="0"/>
    <x v="0"/>
    <x v="0"/>
    <s v="septiawijiana@email.com"/>
    <s v="085758037970"/>
  </r>
  <r>
    <s v="EMP0416"/>
    <s v="Ishaq Ramadani"/>
    <x v="0"/>
    <d v="1989-04-21T00:00:00"/>
    <d v="2020-01-09T00:00:00"/>
    <x v="4"/>
    <x v="4"/>
    <x v="0"/>
    <s v="ishaqramadani@email.com"/>
    <s v="087823215351"/>
  </r>
  <r>
    <s v="EMP0417"/>
    <s v="Rakhman Maulana"/>
    <x v="0"/>
    <d v="1993-05-04T00:00:00"/>
    <d v="2018-11-02T00:00:00"/>
    <x v="6"/>
    <x v="6"/>
    <x v="0"/>
    <s v="rakhmanmaulana@email.com"/>
    <s v="083235117523"/>
  </r>
  <r>
    <s v="EMP0418"/>
    <s v="Sarya Prasetio"/>
    <x v="0"/>
    <d v="1992-09-04T00:00:00"/>
    <d v="2019-10-09T00:00:00"/>
    <x v="0"/>
    <x v="0"/>
    <x v="0"/>
    <s v="saryaprasetio@email.com"/>
    <s v="085945679125"/>
  </r>
  <r>
    <s v="EMP0419"/>
    <s v="Erni Mardian"/>
    <x v="1"/>
    <d v="1992-03-03T00:00:00"/>
    <d v="2020-07-19T00:00:00"/>
    <x v="0"/>
    <x v="0"/>
    <x v="2"/>
    <s v="ernimardian@email.com"/>
    <s v="083663535381"/>
  </r>
  <r>
    <s v="EMP0420"/>
    <s v="Meli Krisnawati"/>
    <x v="1"/>
    <d v="1990-04-26T00:00:00"/>
    <d v="2018-09-10T00:00:00"/>
    <x v="0"/>
    <x v="0"/>
    <x v="0"/>
    <s v="melikrisnawati@email.com"/>
    <s v="084063322044"/>
  </r>
  <r>
    <s v="EMP0421"/>
    <s v="Bayu Bahrudin"/>
    <x v="0"/>
    <d v="2000-01-27T00:00:00"/>
    <d v="2022-02-18T00:00:00"/>
    <x v="0"/>
    <x v="0"/>
    <x v="0"/>
    <s v="bayubahrudin@email.com"/>
    <s v="085012657439"/>
  </r>
  <r>
    <s v="EMP0422"/>
    <s v="Tuti Alawiyah"/>
    <x v="1"/>
    <d v="2003-02-06T00:00:00"/>
    <d v="2019-11-03T00:00:00"/>
    <x v="0"/>
    <x v="0"/>
    <x v="1"/>
    <s v="tutialawiyah@email.com"/>
    <s v="086393172214"/>
  </r>
  <r>
    <s v="EMP0423"/>
    <s v="Ikhtiyar"/>
    <x v="1"/>
    <d v="2002-11-24T00:00:00"/>
    <d v="2024-01-11T00:00:00"/>
    <x v="0"/>
    <x v="0"/>
    <x v="0"/>
    <s v="ikhtiyar@email.com"/>
    <s v="083619832938"/>
  </r>
  <r>
    <s v="EMP0424"/>
    <s v="Rina Nur Rani"/>
    <x v="1"/>
    <d v="1994-07-15T00:00:00"/>
    <d v="2022-10-04T00:00:00"/>
    <x v="0"/>
    <x v="0"/>
    <x v="1"/>
    <s v="rinanurrani@email.com"/>
    <s v="085197485417"/>
  </r>
  <r>
    <s v="EMP0425"/>
    <s v="Enden Muhamad Hilman"/>
    <x v="0"/>
    <d v="2002-02-24T00:00:00"/>
    <d v="2023-08-08T00:00:00"/>
    <x v="4"/>
    <x v="4"/>
    <x v="0"/>
    <s v="endenmuhamadhilman@email.com"/>
    <s v="084749644804"/>
  </r>
  <r>
    <s v="EMP0426"/>
    <s v="Aji Pangestu"/>
    <x v="0"/>
    <d v="1992-03-06T00:00:00"/>
    <d v="2023-03-07T00:00:00"/>
    <x v="0"/>
    <x v="0"/>
    <x v="2"/>
    <s v="ajipangestu@email.com"/>
    <s v="086971752690"/>
  </r>
  <r>
    <s v="EMP0427"/>
    <s v="Ardhi Wahyu Saputra"/>
    <x v="0"/>
    <d v="2001-01-30T00:00:00"/>
    <d v="2023-10-01T00:00:00"/>
    <x v="0"/>
    <x v="0"/>
    <x v="2"/>
    <s v="ardhiwahyusaputra@email.com"/>
    <s v="089800600459"/>
  </r>
  <r>
    <s v="EMP0428"/>
    <s v="Tri Utami"/>
    <x v="1"/>
    <d v="1993-01-27T00:00:00"/>
    <d v="2023-12-07T00:00:00"/>
    <x v="0"/>
    <x v="0"/>
    <x v="0"/>
    <s v="triutami@email.com"/>
    <s v="089286695706"/>
  </r>
  <r>
    <s v="EMP0429"/>
    <s v="Alda Monika"/>
    <x v="1"/>
    <d v="2002-07-19T00:00:00"/>
    <d v="2021-08-20T00:00:00"/>
    <x v="8"/>
    <x v="8"/>
    <x v="1"/>
    <s v="aldamonika@email.com"/>
    <s v="0801700903"/>
  </r>
  <r>
    <s v="EMP0430"/>
    <s v="Novi Kusuma Wardani"/>
    <x v="1"/>
    <d v="2003-03-10T00:00:00"/>
    <d v="2024-09-24T00:00:00"/>
    <x v="0"/>
    <x v="0"/>
    <x v="0"/>
    <s v="novikusumawardani@email.com"/>
    <s v="089685156181"/>
  </r>
  <r>
    <s v="EMP0431"/>
    <s v="Suherman"/>
    <x v="0"/>
    <d v="1993-08-22T00:00:00"/>
    <d v="2024-11-13T00:00:00"/>
    <x v="4"/>
    <x v="4"/>
    <x v="1"/>
    <s v="suherman@email.com"/>
    <s v="084872907923"/>
  </r>
  <r>
    <s v="EMP0432"/>
    <s v="Cahya Nof Fitri"/>
    <x v="1"/>
    <d v="2003-01-23T00:00:00"/>
    <d v="2018-04-02T00:00:00"/>
    <x v="0"/>
    <x v="0"/>
    <x v="2"/>
    <s v="cahyanoffitri@email.com"/>
    <s v="082791840799"/>
  </r>
  <r>
    <s v="EMP0433"/>
    <s v="Fitri Nurjanah"/>
    <x v="1"/>
    <d v="1986-06-28T00:00:00"/>
    <d v="2019-09-13T00:00:00"/>
    <x v="0"/>
    <x v="0"/>
    <x v="0"/>
    <s v="fitrinurjanah@email.com"/>
    <s v="085150120961"/>
  </r>
  <r>
    <s v="EMP0434"/>
    <s v="Suci Amalia Indah Sari"/>
    <x v="1"/>
    <d v="1988-12-12T00:00:00"/>
    <d v="2019-10-10T00:00:00"/>
    <x v="1"/>
    <x v="1"/>
    <x v="0"/>
    <s v="suciamaliaindahsari@email.com"/>
    <s v="089756465584"/>
  </r>
  <r>
    <s v="EMP0435"/>
    <s v="Seli Apriliyani Putri"/>
    <x v="1"/>
    <d v="2003-04-25T00:00:00"/>
    <d v="2019-06-10T00:00:00"/>
    <x v="0"/>
    <x v="0"/>
    <x v="0"/>
    <s v="seliapriliyaniputri@email.com"/>
    <s v="083337513984"/>
  </r>
  <r>
    <s v="EMP0436"/>
    <s v="Devita Nur Aeni"/>
    <x v="1"/>
    <d v="2000-12-31T00:00:00"/>
    <d v="2018-10-25T00:00:00"/>
    <x v="0"/>
    <x v="0"/>
    <x v="2"/>
    <s v="devitanuraeni@email.com"/>
    <s v="0827320628"/>
  </r>
  <r>
    <s v="EMP0437"/>
    <s v="Anandita Zahra Talita"/>
    <x v="1"/>
    <d v="1990-08-15T00:00:00"/>
    <d v="2018-01-29T00:00:00"/>
    <x v="1"/>
    <x v="1"/>
    <x v="0"/>
    <s v="ananditazahratalita@email.com"/>
    <s v="089756465585"/>
  </r>
  <r>
    <s v="EMP0438"/>
    <s v="Ratini"/>
    <x v="1"/>
    <d v="1997-06-10T00:00:00"/>
    <d v="2024-06-06T00:00:00"/>
    <x v="0"/>
    <x v="0"/>
    <x v="0"/>
    <s v="ratini@email.com"/>
    <s v="087018498143"/>
  </r>
  <r>
    <s v="EMP0439"/>
    <s v="William Morghani Agustin"/>
    <x v="0"/>
    <d v="1989-06-08T00:00:00"/>
    <d v="2022-05-29T00:00:00"/>
    <x v="5"/>
    <x v="5"/>
    <x v="0"/>
    <s v="williammorghaniagustin@email.com"/>
    <s v="083283355951"/>
  </r>
  <r>
    <s v="EMP0440"/>
    <s v="Nafrotin"/>
    <x v="1"/>
    <d v="1989-06-16T00:00:00"/>
    <d v="2024-05-20T00:00:00"/>
    <x v="0"/>
    <x v="0"/>
    <x v="0"/>
    <s v="nafrotin@email.com"/>
    <s v="083122715275"/>
  </r>
  <r>
    <s v="EMP0441"/>
    <s v="Dini Nur Anjani"/>
    <x v="1"/>
    <d v="2000-08-07T00:00:00"/>
    <d v="2018-07-17T00:00:00"/>
    <x v="0"/>
    <x v="0"/>
    <x v="1"/>
    <s v="dininuranjani@email.com"/>
    <s v="084251468868"/>
  </r>
  <r>
    <s v="EMP0442"/>
    <s v="Mutiara"/>
    <x v="1"/>
    <d v="1996-08-21T00:00:00"/>
    <d v="2019-06-13T00:00:00"/>
    <x v="0"/>
    <x v="0"/>
    <x v="0"/>
    <s v="mutiara@email.com"/>
    <s v="088852377568"/>
  </r>
  <r>
    <s v="EMP0443"/>
    <s v="Eliyah"/>
    <x v="1"/>
    <d v="1997-07-08T00:00:00"/>
    <d v="2018-09-09T00:00:00"/>
    <x v="0"/>
    <x v="0"/>
    <x v="0"/>
    <s v="eliyah@email.com"/>
    <s v="083295061498"/>
  </r>
  <r>
    <s v="EMP0444"/>
    <s v="Martin Feri"/>
    <x v="0"/>
    <d v="1998-03-25T00:00:00"/>
    <d v="2019-10-15T00:00:00"/>
    <x v="4"/>
    <x v="4"/>
    <x v="1"/>
    <s v="martinferi@email.com"/>
    <s v="084180062687"/>
  </r>
  <r>
    <s v="EMP0445"/>
    <s v="Ahmad Safrudin"/>
    <x v="0"/>
    <d v="2002-11-20T00:00:00"/>
    <d v="2024-09-30T00:00:00"/>
    <x v="0"/>
    <x v="0"/>
    <x v="2"/>
    <s v="ahmadsafrudin@email.com"/>
    <s v="082757337945"/>
  </r>
  <r>
    <s v="EMP0446"/>
    <s v="Wahyu Lutfiyadi"/>
    <x v="0"/>
    <d v="1985-06-20T00:00:00"/>
    <d v="2024-05-24T00:00:00"/>
    <x v="5"/>
    <x v="5"/>
    <x v="2"/>
    <s v="wahyulutfiyadi@email.com"/>
    <s v="081648293543"/>
  </r>
  <r>
    <s v="EMP0447"/>
    <s v="Umu Ainur Rohmah"/>
    <x v="1"/>
    <d v="1995-02-22T00:00:00"/>
    <d v="2023-01-05T00:00:00"/>
    <x v="0"/>
    <x v="0"/>
    <x v="0"/>
    <s v="umuainurrohmah@email.com"/>
    <s v="085555550687"/>
  </r>
  <r>
    <s v="EMP0448"/>
    <s v="Mega Mulyawati"/>
    <x v="1"/>
    <d v="2001-03-21T00:00:00"/>
    <d v="2023-08-05T00:00:00"/>
    <x v="0"/>
    <x v="0"/>
    <x v="2"/>
    <s v="megamulyawati@email.com"/>
    <s v="088192118280"/>
  </r>
  <r>
    <s v="EMP0449"/>
    <s v="Moh Sayid Arief"/>
    <x v="0"/>
    <d v="2000-10-16T00:00:00"/>
    <d v="2024-10-16T00:00:00"/>
    <x v="5"/>
    <x v="5"/>
    <x v="2"/>
    <s v="mohsayidarief@email.com"/>
    <s v="082188763539"/>
  </r>
  <r>
    <s v="EMP0450"/>
    <s v="Melina Siska"/>
    <x v="1"/>
    <d v="1996-01-11T00:00:00"/>
    <d v="2019-08-22T00:00:00"/>
    <x v="1"/>
    <x v="1"/>
    <x v="2"/>
    <s v="melinasiska@email.com"/>
    <s v="082012652583"/>
  </r>
  <r>
    <s v="EMP0451"/>
    <s v="Feri Gunawan"/>
    <x v="0"/>
    <d v="1994-01-15T00:00:00"/>
    <d v="2025-07-19T00:00:00"/>
    <x v="4"/>
    <x v="4"/>
    <x v="0"/>
    <s v="ferigunawan@email.com"/>
    <s v="089407141314"/>
  </r>
  <r>
    <s v="EMP0452"/>
    <s v="Erina Dwi Yuni Setyaningrum"/>
    <x v="1"/>
    <d v="1986-08-14T00:00:00"/>
    <d v="2023-05-14T00:00:00"/>
    <x v="1"/>
    <x v="1"/>
    <x v="2"/>
    <s v="erinadwiyunisetyaningrum@email.com"/>
    <s v="082272607516"/>
  </r>
  <r>
    <s v="EMP0453"/>
    <s v="Abdul Fatahillah"/>
    <x v="0"/>
    <d v="1997-12-07T00:00:00"/>
    <d v="2023-03-19T00:00:00"/>
    <x v="0"/>
    <x v="0"/>
    <x v="1"/>
    <s v="abdulfatahillah@email.com"/>
    <s v="084962843391"/>
  </r>
  <r>
    <s v="EMP0454"/>
    <s v="Sheril Aurellia"/>
    <x v="1"/>
    <d v="1997-04-22T00:00:00"/>
    <d v="2023-10-20T00:00:00"/>
    <x v="0"/>
    <x v="0"/>
    <x v="2"/>
    <s v="sherilaurellia@email.com"/>
    <s v="081036752167"/>
  </r>
  <r>
    <s v="EMP0455"/>
    <s v="Muhammad Haryz Iqbal Hendrawan"/>
    <x v="0"/>
    <d v="1985-04-24T00:00:00"/>
    <d v="2022-05-29T00:00:00"/>
    <x v="5"/>
    <x v="5"/>
    <x v="2"/>
    <s v="muhammadharyziqbalhendrawan@email.com"/>
    <s v="086645579351"/>
  </r>
  <r>
    <s v="EMP0456"/>
    <s v="Aam Warnisah"/>
    <x v="1"/>
    <d v="2002-11-02T00:00:00"/>
    <d v="2021-04-22T00:00:00"/>
    <x v="0"/>
    <x v="0"/>
    <x v="0"/>
    <s v="aamwarnisah@email.com"/>
    <s v="081924486991"/>
  </r>
  <r>
    <s v="EMP0457"/>
    <s v="Rokhimin"/>
    <x v="0"/>
    <d v="1985-03-01T00:00:00"/>
    <d v="2018-07-29T00:00:00"/>
    <x v="0"/>
    <x v="0"/>
    <x v="2"/>
    <s v="rokhimin@email.com"/>
    <s v="087223884675"/>
  </r>
  <r>
    <s v="EMP0458"/>
    <s v="Diandra Bayu Aji"/>
    <x v="0"/>
    <d v="1985-04-01T00:00:00"/>
    <d v="2023-01-26T00:00:00"/>
    <x v="5"/>
    <x v="5"/>
    <x v="1"/>
    <s v="diandrabayuaji@email.com"/>
    <s v="085107242062"/>
  </r>
  <r>
    <s v="EMP0459"/>
    <s v="Denita Tri Hapsari"/>
    <x v="1"/>
    <d v="1988-09-08T00:00:00"/>
    <d v="2022-03-25T00:00:00"/>
    <x v="1"/>
    <x v="1"/>
    <x v="2"/>
    <s v="denitatrihapsari@email.com"/>
    <s v="087658332360"/>
  </r>
  <r>
    <s v="EMP0460"/>
    <s v="Muhamad Al Imron Sah"/>
    <x v="0"/>
    <d v="1992-01-06T00:00:00"/>
    <d v="2019-01-11T00:00:00"/>
    <x v="0"/>
    <x v="0"/>
    <x v="0"/>
    <s v="muhamadalimronsah@email.com"/>
    <s v="084560659443"/>
  </r>
  <r>
    <s v="EMP0461"/>
    <s v="Muh Zaidan Mubarok Al Faqih"/>
    <x v="0"/>
    <d v="2003-05-31T00:00:00"/>
    <d v="2024-01-17T00:00:00"/>
    <x v="0"/>
    <x v="0"/>
    <x v="2"/>
    <s v="muhzaidanmubarokalfaqih@email.com"/>
    <s v="088115308319"/>
  </r>
  <r>
    <s v="EMP0462"/>
    <s v="Riana Gita Febrianti"/>
    <x v="1"/>
    <d v="1993-11-02T00:00:00"/>
    <d v="2020-03-11T00:00:00"/>
    <x v="0"/>
    <x v="0"/>
    <x v="0"/>
    <s v="rianagitafebrianti@email.com"/>
    <s v="082122020984"/>
  </r>
  <r>
    <s v="EMP0463"/>
    <s v="Budi Priyono"/>
    <x v="0"/>
    <d v="2001-05-04T00:00:00"/>
    <d v="2019-12-03T00:00:00"/>
    <x v="4"/>
    <x v="4"/>
    <x v="1"/>
    <s v="budipriyono@email.com"/>
    <s v="087322803722"/>
  </r>
  <r>
    <s v="EMP0464"/>
    <s v="Wiwit Aji Pamungkas"/>
    <x v="0"/>
    <d v="1997-09-03T00:00:00"/>
    <d v="2022-03-28T00:00:00"/>
    <x v="0"/>
    <x v="0"/>
    <x v="0"/>
    <s v="wiwitajipamungkas@email.com"/>
    <s v="080075415696"/>
  </r>
  <r>
    <s v="EMP0465"/>
    <s v="Ananda Mei Saputri"/>
    <x v="1"/>
    <d v="1993-08-03T00:00:00"/>
    <d v="2018-03-04T00:00:00"/>
    <x v="1"/>
    <x v="1"/>
    <x v="2"/>
    <s v="anandameisaputri@email.com"/>
    <s v="089756465586"/>
  </r>
  <r>
    <s v="EMP0466"/>
    <s v="Andri Satio"/>
    <x v="0"/>
    <d v="1996-11-18T00:00:00"/>
    <d v="2022-10-21T00:00:00"/>
    <x v="0"/>
    <x v="0"/>
    <x v="2"/>
    <s v="andrisatio@email.com"/>
    <s v="080761136691"/>
  </r>
  <r>
    <s v="EMP0467"/>
    <s v="Koriah"/>
    <x v="1"/>
    <d v="2003-01-10T00:00:00"/>
    <d v="2024-10-21T00:00:00"/>
    <x v="0"/>
    <x v="0"/>
    <x v="1"/>
    <s v="koriah@email.com"/>
    <s v="086131961314"/>
  </r>
  <r>
    <s v="EMP0468"/>
    <s v="Sri Rahyu Maharani"/>
    <x v="1"/>
    <d v="1986-08-21T00:00:00"/>
    <d v="2022-10-05T00:00:00"/>
    <x v="0"/>
    <x v="0"/>
    <x v="2"/>
    <s v="srirahyumaharani@email.com"/>
    <s v="081752313891"/>
  </r>
  <r>
    <s v="EMP0469"/>
    <s v="Adi Kamelani"/>
    <x v="0"/>
    <d v="1996-01-20T00:00:00"/>
    <d v="2018-12-02T00:00:00"/>
    <x v="5"/>
    <x v="5"/>
    <x v="1"/>
    <s v="adikamelani@email.com"/>
    <s v="086685931732"/>
  </r>
  <r>
    <s v="EMP0470"/>
    <s v="Ameliyah"/>
    <x v="1"/>
    <d v="1990-09-11T00:00:00"/>
    <d v="2023-12-20T00:00:00"/>
    <x v="0"/>
    <x v="0"/>
    <x v="0"/>
    <s v="ameliyah@email.com"/>
    <s v="088983019201"/>
  </r>
  <r>
    <s v="EMP0471"/>
    <s v="Lisnawati"/>
    <x v="1"/>
    <d v="1995-06-21T00:00:00"/>
    <d v="2021-04-18T00:00:00"/>
    <x v="0"/>
    <x v="0"/>
    <x v="0"/>
    <s v="lisnawati@email.com"/>
    <s v="084742194829"/>
  </r>
  <r>
    <s v="EMP0472"/>
    <s v="Abdul Fattah Azzam"/>
    <x v="0"/>
    <d v="1988-03-31T00:00:00"/>
    <d v="2020-01-29T00:00:00"/>
    <x v="0"/>
    <x v="0"/>
    <x v="2"/>
    <s v="abdulfattahazzam@email.com"/>
    <s v="083107325086"/>
  </r>
  <r>
    <s v="EMP0473"/>
    <s v="Helpry Andriyan"/>
    <x v="0"/>
    <d v="1992-06-29T00:00:00"/>
    <d v="2020-09-12T00:00:00"/>
    <x v="5"/>
    <x v="5"/>
    <x v="0"/>
    <s v="helpryandriyan@email.com"/>
    <s v="082113607021"/>
  </r>
  <r>
    <s v="EMP0474"/>
    <s v="Cindy Khristia"/>
    <x v="1"/>
    <d v="1999-02-13T00:00:00"/>
    <d v="2019-09-02T00:00:00"/>
    <x v="0"/>
    <x v="0"/>
    <x v="0"/>
    <s v="cindykhristia@email.com"/>
    <s v="085714942275"/>
  </r>
  <r>
    <s v="EMP0475"/>
    <s v="Fandi Akhmad"/>
    <x v="0"/>
    <d v="1992-06-16T00:00:00"/>
    <d v="2018-03-24T00:00:00"/>
    <x v="1"/>
    <x v="1"/>
    <x v="0"/>
    <s v="fandiakhmad@email.com"/>
    <s v="0870743713"/>
  </r>
  <r>
    <s v="EMP0476"/>
    <s v="Ferdi Gustavano"/>
    <x v="0"/>
    <d v="2001-05-27T00:00:00"/>
    <d v="2024-06-15T00:00:00"/>
    <x v="0"/>
    <x v="0"/>
    <x v="0"/>
    <s v="ferdigustavano@email.com"/>
    <s v="086383658627"/>
  </r>
  <r>
    <s v="EMP0477"/>
    <s v="Maslamah Herawati"/>
    <x v="1"/>
    <d v="1990-10-19T00:00:00"/>
    <d v="2019-10-23T00:00:00"/>
    <x v="0"/>
    <x v="0"/>
    <x v="2"/>
    <s v="maslamahherawati@email.com"/>
    <s v="089265444515"/>
  </r>
  <r>
    <s v="EMP0478"/>
    <s v="Rezza Agustin"/>
    <x v="1"/>
    <d v="1997-12-10T00:00:00"/>
    <d v="2020-03-16T00:00:00"/>
    <x v="0"/>
    <x v="0"/>
    <x v="0"/>
    <s v="rezzaagustin@email.com"/>
    <s v="089757269975"/>
  </r>
  <r>
    <s v="EMP0479"/>
    <s v="Dito Alifsyah"/>
    <x v="0"/>
    <d v="1985-06-04T00:00:00"/>
    <d v="2025-08-30T00:00:00"/>
    <x v="0"/>
    <x v="0"/>
    <x v="2"/>
    <s v="ditoalifsyah@email.com"/>
    <s v="084704593996"/>
  </r>
  <r>
    <s v="EMP0480"/>
    <s v="Baety Nurjanah"/>
    <x v="1"/>
    <d v="1996-10-07T00:00:00"/>
    <d v="2022-01-02T00:00:00"/>
    <x v="0"/>
    <x v="0"/>
    <x v="0"/>
    <s v="baetynurjanah@email.com"/>
    <s v="088467694625"/>
  </r>
  <r>
    <s v="EMP0481"/>
    <s v="Indah Yuli Hidayati"/>
    <x v="1"/>
    <d v="1993-04-18T00:00:00"/>
    <d v="2018-08-26T00:00:00"/>
    <x v="0"/>
    <x v="0"/>
    <x v="0"/>
    <s v="indahyulihidayati@email.com"/>
    <s v="082911593881"/>
  </r>
  <r>
    <s v="EMP0482"/>
    <s v="Peri Irawan"/>
    <x v="0"/>
    <d v="1989-07-18T00:00:00"/>
    <d v="2018-01-26T00:00:00"/>
    <x v="5"/>
    <x v="5"/>
    <x v="1"/>
    <s v="periirawan@email.com"/>
    <s v="089605330088"/>
  </r>
  <r>
    <s v="EMP0483"/>
    <s v="Devi Novitasari"/>
    <x v="1"/>
    <d v="1995-06-13T00:00:00"/>
    <d v="2020-07-13T00:00:00"/>
    <x v="0"/>
    <x v="0"/>
    <x v="1"/>
    <s v="devinovitasari@email.com"/>
    <s v="088673293292"/>
  </r>
  <r>
    <s v="EMP0484"/>
    <s v="Luluk Sholihatin"/>
    <x v="1"/>
    <d v="2002-05-23T00:00:00"/>
    <d v="2019-05-28T00:00:00"/>
    <x v="0"/>
    <x v="0"/>
    <x v="0"/>
    <s v="luluksholihatin@email.com"/>
    <s v="088920057050"/>
  </r>
  <r>
    <s v="EMP0485"/>
    <s v="Rafael Ilham Ananta"/>
    <x v="0"/>
    <d v="1985-04-08T00:00:00"/>
    <d v="2018-06-20T00:00:00"/>
    <x v="5"/>
    <x v="5"/>
    <x v="0"/>
    <s v="rafaelilhamananta@email.com"/>
    <s v="087432290926"/>
  </r>
  <r>
    <s v="EMP0486"/>
    <s v="Siti Mubarokah"/>
    <x v="1"/>
    <d v="2000-09-16T00:00:00"/>
    <d v="2021-06-26T00:00:00"/>
    <x v="0"/>
    <x v="0"/>
    <x v="0"/>
    <s v="sitimubarokah@email.com"/>
    <s v="080772594180"/>
  </r>
  <r>
    <s v="EMP0487"/>
    <s v="Dea Yulia"/>
    <x v="1"/>
    <d v="2000-08-31T00:00:00"/>
    <d v="2023-08-23T00:00:00"/>
    <x v="1"/>
    <x v="1"/>
    <x v="2"/>
    <s v="deayulia@email.com"/>
    <s v="085176664552"/>
  </r>
  <r>
    <s v="EMP0488"/>
    <s v="Dina Rizki Amelia"/>
    <x v="1"/>
    <d v="1987-04-28T00:00:00"/>
    <d v="2021-04-25T00:00:00"/>
    <x v="0"/>
    <x v="0"/>
    <x v="0"/>
    <s v="dinarizkiamelia@email.com"/>
    <s v="081752023318"/>
  </r>
  <r>
    <s v="EMP0489"/>
    <s v="Ruslani"/>
    <x v="0"/>
    <d v="1992-04-08T00:00:00"/>
    <d v="2023-05-07T00:00:00"/>
    <x v="4"/>
    <x v="4"/>
    <x v="0"/>
    <s v="ruslani@email.com"/>
    <s v="083790346750"/>
  </r>
  <r>
    <s v="EMP0490"/>
    <s v="Laelatun Nafiah"/>
    <x v="1"/>
    <d v="1994-07-05T00:00:00"/>
    <d v="2021-01-30T00:00:00"/>
    <x v="1"/>
    <x v="1"/>
    <x v="0"/>
    <s v="laelatunnafiah@email.com"/>
    <s v="085026983502"/>
  </r>
  <r>
    <s v="EMP0491"/>
    <s v="Akhmad Bayu Erlangga"/>
    <x v="0"/>
    <d v="2003-03-14T00:00:00"/>
    <d v="2019-10-13T00:00:00"/>
    <x v="0"/>
    <x v="0"/>
    <x v="2"/>
    <s v="akhmadbayuerlangga@email.com"/>
    <s v="082928641412"/>
  </r>
  <r>
    <s v="EMP0492"/>
    <s v="Afif Fiqri Alfaqih"/>
    <x v="0"/>
    <d v="1985-12-29T00:00:00"/>
    <d v="2023-07-10T00:00:00"/>
    <x v="5"/>
    <x v="5"/>
    <x v="0"/>
    <s v="afiffiqrialfaqih@email.com"/>
    <s v="085757663166"/>
  </r>
  <r>
    <s v="EMP0493"/>
    <s v="Shefira Agustina"/>
    <x v="1"/>
    <d v="2001-02-24T00:00:00"/>
    <d v="2023-01-18T00:00:00"/>
    <x v="0"/>
    <x v="0"/>
    <x v="0"/>
    <s v="shefiraagustina@email.com"/>
    <s v="088157652794"/>
  </r>
  <r>
    <s v="EMP0494"/>
    <s v="Ade Bagas Saputra"/>
    <x v="0"/>
    <d v="1990-01-18T00:00:00"/>
    <d v="2025-01-28T00:00:00"/>
    <x v="5"/>
    <x v="5"/>
    <x v="1"/>
    <s v="adebagassaputra@email.com"/>
    <s v="081485690745"/>
  </r>
  <r>
    <s v="EMP0495"/>
    <s v="Sahrul Sepryawan"/>
    <x v="0"/>
    <d v="1988-01-15T00:00:00"/>
    <d v="2021-08-25T00:00:00"/>
    <x v="0"/>
    <x v="0"/>
    <x v="1"/>
    <s v="sahrulsepryawan@email.com"/>
    <s v="083620361356"/>
  </r>
  <r>
    <s v="EMP0496"/>
    <s v="Rizal Fadli"/>
    <x v="0"/>
    <d v="1999-04-22T00:00:00"/>
    <d v="2020-07-23T00:00:00"/>
    <x v="0"/>
    <x v="0"/>
    <x v="1"/>
    <s v="rizalfadli@email.com"/>
    <s v="089770695656"/>
  </r>
  <r>
    <s v="EMP0497"/>
    <s v="Nita Nurahmawati"/>
    <x v="0"/>
    <d v="2000-01-29T00:00:00"/>
    <d v="2023-01-24T00:00:00"/>
    <x v="5"/>
    <x v="5"/>
    <x v="0"/>
    <s v="nitanurahmawati@email.com"/>
    <s v="086097905534"/>
  </r>
  <r>
    <s v="EMP0498"/>
    <s v="Shanti"/>
    <x v="1"/>
    <d v="1991-03-02T00:00:00"/>
    <d v="2021-11-16T00:00:00"/>
    <x v="0"/>
    <x v="0"/>
    <x v="0"/>
    <s v="shanti@email.com"/>
    <s v="083741639538"/>
  </r>
  <r>
    <s v="EMP0499"/>
    <s v="Misbakhudin"/>
    <x v="0"/>
    <d v="1986-08-12T00:00:00"/>
    <d v="2020-06-27T00:00:00"/>
    <x v="0"/>
    <x v="0"/>
    <x v="0"/>
    <s v="misbakhudin@email.com"/>
    <s v="086406430813"/>
  </r>
  <r>
    <s v="EMP0500"/>
    <s v="Khaerul Ivando"/>
    <x v="0"/>
    <d v="1998-11-24T00:00:00"/>
    <d v="2023-11-04T00:00:00"/>
    <x v="5"/>
    <x v="5"/>
    <x v="0"/>
    <s v="khaerulivando@email.com"/>
    <s v="083460195718"/>
  </r>
  <r>
    <s v="EMP0501"/>
    <s v="Risma Trihandayani"/>
    <x v="1"/>
    <d v="1994-09-01T00:00:00"/>
    <d v="2018-04-01T00:00:00"/>
    <x v="0"/>
    <x v="0"/>
    <x v="0"/>
    <s v="rismatrihandayani@email.com"/>
    <s v="089975988796"/>
  </r>
  <r>
    <s v="EMP0502"/>
    <s v="Marshada Hidayah"/>
    <x v="1"/>
    <d v="1996-06-14T00:00:00"/>
    <d v="2020-11-13T00:00:00"/>
    <x v="0"/>
    <x v="0"/>
    <x v="2"/>
    <s v="marshadahidayah@email.com"/>
    <s v="085379671571"/>
  </r>
  <r>
    <s v="EMP0503"/>
    <s v="Siti Nurjanah"/>
    <x v="1"/>
    <d v="1999-06-14T00:00:00"/>
    <d v="2020-02-14T00:00:00"/>
    <x v="0"/>
    <x v="0"/>
    <x v="0"/>
    <s v="sitinurjanah@email.com"/>
    <s v="085296766717"/>
  </r>
  <r>
    <s v="EMP0504"/>
    <s v="Rafika Septiani"/>
    <x v="1"/>
    <d v="1991-10-31T00:00:00"/>
    <d v="2023-10-28T00:00:00"/>
    <x v="0"/>
    <x v="0"/>
    <x v="0"/>
    <s v="rafikaseptiani@email.com"/>
    <s v="088150443784"/>
  </r>
  <r>
    <s v="EMP0505"/>
    <s v="Bambang Didi Mulyono"/>
    <x v="0"/>
    <d v="1996-12-01T00:00:00"/>
    <d v="2020-09-21T00:00:00"/>
    <x v="4"/>
    <x v="4"/>
    <x v="0"/>
    <s v="bambangdidimulyono@email.com"/>
    <s v="082760335747"/>
  </r>
  <r>
    <s v="EMP0506"/>
    <s v="Nita Vianata"/>
    <x v="1"/>
    <d v="2002-10-25T00:00:00"/>
    <d v="2020-01-18T00:00:00"/>
    <x v="0"/>
    <x v="0"/>
    <x v="1"/>
    <s v="nitavianata@email.com"/>
    <s v="083288992656"/>
  </r>
  <r>
    <s v="EMP0507"/>
    <s v="Nabira Bunga Azhahra"/>
    <x v="1"/>
    <d v="1987-01-09T00:00:00"/>
    <d v="2019-10-19T00:00:00"/>
    <x v="0"/>
    <x v="0"/>
    <x v="0"/>
    <s v="nabirabungaazhahra@email.com"/>
    <s v="0859530072"/>
  </r>
  <r>
    <s v="EMP0508"/>
    <s v="Ratih Kemala Dewi"/>
    <x v="1"/>
    <d v="1985-03-15T00:00:00"/>
    <d v="2024-08-19T00:00:00"/>
    <x v="8"/>
    <x v="8"/>
    <x v="2"/>
    <s v="ratihkemaladewi@email.com"/>
    <s v="088637490923"/>
  </r>
  <r>
    <s v="EMP0509"/>
    <s v="Sherli Nur Oktapiani"/>
    <x v="1"/>
    <d v="1999-10-23T00:00:00"/>
    <d v="2022-10-25T00:00:00"/>
    <x v="0"/>
    <x v="0"/>
    <x v="0"/>
    <s v="sherlinuroktapiani@email.com"/>
    <s v="088858938059"/>
  </r>
  <r>
    <s v="EMP0510"/>
    <s v="Reni Setya Wati"/>
    <x v="1"/>
    <d v="1986-09-04T00:00:00"/>
    <d v="2023-02-17T00:00:00"/>
    <x v="1"/>
    <x v="1"/>
    <x v="2"/>
    <s v="renisetyawati@email.com"/>
    <s v="089110084234"/>
  </r>
  <r>
    <s v="EMP0511"/>
    <s v="Muh Edi Suswanto"/>
    <x v="0"/>
    <d v="1999-07-22T00:00:00"/>
    <d v="2020-12-23T00:00:00"/>
    <x v="5"/>
    <x v="5"/>
    <x v="0"/>
    <s v="muhedisuswanto@email.com"/>
    <s v="084418602455"/>
  </r>
  <r>
    <s v="EMP0512"/>
    <s v="Faradila Hendra Yunita"/>
    <x v="1"/>
    <d v="2002-02-28T00:00:00"/>
    <d v="2021-02-26T00:00:00"/>
    <x v="1"/>
    <x v="1"/>
    <x v="0"/>
    <s v="faradilahendrayunita@email.com"/>
    <s v="088589883637"/>
  </r>
  <r>
    <s v="EMP0513"/>
    <s v="Wike Astiyani Putri"/>
    <x v="1"/>
    <d v="1992-07-14T00:00:00"/>
    <d v="2019-07-31T00:00:00"/>
    <x v="0"/>
    <x v="0"/>
    <x v="1"/>
    <s v="wikeastiyaniputri@email.com"/>
    <s v="089917503261"/>
  </r>
  <r>
    <s v="EMP0514"/>
    <s v="Renaldo Ernowo"/>
    <x v="0"/>
    <d v="1985-11-14T00:00:00"/>
    <d v="2020-04-07T00:00:00"/>
    <x v="0"/>
    <x v="0"/>
    <x v="0"/>
    <s v="renaldoernowo@email.com"/>
    <s v="085712958483"/>
  </r>
  <r>
    <s v="EMP0515"/>
    <s v="Novia Eka Safitri"/>
    <x v="1"/>
    <d v="1991-09-24T00:00:00"/>
    <d v="2021-05-30T00:00:00"/>
    <x v="0"/>
    <x v="0"/>
    <x v="0"/>
    <s v="noviaekasafitri@email.com"/>
    <s v="089118399473"/>
  </r>
  <r>
    <s v="EMP0516"/>
    <s v="Nurul Oktaviani"/>
    <x v="1"/>
    <d v="2000-09-25T00:00:00"/>
    <d v="2019-05-19T00:00:00"/>
    <x v="1"/>
    <x v="1"/>
    <x v="2"/>
    <s v="nuruloktaviani@email.com"/>
    <s v="085508160049"/>
  </r>
  <r>
    <s v="EMP0517"/>
    <s v="Tomy Gilang Budi Utama"/>
    <x v="0"/>
    <d v="1985-02-04T00:00:00"/>
    <d v="2025-01-14T00:00:00"/>
    <x v="0"/>
    <x v="0"/>
    <x v="0"/>
    <s v="tomygilangbudiutama@email.com"/>
    <s v="086701183462"/>
  </r>
  <r>
    <s v="EMP0518"/>
    <s v="Dewi Sahara"/>
    <x v="1"/>
    <d v="1992-08-20T00:00:00"/>
    <d v="2023-11-12T00:00:00"/>
    <x v="0"/>
    <x v="0"/>
    <x v="1"/>
    <s v="dewisahara@email.com"/>
    <s v="082321084375"/>
  </r>
  <r>
    <s v="EMP0519"/>
    <s v="Diyana Astuti"/>
    <x v="1"/>
    <d v="1999-06-23T00:00:00"/>
    <d v="2019-04-30T00:00:00"/>
    <x v="0"/>
    <x v="0"/>
    <x v="0"/>
    <s v="diyanaastuti@email.com"/>
    <s v="086174718910"/>
  </r>
  <r>
    <s v="EMP0520"/>
    <s v="Andien Ramadhani"/>
    <x v="0"/>
    <d v="2002-04-05T00:00:00"/>
    <d v="2018-09-29T00:00:00"/>
    <x v="4"/>
    <x v="4"/>
    <x v="0"/>
    <s v="andienramadhani@email.com"/>
    <s v="084524318974"/>
  </r>
  <r>
    <s v="EMP0521"/>
    <s v="Elva Amalia Putri"/>
    <x v="1"/>
    <d v="1986-10-10T00:00:00"/>
    <d v="2022-09-08T00:00:00"/>
    <x v="0"/>
    <x v="0"/>
    <x v="1"/>
    <s v="elvaamaliaputri@email.com"/>
    <s v="081162872131"/>
  </r>
  <r>
    <s v="EMP0522"/>
    <s v="Siti Nur Azizah"/>
    <x v="1"/>
    <d v="1997-07-05T00:00:00"/>
    <d v="2018-09-25T00:00:00"/>
    <x v="1"/>
    <x v="1"/>
    <x v="2"/>
    <s v="sitinurazizah@email.com"/>
    <s v="082500168177"/>
  </r>
  <r>
    <s v="EMP0523"/>
    <s v="Aldy Prayoga"/>
    <x v="0"/>
    <d v="1987-09-27T00:00:00"/>
    <d v="2021-09-13T00:00:00"/>
    <x v="0"/>
    <x v="0"/>
    <x v="2"/>
    <s v="aldyprayoga@email.com"/>
    <s v="089756465583"/>
  </r>
  <r>
    <s v="EMP0524"/>
    <s v="Muhamad Amshori"/>
    <x v="0"/>
    <d v="1986-08-31T00:00:00"/>
    <d v="2024-07-16T00:00:00"/>
    <x v="0"/>
    <x v="0"/>
    <x v="2"/>
    <s v="muhamadamshori@email.com"/>
    <s v="089756465587"/>
  </r>
  <r>
    <s v="EMP0525"/>
    <s v="Tri Adinda Dewi"/>
    <x v="1"/>
    <d v="1996-03-30T00:00:00"/>
    <d v="2018-01-28T00:00:00"/>
    <x v="0"/>
    <x v="0"/>
    <x v="1"/>
    <s v="triadindadewi@email.com"/>
    <s v="087180731757"/>
  </r>
  <r>
    <s v="EMP0526"/>
    <s v="Ramadhan Alfin Gimnastiar"/>
    <x v="0"/>
    <d v="1990-10-06T00:00:00"/>
    <d v="2019-01-20T00:00:00"/>
    <x v="0"/>
    <x v="0"/>
    <x v="1"/>
    <s v="ramadhanalfingimnastiar@email.com"/>
    <s v="085420223778"/>
  </r>
  <r>
    <s v="EMP0527"/>
    <s v="Dicky Wijaya"/>
    <x v="0"/>
    <d v="2002-05-13T00:00:00"/>
    <d v="2019-07-15T00:00:00"/>
    <x v="0"/>
    <x v="0"/>
    <x v="2"/>
    <s v="dickywijaya@email.com"/>
    <s v="080495740524"/>
  </r>
  <r>
    <s v="EMP0528"/>
    <s v="Siti Nur Khodizah"/>
    <x v="1"/>
    <d v="1992-01-24T00:00:00"/>
    <d v="2025-02-23T00:00:00"/>
    <x v="0"/>
    <x v="0"/>
    <x v="0"/>
    <s v="sitinurkhodizah@email.com"/>
    <s v="081944817623"/>
  </r>
  <r>
    <s v="EMP0529"/>
    <s v="Nur Baeti"/>
    <x v="1"/>
    <d v="1993-08-23T00:00:00"/>
    <d v="2023-08-28T00:00:00"/>
    <x v="0"/>
    <x v="0"/>
    <x v="0"/>
    <s v="nurbaeti@email.com"/>
    <s v="084456850575"/>
  </r>
  <r>
    <s v="EMP0530"/>
    <s v="Nurhajijah"/>
    <x v="1"/>
    <d v="1985-06-24T00:00:00"/>
    <d v="2025-01-20T00:00:00"/>
    <x v="1"/>
    <x v="1"/>
    <x v="0"/>
    <s v="nurhajijah@email.com"/>
    <s v="080079506254"/>
  </r>
  <r>
    <s v="EMP0531"/>
    <s v="Leni Suciati"/>
    <x v="1"/>
    <d v="1992-10-11T00:00:00"/>
    <d v="2019-05-17T00:00:00"/>
    <x v="0"/>
    <x v="0"/>
    <x v="0"/>
    <s v="lenisuciati@email.com"/>
    <s v="082122839887"/>
  </r>
  <r>
    <s v="EMP0532"/>
    <s v="Ahmad Trustianto"/>
    <x v="0"/>
    <d v="1992-05-27T00:00:00"/>
    <d v="2021-12-20T00:00:00"/>
    <x v="4"/>
    <x v="4"/>
    <x v="0"/>
    <s v="ahmadtrustianto@email.com"/>
    <s v="0866674754"/>
  </r>
  <r>
    <s v="EMP0533"/>
    <s v="Siti Laela Ranita"/>
    <x v="1"/>
    <d v="1997-01-05T00:00:00"/>
    <d v="2024-01-18T00:00:00"/>
    <x v="0"/>
    <x v="0"/>
    <x v="1"/>
    <s v="sitilaelaranita@email.com"/>
    <s v="084959627219"/>
  </r>
  <r>
    <s v="EMP0534"/>
    <s v="Dhika Nanda Al Fiqri"/>
    <x v="0"/>
    <d v="1994-01-15T00:00:00"/>
    <d v="2020-09-01T00:00:00"/>
    <x v="0"/>
    <x v="0"/>
    <x v="0"/>
    <s v="dhikanandaalfiqri@email.com"/>
    <s v="080199116271"/>
  </r>
  <r>
    <s v="EMP0535"/>
    <s v="Sandy Kurniawan"/>
    <x v="0"/>
    <d v="1988-03-07T00:00:00"/>
    <d v="2019-10-06T00:00:00"/>
    <x v="5"/>
    <x v="5"/>
    <x v="2"/>
    <s v="sandykurniawan@email.com"/>
    <s v="080982793435"/>
  </r>
  <r>
    <s v="EMP0536"/>
    <s v="Muhammad Hisyam Adnan"/>
    <x v="0"/>
    <d v="1988-06-17T00:00:00"/>
    <d v="2020-12-27T00:00:00"/>
    <x v="5"/>
    <x v="5"/>
    <x v="1"/>
    <s v="muhammadhisyamadnan@email.com"/>
    <s v="085598801507"/>
  </r>
  <r>
    <s v="EMP0537"/>
    <s v="Fitranto Adi Nugroho"/>
    <x v="0"/>
    <d v="1998-01-30T00:00:00"/>
    <d v="2024-01-31T00:00:00"/>
    <x v="0"/>
    <x v="0"/>
    <x v="0"/>
    <s v="fitrantoadinugroho@email.com"/>
    <s v="082783070908"/>
  </r>
  <r>
    <s v="EMP0538"/>
    <s v="Melan Fitriyani"/>
    <x v="1"/>
    <d v="1994-08-21T00:00:00"/>
    <d v="2019-08-09T00:00:00"/>
    <x v="0"/>
    <x v="0"/>
    <x v="2"/>
    <s v="melanfitriyani@email.com"/>
    <s v="088153524016"/>
  </r>
  <r>
    <s v="EMP0539"/>
    <s v="Dedi Jaya"/>
    <x v="0"/>
    <d v="1994-09-28T00:00:00"/>
    <d v="2023-06-12T00:00:00"/>
    <x v="0"/>
    <x v="0"/>
    <x v="1"/>
    <s v="dedijaya@email.com"/>
    <s v="087156610419"/>
  </r>
  <r>
    <s v="EMP0540"/>
    <s v="Andi Syaefulloh"/>
    <x v="0"/>
    <d v="1986-10-01T00:00:00"/>
    <d v="2019-06-13T00:00:00"/>
    <x v="5"/>
    <x v="5"/>
    <x v="1"/>
    <s v="andisyaefulloh@email.com"/>
    <s v="082090943943"/>
  </r>
  <r>
    <s v="EMP0541"/>
    <s v="Silfi Ismatul Khasanah"/>
    <x v="1"/>
    <d v="1994-05-05T00:00:00"/>
    <d v="2024-11-02T00:00:00"/>
    <x v="0"/>
    <x v="0"/>
    <x v="0"/>
    <s v="silfiismatulkhasanah@email.com"/>
    <s v="0846693458"/>
  </r>
  <r>
    <s v="EMP0542"/>
    <s v="Beni Murgita Pratama"/>
    <x v="0"/>
    <d v="1998-08-17T00:00:00"/>
    <d v="2023-09-18T00:00:00"/>
    <x v="5"/>
    <x v="5"/>
    <x v="2"/>
    <s v="benimurgitapratama@email.com"/>
    <s v="081015536537"/>
  </r>
  <r>
    <s v="EMP0543"/>
    <s v="Anisah"/>
    <x v="1"/>
    <d v="1990-06-04T00:00:00"/>
    <d v="2018-02-23T00:00:00"/>
    <x v="0"/>
    <x v="0"/>
    <x v="1"/>
    <s v="anisah@email.com"/>
    <s v="083842096016"/>
  </r>
  <r>
    <s v="EMP0544"/>
    <s v="Achmad Wijaya Kusuma"/>
    <x v="0"/>
    <d v="1986-06-11T00:00:00"/>
    <d v="2022-03-31T00:00:00"/>
    <x v="0"/>
    <x v="0"/>
    <x v="2"/>
    <s v="achmadwijayakusuma@email.com"/>
    <s v="088861164129"/>
  </r>
  <r>
    <s v="EMP0545"/>
    <s v="Aliyah Nurfaizah"/>
    <x v="1"/>
    <d v="1985-07-05T00:00:00"/>
    <d v="2019-07-28T00:00:00"/>
    <x v="1"/>
    <x v="1"/>
    <x v="2"/>
    <s v="aliyahnurfaizah@email.com"/>
    <s v="083181079957"/>
  </r>
  <r>
    <s v="EMP0546"/>
    <s v="Abdul Ghofur"/>
    <x v="0"/>
    <d v="2000-11-23T00:00:00"/>
    <d v="2023-09-14T00:00:00"/>
    <x v="4"/>
    <x v="4"/>
    <x v="0"/>
    <s v="abdulghofur@email.com"/>
    <s v="085606787740"/>
  </r>
  <r>
    <s v="EMP0547"/>
    <s v="Rini Rukmini"/>
    <x v="1"/>
    <d v="1993-04-25T00:00:00"/>
    <d v="2021-02-09T00:00:00"/>
    <x v="1"/>
    <x v="1"/>
    <x v="2"/>
    <s v="rinirukmini@email.com"/>
    <s v="082635882159"/>
  </r>
  <r>
    <s v="EMP0548"/>
    <s v="Ichsan Faturachman"/>
    <x v="0"/>
    <d v="1996-12-12T00:00:00"/>
    <d v="2022-05-06T00:00:00"/>
    <x v="0"/>
    <x v="0"/>
    <x v="0"/>
    <s v="ichsanfaturachman@email.com"/>
    <s v="082595663986"/>
  </r>
  <r>
    <s v="EMP0549"/>
    <s v="Nur Alfinatussadiyah"/>
    <x v="1"/>
    <d v="2003-03-20T00:00:00"/>
    <d v="2025-03-20T00:00:00"/>
    <x v="0"/>
    <x v="0"/>
    <x v="2"/>
    <s v="nuralfinatussadiyah@email.com"/>
    <s v="083490097725"/>
  </r>
  <r>
    <s v="EMP0550"/>
    <s v="James Martin"/>
    <x v="0"/>
    <d v="1993-11-26T00:00:00"/>
    <d v="2021-05-24T00:00:00"/>
    <x v="4"/>
    <x v="4"/>
    <x v="0"/>
    <s v="jamesmartin@email.com"/>
    <s v="085509683631"/>
  </r>
  <r>
    <s v="EMP0551"/>
    <s v="Iis Istikomah"/>
    <x v="1"/>
    <d v="1985-04-13T00:00:00"/>
    <d v="2020-10-28T00:00:00"/>
    <x v="0"/>
    <x v="0"/>
    <x v="0"/>
    <s v="iisistikomah@email.com"/>
    <s v="081417824590"/>
  </r>
  <r>
    <s v="EMP0552"/>
    <s v="Uswatun Hasanah"/>
    <x v="1"/>
    <d v="1990-10-04T00:00:00"/>
    <d v="2025-08-28T00:00:00"/>
    <x v="1"/>
    <x v="1"/>
    <x v="2"/>
    <s v="uswatunhasanah@email.com"/>
    <s v="085387540711"/>
  </r>
  <r>
    <s v="EMP0553"/>
    <s v="Lia"/>
    <x v="1"/>
    <d v="1989-11-28T00:00:00"/>
    <d v="2022-02-02T00:00:00"/>
    <x v="0"/>
    <x v="0"/>
    <x v="0"/>
    <s v="lia@email.com"/>
    <s v="082933502810"/>
  </r>
  <r>
    <s v="EMP0554"/>
    <s v="Eka Nurmala Sari"/>
    <x v="1"/>
    <d v="1993-06-27T00:00:00"/>
    <d v="2024-05-24T00:00:00"/>
    <x v="0"/>
    <x v="0"/>
    <x v="1"/>
    <s v="ekanurmalasari@email.com"/>
    <s v="080736563590"/>
  </r>
  <r>
    <s v="EMP0555"/>
    <s v="Novita Sari"/>
    <x v="1"/>
    <d v="1995-09-25T00:00:00"/>
    <d v="2023-11-06T00:00:00"/>
    <x v="0"/>
    <x v="0"/>
    <x v="2"/>
    <s v="novitasari@email.com"/>
    <s v="081134257765"/>
  </r>
  <r>
    <s v="EMP0556"/>
    <s v="Nugroho Adi Wicaksono"/>
    <x v="0"/>
    <d v="1989-06-04T00:00:00"/>
    <d v="2025-07-04T00:00:00"/>
    <x v="5"/>
    <x v="5"/>
    <x v="1"/>
    <s v="nugrohoadiwicaksono@email.com"/>
    <s v="083802734890"/>
  </r>
  <r>
    <s v="EMP0557"/>
    <s v="Wahyu Ningsih"/>
    <x v="1"/>
    <d v="1998-08-01T00:00:00"/>
    <d v="2025-07-11T00:00:00"/>
    <x v="0"/>
    <x v="0"/>
    <x v="2"/>
    <s v="wahyuningsih@email.com"/>
    <s v="084314168765"/>
  </r>
  <r>
    <s v="EMP0558"/>
    <s v="Ananda Putra Nugraha"/>
    <x v="0"/>
    <d v="1986-04-04T00:00:00"/>
    <d v="2021-10-30T00:00:00"/>
    <x v="4"/>
    <x v="4"/>
    <x v="0"/>
    <s v="anandaputranugraha@email.com"/>
    <s v="085699118440"/>
  </r>
  <r>
    <s v="EMP0559"/>
    <s v="Wahyuni"/>
    <x v="1"/>
    <d v="1990-12-15T00:00:00"/>
    <d v="2023-02-18T00:00:00"/>
    <x v="0"/>
    <x v="0"/>
    <x v="1"/>
    <s v="wahyuni@email.com"/>
    <s v="083512199179"/>
  </r>
  <r>
    <s v="EMP0560"/>
    <s v="Umi Mayada"/>
    <x v="1"/>
    <d v="1991-10-01T00:00:00"/>
    <d v="2019-08-01T00:00:00"/>
    <x v="0"/>
    <x v="0"/>
    <x v="0"/>
    <s v="umimayada@email.com"/>
    <s v="080404807742"/>
  </r>
  <r>
    <s v="EMP0561"/>
    <s v="Muhamad Zaki Zam Zami"/>
    <x v="0"/>
    <d v="1989-04-25T00:00:00"/>
    <d v="2023-09-15T00:00:00"/>
    <x v="0"/>
    <x v="0"/>
    <x v="2"/>
    <s v="muhamadzakizamzami@email.com"/>
    <s v="082222573203"/>
  </r>
  <r>
    <s v="EMP0562"/>
    <s v="Dede Ica Seftiani"/>
    <x v="1"/>
    <d v="1990-12-18T00:00:00"/>
    <d v="2018-12-15T00:00:00"/>
    <x v="0"/>
    <x v="0"/>
    <x v="2"/>
    <s v="dedeicaseftiani@email.com"/>
    <s v="088011073434"/>
  </r>
  <r>
    <s v="EMP0563"/>
    <s v="Rifa Atul Ghonimah"/>
    <x v="1"/>
    <d v="1991-07-15T00:00:00"/>
    <d v="2022-10-31T00:00:00"/>
    <x v="1"/>
    <x v="1"/>
    <x v="1"/>
    <s v="rifaatulghonimah@email.com"/>
    <s v="080715372474"/>
  </r>
  <r>
    <s v="EMP0564"/>
    <s v="Khofifatul Maula"/>
    <x v="1"/>
    <d v="1997-02-06T00:00:00"/>
    <d v="2018-03-29T00:00:00"/>
    <x v="0"/>
    <x v="0"/>
    <x v="1"/>
    <s v="khofifatulmaula@email.com"/>
    <s v="088995623253"/>
  </r>
  <r>
    <s v="EMP0565"/>
    <s v="Muhammad Aqiel Baehaqie"/>
    <x v="0"/>
    <d v="2000-09-13T00:00:00"/>
    <d v="2020-12-01T00:00:00"/>
    <x v="0"/>
    <x v="0"/>
    <x v="0"/>
    <s v="muhammadaqielbaehaqie@email.com"/>
    <s v="087397320568"/>
  </r>
  <r>
    <s v="EMP0566"/>
    <s v="Indah Lestari"/>
    <x v="1"/>
    <d v="1989-10-25T00:00:00"/>
    <d v="2025-01-26T00:00:00"/>
    <x v="0"/>
    <x v="0"/>
    <x v="2"/>
    <s v="indahlestari@email.com"/>
    <s v="085817065286"/>
  </r>
  <r>
    <s v="EMP0567"/>
    <s v="Muhamad Yunus"/>
    <x v="0"/>
    <d v="1991-09-09T00:00:00"/>
    <d v="2022-12-11T00:00:00"/>
    <x v="0"/>
    <x v="0"/>
    <x v="0"/>
    <s v="muhamadyunus@email.com"/>
    <s v="084841699700"/>
  </r>
  <r>
    <s v="EMP0568"/>
    <s v="Nur Saibah"/>
    <x v="1"/>
    <d v="1987-04-19T00:00:00"/>
    <d v="2019-08-26T00:00:00"/>
    <x v="0"/>
    <x v="0"/>
    <x v="0"/>
    <s v="nursaibah@email.com"/>
    <s v="088297830730"/>
  </r>
  <r>
    <s v="EMP0569"/>
    <s v="Nola Mutiara Sagita"/>
    <x v="1"/>
    <d v="2003-04-26T00:00:00"/>
    <d v="2019-08-03T00:00:00"/>
    <x v="0"/>
    <x v="0"/>
    <x v="1"/>
    <s v="nolamutiarasagita@email.com"/>
    <s v="085319060960"/>
  </r>
  <r>
    <s v="EMP0570"/>
    <s v="Sonya Selviyani Inkiriwang"/>
    <x v="1"/>
    <d v="1998-09-06T00:00:00"/>
    <d v="2019-08-11T00:00:00"/>
    <x v="0"/>
    <x v="0"/>
    <x v="0"/>
    <s v="sonyaselviyaniinkiriwang@email.com"/>
    <s v="084231604196"/>
  </r>
  <r>
    <s v="EMP0571"/>
    <s v="Wiwi Ardiani"/>
    <x v="1"/>
    <d v="1992-11-13T00:00:00"/>
    <d v="2019-10-21T00:00:00"/>
    <x v="1"/>
    <x v="1"/>
    <x v="2"/>
    <s v="wiwiardiani@email.com"/>
    <s v="087908247603"/>
  </r>
  <r>
    <s v="EMP0572"/>
    <s v="Desi Listiani"/>
    <x v="1"/>
    <d v="1999-09-25T00:00:00"/>
    <d v="2021-08-02T00:00:00"/>
    <x v="1"/>
    <x v="1"/>
    <x v="2"/>
    <s v="desilistiani@email.com"/>
    <s v="087996517078"/>
  </r>
  <r>
    <s v="EMP0573"/>
    <s v="Idan Sultan Valentina"/>
    <x v="0"/>
    <d v="1992-05-28T00:00:00"/>
    <d v="2018-01-18T00:00:00"/>
    <x v="5"/>
    <x v="5"/>
    <x v="0"/>
    <s v="idansultanvalentina@email.com"/>
    <s v="081149004236"/>
  </r>
  <r>
    <s v="EMP0574"/>
    <s v="Diana Pertiwi"/>
    <x v="1"/>
    <d v="2002-11-02T00:00:00"/>
    <d v="2018-11-02T00:00:00"/>
    <x v="0"/>
    <x v="0"/>
    <x v="0"/>
    <s v="dianapertiwi@email.com"/>
    <s v="082416998598"/>
  </r>
  <r>
    <s v="EMP0575"/>
    <s v="Bujana Maulana Pangestu"/>
    <x v="0"/>
    <d v="1985-08-03T00:00:00"/>
    <d v="2024-05-31T00:00:00"/>
    <x v="5"/>
    <x v="5"/>
    <x v="2"/>
    <s v="bujanamaulanapangestu@email.com"/>
    <s v="081080639764"/>
  </r>
  <r>
    <s v="EMP0576"/>
    <s v="Nurochmah"/>
    <x v="1"/>
    <d v="1993-11-11T00:00:00"/>
    <d v="2018-07-22T00:00:00"/>
    <x v="0"/>
    <x v="0"/>
    <x v="0"/>
    <s v="nurochmah@email.com"/>
    <s v="083776409704"/>
  </r>
  <r>
    <s v="EMP0577"/>
    <s v="Nabilatun Munawaroh"/>
    <x v="1"/>
    <d v="1998-04-22T00:00:00"/>
    <d v="2025-08-11T00:00:00"/>
    <x v="0"/>
    <x v="0"/>
    <x v="0"/>
    <s v="nabilatunmunawaroh@email.com"/>
    <s v="084472733214"/>
  </r>
  <r>
    <s v="EMP0578"/>
    <s v="Fransisca Lidya Ningrum"/>
    <x v="1"/>
    <d v="1996-09-29T00:00:00"/>
    <d v="2025-01-19T00:00:00"/>
    <x v="0"/>
    <x v="0"/>
    <x v="2"/>
    <s v="fransiscalidyaningrum@email.com"/>
    <s v="080782341909"/>
  </r>
  <r>
    <s v="EMP0579"/>
    <s v="Shindy Meizy"/>
    <x v="1"/>
    <d v="1992-07-06T00:00:00"/>
    <d v="2023-06-02T00:00:00"/>
    <x v="1"/>
    <x v="1"/>
    <x v="2"/>
    <s v="shindymeizy@email.com"/>
    <s v="083087491205"/>
  </r>
  <r>
    <s v="EMP0580"/>
    <s v="Awangga Dida Putranto"/>
    <x v="0"/>
    <d v="1991-01-27T00:00:00"/>
    <d v="2024-01-08T00:00:00"/>
    <x v="0"/>
    <x v="0"/>
    <x v="0"/>
    <s v="awanggadidaputranto@email.com"/>
    <s v="083719273778"/>
  </r>
  <r>
    <s v="EMP0581"/>
    <s v="Sri Wulandari"/>
    <x v="1"/>
    <d v="2001-02-25T00:00:00"/>
    <d v="2023-05-12T00:00:00"/>
    <x v="0"/>
    <x v="0"/>
    <x v="2"/>
    <s v="sriwulandari@email.com"/>
    <s v="086782050752"/>
  </r>
  <r>
    <s v="EMP0582"/>
    <s v="Windiya Hastuti"/>
    <x v="1"/>
    <d v="2002-12-25T00:00:00"/>
    <d v="2018-01-09T00:00:00"/>
    <x v="0"/>
    <x v="0"/>
    <x v="0"/>
    <s v="windiyahastuti@email.com"/>
    <s v="081043616487"/>
  </r>
  <r>
    <s v="EMP0583"/>
    <s v="Meisya Anggi Lizayanti"/>
    <x v="1"/>
    <d v="1997-02-04T00:00:00"/>
    <d v="2019-08-19T00:00:00"/>
    <x v="0"/>
    <x v="0"/>
    <x v="0"/>
    <s v="meisyaanggilizayanti@email.com"/>
    <s v="085887582852"/>
  </r>
  <r>
    <s v="EMP0584"/>
    <s v="Dede Andriani"/>
    <x v="1"/>
    <d v="1990-03-26T00:00:00"/>
    <d v="2018-09-27T00:00:00"/>
    <x v="0"/>
    <x v="0"/>
    <x v="2"/>
    <s v="dedeandriani@email.com"/>
    <s v="083861996460"/>
  </r>
  <r>
    <s v="EMP0585"/>
    <s v="Tri Winda Sulistia Asih"/>
    <x v="1"/>
    <d v="1987-02-18T00:00:00"/>
    <d v="2024-01-06T00:00:00"/>
    <x v="0"/>
    <x v="0"/>
    <x v="0"/>
    <s v="triwindasulistiaasih@email.com"/>
    <s v="080038064378"/>
  </r>
  <r>
    <s v="EMP0586"/>
    <s v="Nur Halizah"/>
    <x v="1"/>
    <d v="1991-08-10T00:00:00"/>
    <d v="2021-08-03T00:00:00"/>
    <x v="0"/>
    <x v="0"/>
    <x v="2"/>
    <s v="nurhalizah@email.com"/>
    <s v="089948261902"/>
  </r>
  <r>
    <s v="EMP0587"/>
    <s v="Nursanti"/>
    <x v="1"/>
    <d v="1993-03-10T00:00:00"/>
    <d v="2021-11-22T00:00:00"/>
    <x v="1"/>
    <x v="1"/>
    <x v="1"/>
    <s v="nursanti@email.com"/>
    <s v="082173250913"/>
  </r>
  <r>
    <s v="EMP0588"/>
    <s v="Indra Valendra"/>
    <x v="0"/>
    <d v="1993-02-07T00:00:00"/>
    <d v="2023-10-25T00:00:00"/>
    <x v="0"/>
    <x v="0"/>
    <x v="1"/>
    <s v="indravalendra@email.com"/>
    <s v="089756465588"/>
  </r>
  <r>
    <s v="EMP0589"/>
    <s v="Bintang Ramadhani"/>
    <x v="1"/>
    <d v="1991-03-19T00:00:00"/>
    <d v="2024-10-01T00:00:00"/>
    <x v="1"/>
    <x v="1"/>
    <x v="0"/>
    <s v="bintangramadhani@email.com"/>
    <s v="089756465589"/>
  </r>
  <r>
    <s v="EMP0590"/>
    <s v="Dandi Pujiyono"/>
    <x v="0"/>
    <d v="1996-12-30T00:00:00"/>
    <d v="2025-03-30T00:00:00"/>
    <x v="5"/>
    <x v="5"/>
    <x v="1"/>
    <s v="dandipujiyono@email.com"/>
    <s v="082769286450"/>
  </r>
  <r>
    <s v="EMP0591"/>
    <s v="Tyas Anggreini Widyawati"/>
    <x v="1"/>
    <d v="1986-04-01T00:00:00"/>
    <d v="2021-06-20T00:00:00"/>
    <x v="0"/>
    <x v="0"/>
    <x v="2"/>
    <s v="tyasanggreiniwidyawati@email.com"/>
    <s v="0820802079"/>
  </r>
  <r>
    <s v="EMP0592"/>
    <s v="Amalia Novitasari"/>
    <x v="1"/>
    <d v="2001-02-04T00:00:00"/>
    <d v="2019-08-16T00:00:00"/>
    <x v="0"/>
    <x v="0"/>
    <x v="0"/>
    <s v="amalianovitasari@email.com"/>
    <s v="088854939439"/>
  </r>
  <r>
    <s v="EMP0593"/>
    <s v="Mas Ayu Setyawati"/>
    <x v="1"/>
    <d v="1989-06-21T00:00:00"/>
    <d v="2020-10-30T00:00:00"/>
    <x v="0"/>
    <x v="0"/>
    <x v="2"/>
    <s v="masayusetyawati@email.com"/>
    <s v="089305776942"/>
  </r>
  <r>
    <s v="EMP0594"/>
    <s v="Riandika Pramudya"/>
    <x v="0"/>
    <d v="1995-11-05T00:00:00"/>
    <d v="2021-02-26T00:00:00"/>
    <x v="0"/>
    <x v="0"/>
    <x v="2"/>
    <s v="riandikapramudya@email.com"/>
    <s v="083799361690"/>
  </r>
  <r>
    <s v="EMP0595"/>
    <s v="Indah Tawakalni"/>
    <x v="1"/>
    <d v="1991-02-08T00:00:00"/>
    <d v="2021-11-16T00:00:00"/>
    <x v="0"/>
    <x v="0"/>
    <x v="1"/>
    <s v="indahtawakalni@email.com"/>
    <s v="081984769125"/>
  </r>
  <r>
    <s v="EMP0596"/>
    <s v="Citra Ayu Tifani"/>
    <x v="1"/>
    <d v="2002-09-14T00:00:00"/>
    <d v="2022-04-26T00:00:00"/>
    <x v="0"/>
    <x v="0"/>
    <x v="2"/>
    <s v="citraayutifani@email.com"/>
    <s v="080472532595"/>
  </r>
  <r>
    <s v="EMP0597"/>
    <s v="Sintia"/>
    <x v="1"/>
    <d v="1994-10-23T00:00:00"/>
    <d v="2019-10-25T00:00:00"/>
    <x v="0"/>
    <x v="0"/>
    <x v="0"/>
    <s v="sintia@email.com"/>
    <s v="085270177541"/>
  </r>
  <r>
    <s v="EMP0598"/>
    <s v="Wakhidah Nova Annisa"/>
    <x v="1"/>
    <d v="1995-02-05T00:00:00"/>
    <d v="2023-11-21T00:00:00"/>
    <x v="0"/>
    <x v="0"/>
    <x v="0"/>
    <s v="wakhidahnovaannisa@email.com"/>
    <s v="085202060964"/>
  </r>
  <r>
    <s v="EMP0599"/>
    <s v="Eka Widia Astuti"/>
    <x v="1"/>
    <d v="1995-05-18T00:00:00"/>
    <d v="2019-04-16T00:00:00"/>
    <x v="0"/>
    <x v="0"/>
    <x v="0"/>
    <s v="ekawidiaastuti@email.com"/>
    <s v="085790657796"/>
  </r>
  <r>
    <s v="EMP0600"/>
    <s v="Puput Aprilia"/>
    <x v="1"/>
    <d v="1993-07-01T00:00:00"/>
    <d v="2018-11-22T00:00:00"/>
    <x v="1"/>
    <x v="1"/>
    <x v="0"/>
    <s v="puputaprilia@email.com"/>
    <s v="088366315066"/>
  </r>
  <r>
    <s v="EMP0601"/>
    <s v="Tina"/>
    <x v="1"/>
    <d v="1997-12-06T00:00:00"/>
    <d v="2024-06-30T00:00:00"/>
    <x v="0"/>
    <x v="0"/>
    <x v="0"/>
    <s v="tina@email.com"/>
    <s v="089521059189"/>
  </r>
  <r>
    <s v="EMP0602"/>
    <s v="Isna Rijal Mukti"/>
    <x v="0"/>
    <d v="1986-06-04T00:00:00"/>
    <d v="2023-01-11T00:00:00"/>
    <x v="0"/>
    <x v="0"/>
    <x v="2"/>
    <s v="isnarijalmukti@email.com"/>
    <s v="083567378807"/>
  </r>
  <r>
    <s v="EMP0603"/>
    <s v="Elza Rahastri"/>
    <x v="1"/>
    <d v="1997-12-02T00:00:00"/>
    <d v="2024-02-23T00:00:00"/>
    <x v="1"/>
    <x v="1"/>
    <x v="1"/>
    <s v="elzarahastri@email.com"/>
    <s v="085990992811"/>
  </r>
  <r>
    <s v="EMP0604"/>
    <s v="Lia Purwati"/>
    <x v="1"/>
    <d v="1997-02-10T00:00:00"/>
    <d v="2018-06-03T00:00:00"/>
    <x v="0"/>
    <x v="0"/>
    <x v="2"/>
    <s v="liapurwati@email.com"/>
    <s v="085410978786"/>
  </r>
  <r>
    <s v="EMP0605"/>
    <s v="Ayyesa Dyah Pusparini"/>
    <x v="1"/>
    <d v="1999-01-15T00:00:00"/>
    <d v="2021-10-21T00:00:00"/>
    <x v="1"/>
    <x v="1"/>
    <x v="0"/>
    <s v="ayyesadyahpusparini@email.com"/>
    <s v="086279657892"/>
  </r>
  <r>
    <s v="EMP0606"/>
    <s v="Siti Amalia"/>
    <x v="1"/>
    <d v="1999-02-15T00:00:00"/>
    <d v="2023-06-22T00:00:00"/>
    <x v="0"/>
    <x v="0"/>
    <x v="0"/>
    <s v="sitiamalia@email.com"/>
    <s v="088906323020"/>
  </r>
  <r>
    <s v="EMP0607"/>
    <s v="Intan Meilani"/>
    <x v="1"/>
    <d v="1986-06-17T00:00:00"/>
    <d v="2020-02-09T00:00:00"/>
    <x v="0"/>
    <x v="0"/>
    <x v="1"/>
    <s v="intanmeilani@email.com"/>
    <s v="087549117184"/>
  </r>
  <r>
    <s v="EMP0608"/>
    <s v="Arip Saripudin"/>
    <x v="0"/>
    <d v="1990-04-21T00:00:00"/>
    <d v="2023-01-26T00:00:00"/>
    <x v="0"/>
    <x v="0"/>
    <x v="2"/>
    <s v="aripsaripudin@email.com"/>
    <s v="084209331576"/>
  </r>
  <r>
    <s v="EMP0609"/>
    <s v="Kartika Komalasari"/>
    <x v="1"/>
    <d v="1991-10-10T00:00:00"/>
    <d v="2018-10-27T00:00:00"/>
    <x v="0"/>
    <x v="0"/>
    <x v="1"/>
    <s v="kartikakomalasari@email.com"/>
    <s v="082713486459"/>
  </r>
  <r>
    <s v="EMP0610"/>
    <s v="Siti Komariyah"/>
    <x v="1"/>
    <d v="1992-03-24T00:00:00"/>
    <d v="2021-02-01T00:00:00"/>
    <x v="0"/>
    <x v="0"/>
    <x v="2"/>
    <s v="sitikomariyah@email.com"/>
    <s v="081489647412"/>
  </r>
  <r>
    <s v="EMP0611"/>
    <s v="Arif Wakhyudin"/>
    <x v="0"/>
    <d v="1991-01-21T00:00:00"/>
    <d v="2023-12-10T00:00:00"/>
    <x v="0"/>
    <x v="0"/>
    <x v="0"/>
    <s v="arifwakhyudin@email.com"/>
    <s v="0801463985"/>
  </r>
  <r>
    <s v="EMP0612"/>
    <s v="Gus Hafit"/>
    <x v="0"/>
    <d v="1992-05-17T00:00:00"/>
    <d v="2021-01-17T00:00:00"/>
    <x v="5"/>
    <x v="5"/>
    <x v="1"/>
    <s v="gushafit@email.com"/>
    <s v="085385066665"/>
  </r>
  <r>
    <s v="EMP0613"/>
    <s v="Unsi Dharma Agensi"/>
    <x v="0"/>
    <d v="1999-02-15T00:00:00"/>
    <d v="2025-04-26T00:00:00"/>
    <x v="4"/>
    <x v="4"/>
    <x v="1"/>
    <s v="unsidharmaagensi@email.com"/>
    <s v="082933587127"/>
  </r>
  <r>
    <s v="EMP0614"/>
    <s v="Muhamad Adi Ajiyanto"/>
    <x v="0"/>
    <d v="1989-06-20T00:00:00"/>
    <d v="2019-11-19T00:00:00"/>
    <x v="5"/>
    <x v="5"/>
    <x v="2"/>
    <s v="muhamadadiajiyanto@email.com"/>
    <s v="0814652233"/>
  </r>
  <r>
    <s v="EMP0615"/>
    <s v="Muji Purnomo"/>
    <x v="0"/>
    <d v="1988-08-02T00:00:00"/>
    <d v="2020-03-10T00:00:00"/>
    <x v="5"/>
    <x v="5"/>
    <x v="0"/>
    <s v="mujipurnomo@email.com"/>
    <s v="086091259501"/>
  </r>
  <r>
    <s v="EMP0616"/>
    <s v="Zuhriyah Adzra Zharifah"/>
    <x v="1"/>
    <d v="1988-03-01T00:00:00"/>
    <d v="2022-05-19T00:00:00"/>
    <x v="1"/>
    <x v="1"/>
    <x v="1"/>
    <s v="zuhriyahadzrazharifah@email.com"/>
    <s v="085994492572"/>
  </r>
  <r>
    <s v="EMP0617"/>
    <s v="Joni Purba"/>
    <x v="0"/>
    <d v="1992-10-20T00:00:00"/>
    <d v="2023-03-25T00:00:00"/>
    <x v="4"/>
    <x v="4"/>
    <x v="1"/>
    <s v="jonipurba@email.com"/>
    <s v="085423083012"/>
  </r>
  <r>
    <s v="EMP0618"/>
    <s v="Mita Amelia Salvina"/>
    <x v="1"/>
    <d v="2000-11-28T00:00:00"/>
    <d v="2018-04-24T00:00:00"/>
    <x v="0"/>
    <x v="0"/>
    <x v="1"/>
    <s v="mitaameliasalvina@email.com"/>
    <s v="082033875712"/>
  </r>
  <r>
    <s v="EMP0619"/>
    <s v="Sri Hartati"/>
    <x v="1"/>
    <d v="2001-11-22T00:00:00"/>
    <d v="2023-03-18T00:00:00"/>
    <x v="0"/>
    <x v="0"/>
    <x v="0"/>
    <s v="srihartati@email.com"/>
    <s v="084907118729"/>
  </r>
  <r>
    <s v="EMP0620"/>
    <s v="Liya Lestari"/>
    <x v="1"/>
    <d v="1990-05-03T00:00:00"/>
    <d v="2022-06-11T00:00:00"/>
    <x v="0"/>
    <x v="0"/>
    <x v="1"/>
    <s v="liyalestari@email.com"/>
    <s v="087544520449"/>
  </r>
  <r>
    <s v="EMP0621"/>
    <s v="Ari Putra Utama"/>
    <x v="0"/>
    <d v="1986-11-02T00:00:00"/>
    <d v="2018-09-27T00:00:00"/>
    <x v="0"/>
    <x v="0"/>
    <x v="2"/>
    <s v="ariputrautama@email.com"/>
    <s v="089756465590"/>
  </r>
  <r>
    <s v="EMP0622"/>
    <s v="Anita Agustin"/>
    <x v="1"/>
    <d v="1994-08-30T00:00:00"/>
    <d v="2025-04-04T00:00:00"/>
    <x v="0"/>
    <x v="0"/>
    <x v="2"/>
    <s v="anitaagustin@email.com"/>
    <s v="086067102036"/>
  </r>
  <r>
    <s v="EMP0623"/>
    <s v="Lilis Lisnawati"/>
    <x v="1"/>
    <d v="1994-08-21T00:00:00"/>
    <d v="2018-02-16T00:00:00"/>
    <x v="0"/>
    <x v="0"/>
    <x v="0"/>
    <s v="lilislisnawati@email.com"/>
    <s v="080859889094"/>
  </r>
  <r>
    <s v="EMP0624"/>
    <s v="Sri Wulan Agustina"/>
    <x v="1"/>
    <d v="1997-01-02T00:00:00"/>
    <d v="2022-03-11T00:00:00"/>
    <x v="0"/>
    <x v="0"/>
    <x v="1"/>
    <s v="sriwulanagustina@email.com"/>
    <s v="089756465591"/>
  </r>
  <r>
    <s v="EMP0625"/>
    <s v="Winda Ayuningtiyas"/>
    <x v="1"/>
    <d v="1992-08-22T00:00:00"/>
    <d v="2019-01-31T00:00:00"/>
    <x v="0"/>
    <x v="0"/>
    <x v="0"/>
    <s v="windaayuningtiyas@email.com"/>
    <s v="086682960880"/>
  </r>
  <r>
    <s v="EMP0626"/>
    <s v="Khoiriya"/>
    <x v="1"/>
    <d v="1989-09-25T00:00:00"/>
    <d v="2021-02-04T00:00:00"/>
    <x v="0"/>
    <x v="0"/>
    <x v="0"/>
    <s v="khoiriya@email.com"/>
    <s v="087263215799"/>
  </r>
  <r>
    <s v="EMP0627"/>
    <s v="Saeful Arifin"/>
    <x v="0"/>
    <d v="1991-11-20T00:00:00"/>
    <d v="2024-02-14T00:00:00"/>
    <x v="0"/>
    <x v="0"/>
    <x v="2"/>
    <s v="saefularifin@email.com"/>
    <s v="080463687994"/>
  </r>
  <r>
    <s v="EMP0628"/>
    <s v="Ari Maulana Yudha Pratama"/>
    <x v="0"/>
    <d v="1987-05-06T00:00:00"/>
    <d v="2023-04-11T00:00:00"/>
    <x v="4"/>
    <x v="4"/>
    <x v="1"/>
    <s v="arimaulanayudhapratama@email.com"/>
    <s v="080527207988"/>
  </r>
  <r>
    <s v="EMP0629"/>
    <s v="Aulita Lasya Anggreani"/>
    <x v="1"/>
    <d v="1998-01-01T00:00:00"/>
    <d v="2018-06-06T00:00:00"/>
    <x v="0"/>
    <x v="0"/>
    <x v="0"/>
    <s v="aulitalasyaanggreani@email.com"/>
    <s v="088028721917"/>
  </r>
  <r>
    <s v="EMP0630"/>
    <s v="Ananda Anis Pratama"/>
    <x v="1"/>
    <d v="1989-10-07T00:00:00"/>
    <d v="2021-10-25T00:00:00"/>
    <x v="0"/>
    <x v="0"/>
    <x v="0"/>
    <s v="anandaanispratama@email.com"/>
    <s v="089756465592"/>
  </r>
  <r>
    <s v="EMP0631"/>
    <s v="Ade Nurul Khofifah"/>
    <x v="1"/>
    <d v="1995-05-24T00:00:00"/>
    <d v="2024-04-02T00:00:00"/>
    <x v="0"/>
    <x v="0"/>
    <x v="0"/>
    <s v="adenurulkhofifah@email.com"/>
    <s v="081900828777"/>
  </r>
  <r>
    <s v="EMP0632"/>
    <s v="Nisa Astiya Ramadhani"/>
    <x v="1"/>
    <d v="2003-10-01T00:00:00"/>
    <d v="2019-09-22T00:00:00"/>
    <x v="1"/>
    <x v="1"/>
    <x v="0"/>
    <s v="nisaastiyaramadhani@email.com"/>
    <s v="085177776128"/>
  </r>
  <r>
    <s v="EMP0633"/>
    <s v="Lilis Utami"/>
    <x v="1"/>
    <d v="1988-11-08T00:00:00"/>
    <d v="2023-02-15T00:00:00"/>
    <x v="0"/>
    <x v="0"/>
    <x v="0"/>
    <s v="lilisutami@email.com"/>
    <s v="080226766369"/>
  </r>
  <r>
    <s v="EMP0634"/>
    <s v="Fasikhatun"/>
    <x v="1"/>
    <d v="1994-02-04T00:00:00"/>
    <d v="2019-12-17T00:00:00"/>
    <x v="0"/>
    <x v="0"/>
    <x v="0"/>
    <s v="fasikhatun@email.com"/>
    <s v="0847071151"/>
  </r>
  <r>
    <s v="EMP0635"/>
    <s v="Akhmad Hamzah"/>
    <x v="0"/>
    <d v="2002-07-06T00:00:00"/>
    <d v="2021-04-30T00:00:00"/>
    <x v="0"/>
    <x v="0"/>
    <x v="1"/>
    <s v="akhmadhamzah@email.com"/>
    <s v="081745907951"/>
  </r>
  <r>
    <s v="EMP0636"/>
    <s v="Naelu Saadah"/>
    <x v="1"/>
    <d v="1992-09-30T00:00:00"/>
    <d v="2022-03-02T00:00:00"/>
    <x v="0"/>
    <x v="0"/>
    <x v="0"/>
    <s v="naelusaadah@email.com"/>
    <s v="082892596366"/>
  </r>
  <r>
    <s v="EMP0637"/>
    <s v="Faidatun Nufus"/>
    <x v="1"/>
    <d v="1989-05-05T00:00:00"/>
    <d v="2022-04-08T00:00:00"/>
    <x v="0"/>
    <x v="0"/>
    <x v="0"/>
    <s v="faidatunnufus@email.com"/>
    <s v="080136223664"/>
  </r>
  <r>
    <s v="EMP0638"/>
    <s v="Khalimatul Sadiyah"/>
    <x v="1"/>
    <d v="1989-01-21T00:00:00"/>
    <d v="2022-09-20T00:00:00"/>
    <x v="0"/>
    <x v="0"/>
    <x v="2"/>
    <s v="khalimatulsadiyah@email.com"/>
    <s v="088833502465"/>
  </r>
  <r>
    <s v="EMP0639"/>
    <s v="Feni Wardatus Solikha"/>
    <x v="1"/>
    <d v="1997-10-11T00:00:00"/>
    <d v="2021-08-05T00:00:00"/>
    <x v="0"/>
    <x v="0"/>
    <x v="0"/>
    <s v="feniwardatussolikha@email.com"/>
    <s v="081915826939"/>
  </r>
  <r>
    <s v="EMP0640"/>
    <s v="Kemal Arida Ghani"/>
    <x v="0"/>
    <d v="1996-07-03T00:00:00"/>
    <d v="2023-11-15T00:00:00"/>
    <x v="0"/>
    <x v="0"/>
    <x v="2"/>
    <s v="kemalaridaghani@email.com"/>
    <s v="088384741605"/>
  </r>
  <r>
    <s v="EMP0641"/>
    <s v="Raisya Chelseana"/>
    <x v="1"/>
    <d v="1986-06-01T00:00:00"/>
    <d v="2023-03-22T00:00:00"/>
    <x v="0"/>
    <x v="0"/>
    <x v="2"/>
    <s v="raisyachelseana@email.com"/>
    <s v="087772408157"/>
  </r>
  <r>
    <s v="EMP0642"/>
    <s v="Ari Munandar"/>
    <x v="0"/>
    <d v="2002-03-05T00:00:00"/>
    <d v="2020-06-02T00:00:00"/>
    <x v="4"/>
    <x v="4"/>
    <x v="0"/>
    <s v="arimunandar@email.com"/>
    <s v="083075620150"/>
  </r>
  <r>
    <s v="EMP0643"/>
    <s v="Diinah"/>
    <x v="1"/>
    <d v="2001-04-17T00:00:00"/>
    <d v="2021-12-27T00:00:00"/>
    <x v="0"/>
    <x v="0"/>
    <x v="0"/>
    <s v="diinah@email.com"/>
    <s v="083451065950"/>
  </r>
  <r>
    <s v="EMP0644"/>
    <s v="Nasya Isna Saadah"/>
    <x v="1"/>
    <d v="2000-07-30T00:00:00"/>
    <d v="2018-04-21T00:00:00"/>
    <x v="0"/>
    <x v="0"/>
    <x v="2"/>
    <s v="nasyaisnasaadah@email.com"/>
    <s v="081252290975"/>
  </r>
  <r>
    <s v="EMP0645"/>
    <s v="Dea Rahmadani"/>
    <x v="1"/>
    <d v="1986-03-28T00:00:00"/>
    <d v="2020-01-29T00:00:00"/>
    <x v="0"/>
    <x v="0"/>
    <x v="1"/>
    <s v="dearahmadani@email.com"/>
    <s v="086367542511"/>
  </r>
  <r>
    <s v="EMP0646"/>
    <s v="Cahhayu Agustin"/>
    <x v="1"/>
    <d v="1993-03-31T00:00:00"/>
    <d v="2023-04-16T00:00:00"/>
    <x v="0"/>
    <x v="0"/>
    <x v="0"/>
    <s v="cahhayuagustin@email.com"/>
    <s v="082504790886"/>
  </r>
  <r>
    <s v="EMP0647"/>
    <s v="Siska Vigiastuti"/>
    <x v="1"/>
    <d v="1989-12-30T00:00:00"/>
    <d v="2021-02-28T00:00:00"/>
    <x v="0"/>
    <x v="0"/>
    <x v="2"/>
    <s v="siskavigiastuti@email.com"/>
    <s v="087180184557"/>
  </r>
  <r>
    <s v="EMP0648"/>
    <s v="Riski Nur Fadilah"/>
    <x v="0"/>
    <d v="1985-08-02T00:00:00"/>
    <d v="2020-08-27T00:00:00"/>
    <x v="5"/>
    <x v="5"/>
    <x v="0"/>
    <s v="riskinurfadilah@email.com"/>
    <s v="089571223069"/>
  </r>
  <r>
    <s v="EMP0649"/>
    <s v="Dewi Qomariyah"/>
    <x v="1"/>
    <d v="1991-08-19T00:00:00"/>
    <d v="2020-03-25T00:00:00"/>
    <x v="0"/>
    <x v="0"/>
    <x v="0"/>
    <s v="dewiqomariyah@email.com"/>
    <s v="085696592016"/>
  </r>
  <r>
    <s v="EMP0650"/>
    <s v="Anisa Arviyana"/>
    <x v="1"/>
    <d v="1992-08-16T00:00:00"/>
    <d v="2022-12-27T00:00:00"/>
    <x v="0"/>
    <x v="0"/>
    <x v="2"/>
    <s v="anisaarviyana@email.com"/>
    <s v="087620918437"/>
  </r>
  <r>
    <s v="EMP0651"/>
    <s v="Noviani"/>
    <x v="1"/>
    <d v="1995-12-03T00:00:00"/>
    <d v="2022-04-01T00:00:00"/>
    <x v="0"/>
    <x v="0"/>
    <x v="1"/>
    <s v="noviani@email.com"/>
    <s v="084251938118"/>
  </r>
  <r>
    <s v="EMP0652"/>
    <s v="Khoeril Husyain Al Hanif"/>
    <x v="0"/>
    <d v="1998-03-12T00:00:00"/>
    <d v="2025-07-08T00:00:00"/>
    <x v="4"/>
    <x v="4"/>
    <x v="0"/>
    <s v="khoerilhusyainalhanif@email.com"/>
    <s v="085997886860"/>
  </r>
  <r>
    <s v="EMP0653"/>
    <s v="Waliyul Mustofa"/>
    <x v="0"/>
    <d v="1991-04-26T00:00:00"/>
    <d v="2022-03-20T00:00:00"/>
    <x v="0"/>
    <x v="0"/>
    <x v="0"/>
    <s v="waliyulmustofa@email.com"/>
    <s v="080565182867"/>
  </r>
  <r>
    <s v="EMP0654"/>
    <s v="Lina Widiya Sari"/>
    <x v="1"/>
    <d v="1995-12-04T00:00:00"/>
    <d v="2018-05-09T00:00:00"/>
    <x v="1"/>
    <x v="1"/>
    <x v="2"/>
    <s v="linawidiyasari@email.com"/>
    <s v="089756465593"/>
  </r>
  <r>
    <s v="EMP0655"/>
    <s v="Bilal Dwi Pangestu"/>
    <x v="0"/>
    <d v="1990-06-09T00:00:00"/>
    <d v="2024-02-22T00:00:00"/>
    <x v="4"/>
    <x v="4"/>
    <x v="0"/>
    <s v="bilaldwipangestu@email.com"/>
    <s v="084330173158"/>
  </r>
  <r>
    <s v="EMP0656"/>
    <s v="Friska Dwinova"/>
    <x v="1"/>
    <d v="1994-10-13T00:00:00"/>
    <d v="2023-12-23T00:00:00"/>
    <x v="0"/>
    <x v="0"/>
    <x v="2"/>
    <s v="friskadwinova@email.com"/>
    <s v="081426475941"/>
  </r>
  <r>
    <s v="EMP0657"/>
    <s v="Lutfia Fitriyani"/>
    <x v="1"/>
    <d v="1986-08-30T00:00:00"/>
    <d v="2020-04-14T00:00:00"/>
    <x v="0"/>
    <x v="0"/>
    <x v="0"/>
    <s v="lutfiafitriyani@email.com"/>
    <s v="085012249453"/>
  </r>
  <r>
    <s v="EMP0658"/>
    <s v="Usni Basofi"/>
    <x v="0"/>
    <d v="1999-10-08T00:00:00"/>
    <d v="2019-07-01T00:00:00"/>
    <x v="4"/>
    <x v="4"/>
    <x v="0"/>
    <s v="usnibasofi@email.com"/>
    <s v="088725326276"/>
  </r>
  <r>
    <s v="EMP0659"/>
    <s v="Ummu Lailatussyifa"/>
    <x v="1"/>
    <d v="2000-03-31T00:00:00"/>
    <d v="2020-08-10T00:00:00"/>
    <x v="0"/>
    <x v="0"/>
    <x v="0"/>
    <s v="ummulailatussyifa@email.com"/>
    <s v="087794239494"/>
  </r>
  <r>
    <s v="EMP0660"/>
    <s v="Mega Sulis Setiawati"/>
    <x v="1"/>
    <d v="2001-04-20T00:00:00"/>
    <d v="2020-09-28T00:00:00"/>
    <x v="1"/>
    <x v="1"/>
    <x v="2"/>
    <s v="megasulissetiawati@email.com"/>
    <s v="088250059507"/>
  </r>
  <r>
    <s v="EMP0661"/>
    <s v="Muhammad Kurniadi"/>
    <x v="0"/>
    <d v="1991-10-09T00:00:00"/>
    <d v="2022-06-16T00:00:00"/>
    <x v="4"/>
    <x v="4"/>
    <x v="1"/>
    <s v="muhammadkurniadi@email.com"/>
    <s v="089522138302"/>
  </r>
  <r>
    <s v="EMP0662"/>
    <s v="Dimas Khoerul Imam"/>
    <x v="0"/>
    <d v="1988-03-30T00:00:00"/>
    <d v="2020-01-08T00:00:00"/>
    <x v="5"/>
    <x v="5"/>
    <x v="2"/>
    <s v="dimaskhoerulimam@email.com"/>
    <s v="085010006191"/>
  </r>
  <r>
    <s v="EMP0663"/>
    <s v="Rizki Listiawati"/>
    <x v="1"/>
    <d v="1990-11-06T00:00:00"/>
    <d v="2018-05-09T00:00:00"/>
    <x v="1"/>
    <x v="1"/>
    <x v="1"/>
    <s v="rizkilistiawati@email.com"/>
    <s v="081428911452"/>
  </r>
  <r>
    <s v="EMP0664"/>
    <s v="M Fatkhurohman"/>
    <x v="0"/>
    <d v="1993-11-22T00:00:00"/>
    <d v="2018-08-30T00:00:00"/>
    <x v="5"/>
    <x v="5"/>
    <x v="2"/>
    <s v="mfatkhurohman@email.com"/>
    <s v="088901268946"/>
  </r>
  <r>
    <s v="EMP0665"/>
    <s v="Yosti Yatin Romadhoni"/>
    <x v="0"/>
    <d v="2002-02-04T00:00:00"/>
    <d v="2025-02-21T00:00:00"/>
    <x v="0"/>
    <x v="0"/>
    <x v="2"/>
    <s v="yostiyatinromadhoni@email.com"/>
    <s v="086229488320"/>
  </r>
  <r>
    <s v="EMP0666"/>
    <s v="Neli Asmarani"/>
    <x v="1"/>
    <d v="1996-02-25T00:00:00"/>
    <d v="2018-08-22T00:00:00"/>
    <x v="0"/>
    <x v="0"/>
    <x v="0"/>
    <s v="neliasmarani@email.com"/>
    <s v="081220425000"/>
  </r>
  <r>
    <s v="EMP0667"/>
    <s v="Anah Mariyah Rosalia"/>
    <x v="1"/>
    <d v="1998-12-17T00:00:00"/>
    <d v="2024-01-28T00:00:00"/>
    <x v="0"/>
    <x v="0"/>
    <x v="1"/>
    <s v="anahmariyahrosalia@email.com"/>
    <s v="080764459661"/>
  </r>
  <r>
    <s v="EMP0668"/>
    <s v="Ibnu Jurjani"/>
    <x v="0"/>
    <d v="1990-03-15T00:00:00"/>
    <d v="2023-08-28T00:00:00"/>
    <x v="5"/>
    <x v="5"/>
    <x v="2"/>
    <s v="ibnujurjani@email.com"/>
    <s v="086465621089"/>
  </r>
  <r>
    <s v="EMP0669"/>
    <s v="Siti Hartini"/>
    <x v="1"/>
    <d v="1990-09-15T00:00:00"/>
    <d v="2022-01-07T00:00:00"/>
    <x v="0"/>
    <x v="0"/>
    <x v="1"/>
    <s v="sitihartini@email.com"/>
    <s v="089670270084"/>
  </r>
  <r>
    <s v="EMP0670"/>
    <s v="Aulia Khusna Cahyaningtyas"/>
    <x v="1"/>
    <d v="1992-04-19T00:00:00"/>
    <d v="2020-11-06T00:00:00"/>
    <x v="0"/>
    <x v="0"/>
    <x v="1"/>
    <s v="auliakhusnacahyaningtyas@email.com"/>
    <s v="083385405147"/>
  </r>
  <r>
    <s v="EMP0671"/>
    <s v="Salwa Nur Fauziah"/>
    <x v="1"/>
    <d v="2000-06-15T00:00:00"/>
    <d v="2024-02-04T00:00:00"/>
    <x v="0"/>
    <x v="0"/>
    <x v="1"/>
    <s v="salwanurfauziah@email.com"/>
    <s v="081869996666"/>
  </r>
  <r>
    <s v="EMP0672"/>
    <s v="Ratna Sulastri"/>
    <x v="1"/>
    <d v="1993-08-17T00:00:00"/>
    <d v="2018-08-21T00:00:00"/>
    <x v="0"/>
    <x v="0"/>
    <x v="0"/>
    <s v="ratnasulastri@email.com"/>
    <s v="080969284658"/>
  </r>
  <r>
    <s v="EMP0673"/>
    <s v="Widiyanto"/>
    <x v="0"/>
    <d v="1994-10-18T00:00:00"/>
    <d v="2019-06-03T00:00:00"/>
    <x v="4"/>
    <x v="4"/>
    <x v="0"/>
    <s v="widiyanto@email.com"/>
    <s v="084168168581"/>
  </r>
  <r>
    <s v="EMP0674"/>
    <s v="Nurade Fitrianasari"/>
    <x v="1"/>
    <d v="2001-06-13T00:00:00"/>
    <d v="2024-12-07T00:00:00"/>
    <x v="1"/>
    <x v="1"/>
    <x v="2"/>
    <s v="nuradefitrianasari@email.com"/>
    <s v="084989273381"/>
  </r>
  <r>
    <s v="EMP0675"/>
    <s v="Mohamad Fahiq Maulana"/>
    <x v="0"/>
    <d v="1995-10-17T00:00:00"/>
    <d v="2022-05-26T00:00:00"/>
    <x v="6"/>
    <x v="6"/>
    <x v="1"/>
    <s v="mohamadfahiqmaulana@email.com"/>
    <s v="085524321937"/>
  </r>
  <r>
    <s v="EMP0676"/>
    <s v="Daryono"/>
    <x v="0"/>
    <d v="1987-12-20T00:00:00"/>
    <d v="2022-09-08T00:00:00"/>
    <x v="6"/>
    <x v="6"/>
    <x v="1"/>
    <s v="daryono@email.com"/>
    <s v="084964369796"/>
  </r>
  <r>
    <s v="EMP0677"/>
    <s v="Karisma Permata Putri"/>
    <x v="1"/>
    <d v="1997-04-21T00:00:00"/>
    <d v="2025-08-09T00:00:00"/>
    <x v="0"/>
    <x v="0"/>
    <x v="0"/>
    <s v="karismapermataputri@email.com"/>
    <s v="082519570748"/>
  </r>
  <r>
    <s v="EMP0678"/>
    <s v="Gita Anjani"/>
    <x v="1"/>
    <d v="1998-10-06T00:00:00"/>
    <d v="2020-06-03T00:00:00"/>
    <x v="0"/>
    <x v="0"/>
    <x v="0"/>
    <s v="gitaanjani@email.com"/>
    <s v="089370577204"/>
  </r>
  <r>
    <s v="EMP0679"/>
    <s v="Anggie Nur Cahyani"/>
    <x v="1"/>
    <d v="1999-04-03T00:00:00"/>
    <d v="2019-07-13T00:00:00"/>
    <x v="0"/>
    <x v="0"/>
    <x v="0"/>
    <s v="anggienurcahyani@email.com"/>
    <s v="087630232627"/>
  </r>
  <r>
    <s v="EMP0680"/>
    <s v="Faizatul Hidayah"/>
    <x v="1"/>
    <d v="1993-01-13T00:00:00"/>
    <d v="2021-04-04T00:00:00"/>
    <x v="1"/>
    <x v="1"/>
    <x v="1"/>
    <s v="faizatulhidayah@email.com"/>
    <s v="089166253059"/>
  </r>
  <r>
    <s v="EMP0681"/>
    <s v="Ayu Zaskiyatul Azizah"/>
    <x v="1"/>
    <d v="1997-11-27T00:00:00"/>
    <d v="2019-10-05T00:00:00"/>
    <x v="0"/>
    <x v="0"/>
    <x v="1"/>
    <s v="ayuzaskiyatulazizah@email.com"/>
    <s v="089007268461"/>
  </r>
  <r>
    <s v="EMP0682"/>
    <s v="M Hamam Alfikri"/>
    <x v="0"/>
    <d v="2000-07-26T00:00:00"/>
    <d v="2023-04-21T00:00:00"/>
    <x v="5"/>
    <x v="5"/>
    <x v="0"/>
    <s v="mhamamalfikri@email.com"/>
    <s v="087792279399"/>
  </r>
  <r>
    <s v="EMP0683"/>
    <s v="Bani Ghesit Prasetya"/>
    <x v="0"/>
    <d v="1999-09-11T00:00:00"/>
    <d v="2021-03-10T00:00:00"/>
    <x v="5"/>
    <x v="5"/>
    <x v="0"/>
    <s v="banighesitprasetya@email.com"/>
    <s v="086975135300"/>
  </r>
  <r>
    <s v="EMP0684"/>
    <s v="Suwandi"/>
    <x v="0"/>
    <d v="2000-04-10T00:00:00"/>
    <d v="2024-08-12T00:00:00"/>
    <x v="0"/>
    <x v="0"/>
    <x v="0"/>
    <s v="suwandi@email.com"/>
    <s v="085117034100"/>
  </r>
  <r>
    <s v="EMP0685"/>
    <s v="Muhammad Ridwan Al Asyari"/>
    <x v="0"/>
    <d v="2003-07-18T00:00:00"/>
    <d v="2025-03-01T00:00:00"/>
    <x v="4"/>
    <x v="4"/>
    <x v="0"/>
    <s v="muhammadridwanalasyari@email.com"/>
    <s v="082766874802"/>
  </r>
  <r>
    <s v="EMP0686"/>
    <s v="Muhamad Muhyi Habib"/>
    <x v="0"/>
    <d v="1988-11-25T00:00:00"/>
    <d v="2022-05-20T00:00:00"/>
    <x v="0"/>
    <x v="0"/>
    <x v="0"/>
    <s v="muhamadmuhyihabib@email.com"/>
    <s v="087602467406"/>
  </r>
  <r>
    <s v="EMP0687"/>
    <s v="Mochamad Ulinuha"/>
    <x v="0"/>
    <d v="1998-05-18T00:00:00"/>
    <d v="2022-03-15T00:00:00"/>
    <x v="4"/>
    <x v="4"/>
    <x v="0"/>
    <s v="mochamadulinuha@email.com"/>
    <s v="086287147779"/>
  </r>
  <r>
    <s v="EMP0688"/>
    <s v="Sandi Syah Zena"/>
    <x v="0"/>
    <d v="2001-04-20T00:00:00"/>
    <d v="2018-03-05T00:00:00"/>
    <x v="5"/>
    <x v="5"/>
    <x v="1"/>
    <s v="sandisyahzena@email.com"/>
    <s v="080278355709"/>
  </r>
  <r>
    <s v="EMP0689"/>
    <s v="Fadly Nurcholik"/>
    <x v="0"/>
    <d v="1986-10-10T00:00:00"/>
    <d v="2018-07-21T00:00:00"/>
    <x v="6"/>
    <x v="6"/>
    <x v="1"/>
    <s v="fadlynurcholik@email.com"/>
    <s v="083767815102"/>
  </r>
  <r>
    <s v="EMP0690"/>
    <s v="Mualfi Fahrul Fanani"/>
    <x v="0"/>
    <d v="2002-11-22T00:00:00"/>
    <d v="2024-04-22T00:00:00"/>
    <x v="0"/>
    <x v="0"/>
    <x v="0"/>
    <s v="mualfifahrulfanani@email.com"/>
    <s v="083978501096"/>
  </r>
  <r>
    <s v="EMP0691"/>
    <s v="Mochamad Ridwan"/>
    <x v="0"/>
    <d v="1994-01-19T00:00:00"/>
    <d v="2018-04-26T00:00:00"/>
    <x v="4"/>
    <x v="4"/>
    <x v="0"/>
    <s v="mochamadridwan@email.com"/>
    <s v="086044084785"/>
  </r>
  <r>
    <s v="EMP0692"/>
    <s v="Vivi Oktovia"/>
    <x v="1"/>
    <d v="2003-09-11T00:00:00"/>
    <d v="2021-12-13T00:00:00"/>
    <x v="1"/>
    <x v="1"/>
    <x v="1"/>
    <s v="vivioktovia@email.com"/>
    <s v="086448278826"/>
  </r>
  <r>
    <s v="EMP0693"/>
    <s v="Nadiva Niken Fadila"/>
    <x v="1"/>
    <d v="1990-01-17T00:00:00"/>
    <d v="2018-05-26T00:00:00"/>
    <x v="1"/>
    <x v="1"/>
    <x v="0"/>
    <s v="nadivanikenfadila@email.com"/>
    <s v="081933541228"/>
  </r>
  <r>
    <s v="EMP0694"/>
    <s v="Doni Setiawan"/>
    <x v="0"/>
    <d v="1990-06-09T00:00:00"/>
    <d v="2018-04-01T00:00:00"/>
    <x v="5"/>
    <x v="5"/>
    <x v="2"/>
    <s v="donisetiawan@email.com"/>
    <s v="088822974634"/>
  </r>
  <r>
    <s v="EMP0695"/>
    <s v="Euis Septia Ningrum"/>
    <x v="1"/>
    <d v="1985-02-22T00:00:00"/>
    <d v="2023-07-29T00:00:00"/>
    <x v="0"/>
    <x v="0"/>
    <x v="0"/>
    <s v="euisseptianingrum@email.com"/>
    <s v="085522835894"/>
  </r>
  <r>
    <s v="EMP0696"/>
    <s v="Auliatu Zahroh"/>
    <x v="1"/>
    <d v="1985-05-14T00:00:00"/>
    <d v="2022-02-19T00:00:00"/>
    <x v="0"/>
    <x v="0"/>
    <x v="2"/>
    <s v="auliatuzahroh@email.com"/>
    <s v="086919187719"/>
  </r>
  <r>
    <s v="EMP0697"/>
    <s v="Riska Riantika"/>
    <x v="1"/>
    <d v="1992-07-13T00:00:00"/>
    <d v="2021-09-09T00:00:00"/>
    <x v="0"/>
    <x v="0"/>
    <x v="2"/>
    <s v="riskariantika@email.com"/>
    <s v="086530423843"/>
  </r>
  <r>
    <s v="EMP0698"/>
    <s v="M Rizki Maulana"/>
    <x v="0"/>
    <d v="1994-01-25T00:00:00"/>
    <d v="2020-01-20T00:00:00"/>
    <x v="0"/>
    <x v="0"/>
    <x v="0"/>
    <s v="mrizkimaulana@email.com"/>
    <s v="086957774119"/>
  </r>
  <r>
    <s v="EMP0699"/>
    <s v="Renata Febrian"/>
    <x v="1"/>
    <d v="1985-07-26T00:00:00"/>
    <d v="2025-07-28T00:00:00"/>
    <x v="0"/>
    <x v="0"/>
    <x v="0"/>
    <s v="renatafebrian@email.com"/>
    <s v="082462823309"/>
  </r>
  <r>
    <s v="EMP0700"/>
    <s v="Mukhammad Ibrohim Akbar"/>
    <x v="0"/>
    <d v="2001-01-24T00:00:00"/>
    <d v="2022-03-28T00:00:00"/>
    <x v="4"/>
    <x v="4"/>
    <x v="1"/>
    <s v="mukhammadibrohimakbar@email.com"/>
    <s v="085227776211"/>
  </r>
  <r>
    <s v="EMP0701"/>
    <s v="Mohamad Arya Alhabib"/>
    <x v="0"/>
    <d v="1994-01-02T00:00:00"/>
    <d v="2020-03-26T00:00:00"/>
    <x v="4"/>
    <x v="4"/>
    <x v="1"/>
    <s v="mohamadaryaalhabib@email.com"/>
    <s v="088421446157"/>
  </r>
  <r>
    <s v="EMP0702"/>
    <s v="Safrina Aulia Ghiffari"/>
    <x v="1"/>
    <d v="1997-12-02T00:00:00"/>
    <d v="2021-11-06T00:00:00"/>
    <x v="0"/>
    <x v="0"/>
    <x v="1"/>
    <s v="safrinaauliaghiffari@email.com"/>
    <s v="080353758669"/>
  </r>
  <r>
    <s v="EMP0703"/>
    <s v="Titin Elfiani"/>
    <x v="1"/>
    <d v="1994-01-22T00:00:00"/>
    <d v="2019-03-06T00:00:00"/>
    <x v="0"/>
    <x v="0"/>
    <x v="2"/>
    <s v="titinelfiani@email.com"/>
    <s v="089315859775"/>
  </r>
  <r>
    <s v="EMP0704"/>
    <s v="Muhammad Nur Ikhsanudin Riziq"/>
    <x v="0"/>
    <d v="1996-11-07T00:00:00"/>
    <d v="2019-11-26T00:00:00"/>
    <x v="6"/>
    <x v="6"/>
    <x v="1"/>
    <s v="muhammadnurikhsanudinriziq@email.com"/>
    <s v="086331222620"/>
  </r>
  <r>
    <s v="EMP0705"/>
    <s v="Andi Mulya Jaya"/>
    <x v="0"/>
    <d v="2000-02-18T00:00:00"/>
    <d v="2024-05-05T00:00:00"/>
    <x v="0"/>
    <x v="0"/>
    <x v="0"/>
    <s v="andimulyajaya@email.com"/>
    <s v="084873960178"/>
  </r>
  <r>
    <s v="EMP0706"/>
    <s v="Tanisah"/>
    <x v="1"/>
    <d v="1992-07-07T00:00:00"/>
    <d v="2023-08-30T00:00:00"/>
    <x v="0"/>
    <x v="0"/>
    <x v="1"/>
    <s v="tanisah@email.com"/>
    <s v="089792842571"/>
  </r>
  <r>
    <s v="EMP0707"/>
    <s v="Siti Anisyah"/>
    <x v="1"/>
    <d v="1990-04-27T00:00:00"/>
    <d v="2024-02-11T00:00:00"/>
    <x v="0"/>
    <x v="0"/>
    <x v="2"/>
    <s v="sitianisyah@email.com"/>
    <s v="089756465594"/>
  </r>
  <r>
    <s v="EMP0708"/>
    <s v="Rinaaudyh"/>
    <x v="1"/>
    <d v="1999-03-09T00:00:00"/>
    <d v="2018-06-13T00:00:00"/>
    <x v="0"/>
    <x v="0"/>
    <x v="0"/>
    <s v="rinaaudyh@email.com"/>
    <s v="083365586091"/>
  </r>
  <r>
    <s v="EMP0709"/>
    <s v="Tati Kusmiati"/>
    <x v="1"/>
    <d v="1996-03-04T00:00:00"/>
    <d v="2023-09-28T00:00:00"/>
    <x v="0"/>
    <x v="0"/>
    <x v="0"/>
    <s v="tatikusmiati@email.com"/>
    <s v="084092029667"/>
  </r>
  <r>
    <s v="EMP0710"/>
    <s v="Evy Nur Aprilia"/>
    <x v="1"/>
    <d v="2001-11-15T00:00:00"/>
    <d v="2019-01-04T00:00:00"/>
    <x v="0"/>
    <x v="0"/>
    <x v="0"/>
    <s v="evynuraprilia@email.com"/>
    <s v="085971757478"/>
  </r>
  <r>
    <s v="EMP0711"/>
    <s v="Erlangga Primansyah"/>
    <x v="0"/>
    <d v="1986-02-05T00:00:00"/>
    <d v="2023-06-10T00:00:00"/>
    <x v="0"/>
    <x v="0"/>
    <x v="0"/>
    <s v="erlanggaprimansyah@email.com"/>
    <s v="082190963754"/>
  </r>
  <r>
    <s v="EMP0712"/>
    <s v="Andri Setiawan"/>
    <x v="0"/>
    <d v="2001-04-24T00:00:00"/>
    <d v="2020-08-31T00:00:00"/>
    <x v="1"/>
    <x v="1"/>
    <x v="2"/>
    <s v="andrisetiawan@email.com"/>
    <s v="084783070179"/>
  </r>
  <r>
    <s v="EMP0713"/>
    <s v="Fustaatul Syaharah"/>
    <x v="1"/>
    <d v="2000-11-04T00:00:00"/>
    <d v="2022-09-04T00:00:00"/>
    <x v="0"/>
    <x v="0"/>
    <x v="2"/>
    <s v="fustaatulsyaharah@email.com"/>
    <s v="084749585555"/>
  </r>
  <r>
    <s v="EMP0714"/>
    <s v="Salwa Oktavia"/>
    <x v="1"/>
    <d v="1989-05-27T00:00:00"/>
    <d v="2018-05-19T00:00:00"/>
    <x v="0"/>
    <x v="0"/>
    <x v="2"/>
    <s v="salwaoktavia@email.com"/>
    <s v="082778782829"/>
  </r>
  <r>
    <s v="EMP0715"/>
    <s v="Avmi Rara Melani"/>
    <x v="1"/>
    <d v="2003-07-21T00:00:00"/>
    <d v="2022-11-16T00:00:00"/>
    <x v="2"/>
    <x v="2"/>
    <x v="2"/>
    <s v="avmiraramelani@email.com"/>
    <s v="081315680926"/>
  </r>
  <r>
    <s v="EMP0716"/>
    <s v="Nur Fadilah"/>
    <x v="0"/>
    <d v="2001-11-27T00:00:00"/>
    <d v="2021-11-18T00:00:00"/>
    <x v="0"/>
    <x v="0"/>
    <x v="2"/>
    <s v="nurfadilah@email.com"/>
    <s v="086832167419"/>
  </r>
  <r>
    <s v="EMP0717"/>
    <s v="Zulfi Maula Khikami"/>
    <x v="0"/>
    <d v="1996-12-29T00:00:00"/>
    <d v="2024-01-29T00:00:00"/>
    <x v="0"/>
    <x v="0"/>
    <x v="2"/>
    <s v="zulfimaulakhikami@email.com"/>
    <s v="084835927447"/>
  </r>
  <r>
    <s v="EMP0718"/>
    <s v="Heliza Amelia"/>
    <x v="1"/>
    <d v="1986-10-06T00:00:00"/>
    <d v="2023-10-19T00:00:00"/>
    <x v="0"/>
    <x v="0"/>
    <x v="1"/>
    <s v="helizaamelia@email.com"/>
    <s v="088042535289"/>
  </r>
  <r>
    <s v="EMP0719"/>
    <s v="Lintang Ade Winasih"/>
    <x v="1"/>
    <d v="1991-10-04T00:00:00"/>
    <d v="2020-07-09T00:00:00"/>
    <x v="1"/>
    <x v="1"/>
    <x v="0"/>
    <s v="lintangadewinasih@email.com"/>
    <s v="083012940602"/>
  </r>
  <r>
    <s v="EMP0720"/>
    <s v="Siti Khumaeroh"/>
    <x v="1"/>
    <d v="2002-11-12T00:00:00"/>
    <d v="2020-09-30T00:00:00"/>
    <x v="0"/>
    <x v="0"/>
    <x v="1"/>
    <s v="sitikhumaeroh@email.com"/>
    <s v="088050651892"/>
  </r>
  <r>
    <s v="EMP0721"/>
    <s v="Andi Sumitro"/>
    <x v="0"/>
    <d v="1999-01-25T00:00:00"/>
    <d v="2019-12-05T00:00:00"/>
    <x v="4"/>
    <x v="4"/>
    <x v="0"/>
    <s v="andisumitro@email.com"/>
    <s v="087636128953"/>
  </r>
  <r>
    <s v="EMP0722"/>
    <s v="Liyanti Widi Astuti"/>
    <x v="1"/>
    <d v="1993-08-16T00:00:00"/>
    <d v="2025-06-26T00:00:00"/>
    <x v="0"/>
    <x v="0"/>
    <x v="0"/>
    <s v="liyantiwidiastuti@email.com"/>
    <s v="086502937151"/>
  </r>
  <r>
    <s v="EMP0723"/>
    <s v="Dio Nurois"/>
    <x v="0"/>
    <d v="1991-01-18T00:00:00"/>
    <d v="2021-05-09T00:00:00"/>
    <x v="4"/>
    <x v="4"/>
    <x v="1"/>
    <s v="dionurois@email.com"/>
    <s v="086610582139"/>
  </r>
  <r>
    <s v="EMP0724"/>
    <s v="Indri Lestari"/>
    <x v="1"/>
    <d v="1998-04-17T00:00:00"/>
    <d v="2018-07-17T00:00:00"/>
    <x v="0"/>
    <x v="0"/>
    <x v="1"/>
    <s v="indrilestari@email.com"/>
    <s v="081427575438"/>
  </r>
  <r>
    <s v="EMP0725"/>
    <s v="Fariz Maulana"/>
    <x v="0"/>
    <d v="1990-06-21T00:00:00"/>
    <d v="2020-03-26T00:00:00"/>
    <x v="4"/>
    <x v="4"/>
    <x v="1"/>
    <s v="farizmaulana@email.com"/>
    <s v="082161621810"/>
  </r>
  <r>
    <s v="EMP0726"/>
    <s v="Juwita Amelia"/>
    <x v="1"/>
    <d v="1989-02-08T00:00:00"/>
    <d v="2021-02-20T00:00:00"/>
    <x v="0"/>
    <x v="0"/>
    <x v="0"/>
    <s v="juwitaamelia@email.com"/>
    <s v="086393922836"/>
  </r>
  <r>
    <s v="EMP0727"/>
    <s v="Fadli Hakim"/>
    <x v="0"/>
    <d v="1988-02-02T00:00:00"/>
    <d v="2018-01-16T00:00:00"/>
    <x v="5"/>
    <x v="5"/>
    <x v="0"/>
    <s v="fadlihakim@email.com"/>
    <s v="081734786785"/>
  </r>
  <r>
    <s v="EMP0728"/>
    <s v="Salsabilla Nur Aurora"/>
    <x v="1"/>
    <d v="1992-12-31T00:00:00"/>
    <d v="2019-04-02T00:00:00"/>
    <x v="0"/>
    <x v="0"/>
    <x v="2"/>
    <s v="salsabillanuraurora@email.com"/>
    <s v="085914240299"/>
  </r>
  <r>
    <s v="EMP0729"/>
    <s v="Muhamad Ali Rohidin"/>
    <x v="0"/>
    <d v="1992-10-15T00:00:00"/>
    <d v="2025-05-04T00:00:00"/>
    <x v="5"/>
    <x v="5"/>
    <x v="2"/>
    <s v="muhamadalirohidin@email.com"/>
    <s v="088330708706"/>
  </r>
  <r>
    <s v="EMP0730"/>
    <s v="Riskhon Kholikul Faizin"/>
    <x v="0"/>
    <d v="1986-11-13T00:00:00"/>
    <d v="2022-01-15T00:00:00"/>
    <x v="0"/>
    <x v="0"/>
    <x v="0"/>
    <s v="riskhonkholikulfaizin@email.com"/>
    <s v="086399295852"/>
  </r>
  <r>
    <s v="EMP0731"/>
    <s v="Puji Lestari"/>
    <x v="1"/>
    <d v="1987-05-28T00:00:00"/>
    <d v="2019-08-01T00:00:00"/>
    <x v="0"/>
    <x v="0"/>
    <x v="1"/>
    <s v="pujilestari@email.com"/>
    <s v="085069583115"/>
  </r>
  <r>
    <s v="EMP0732"/>
    <s v="Ikhda Masruroh"/>
    <x v="1"/>
    <d v="1997-07-14T00:00:00"/>
    <d v="2022-02-03T00:00:00"/>
    <x v="0"/>
    <x v="0"/>
    <x v="0"/>
    <s v="ikhdamasruroh@email.com"/>
    <s v="089768668673"/>
  </r>
  <r>
    <s v="EMP0733"/>
    <s v="Eka Dwi Purwanti"/>
    <x v="1"/>
    <d v="2002-11-14T00:00:00"/>
    <d v="2024-02-27T00:00:00"/>
    <x v="0"/>
    <x v="0"/>
    <x v="0"/>
    <s v="ekadwipurwanti@email.com"/>
    <s v="082972304350"/>
  </r>
  <r>
    <s v="EMP0734"/>
    <s v="Suswati"/>
    <x v="1"/>
    <d v="1990-06-23T00:00:00"/>
    <d v="2022-05-13T00:00:00"/>
    <x v="0"/>
    <x v="0"/>
    <x v="2"/>
    <s v="suswati@email.com"/>
    <s v="083831431288"/>
  </r>
  <r>
    <s v="EMP0735"/>
    <s v="Meisya Naswa Afiyah"/>
    <x v="1"/>
    <d v="1989-01-31T00:00:00"/>
    <d v="2020-10-03T00:00:00"/>
    <x v="2"/>
    <x v="2"/>
    <x v="2"/>
    <s v="meisyanaswaafiyah@email.com"/>
    <s v="085692847875"/>
  </r>
  <r>
    <s v="EMP0736"/>
    <s v="Aqila Maulidia Sauzan"/>
    <x v="1"/>
    <d v="1985-09-11T00:00:00"/>
    <d v="2020-12-12T00:00:00"/>
    <x v="0"/>
    <x v="0"/>
    <x v="2"/>
    <s v="aqilamaulidiasauzan@email.com"/>
    <s v="083111946356"/>
  </r>
  <r>
    <s v="EMP0737"/>
    <s v="Muhammad Raihan Bintang Pratama"/>
    <x v="0"/>
    <d v="2001-01-18T00:00:00"/>
    <d v="2020-12-24T00:00:00"/>
    <x v="6"/>
    <x v="6"/>
    <x v="1"/>
    <s v="muhammadraihanbintangpratama@email.com"/>
    <s v="088231997414"/>
  </r>
  <r>
    <s v="EMP0738"/>
    <s v="Junaidi"/>
    <x v="0"/>
    <d v="1993-12-02T00:00:00"/>
    <d v="2018-08-26T00:00:00"/>
    <x v="0"/>
    <x v="0"/>
    <x v="2"/>
    <s v="junaidi@email.com"/>
    <s v="0830528658"/>
  </r>
  <r>
    <s v="EMP0739"/>
    <s v="Angga"/>
    <x v="0"/>
    <d v="2001-01-25T00:00:00"/>
    <d v="2025-01-18T00:00:00"/>
    <x v="4"/>
    <x v="4"/>
    <x v="0"/>
    <s v="angga@email.com"/>
    <s v="080155839865"/>
  </r>
  <r>
    <s v="EMP0740"/>
    <s v="Tamara Amalia"/>
    <x v="1"/>
    <d v="1989-04-07T00:00:00"/>
    <d v="2023-05-23T00:00:00"/>
    <x v="0"/>
    <x v="0"/>
    <x v="2"/>
    <s v="tamaraamalia@email.com"/>
    <s v="081263935211"/>
  </r>
  <r>
    <s v="EMP0741"/>
    <s v="Sulton Fadilah"/>
    <x v="0"/>
    <d v="1999-03-06T00:00:00"/>
    <d v="2020-12-31T00:00:00"/>
    <x v="5"/>
    <x v="5"/>
    <x v="0"/>
    <s v="sultonfadilah@email.com"/>
    <s v="085707950094"/>
  </r>
  <r>
    <s v="EMP0742"/>
    <s v="Akhmad Umar Rizki"/>
    <x v="0"/>
    <d v="2002-10-18T00:00:00"/>
    <d v="2019-11-30T00:00:00"/>
    <x v="4"/>
    <x v="4"/>
    <x v="0"/>
    <s v="akhmadumarrizki@email.com"/>
    <s v="083799900612"/>
  </r>
  <r>
    <s v="EMP0743"/>
    <s v="Khoerul Anwar"/>
    <x v="0"/>
    <d v="1994-02-09T00:00:00"/>
    <d v="2020-09-16T00:00:00"/>
    <x v="0"/>
    <x v="0"/>
    <x v="0"/>
    <s v="khoerulanwar@email.com"/>
    <s v="089175443271"/>
  </r>
  <r>
    <s v="EMP0744"/>
    <s v="Syahrul Rahmat"/>
    <x v="0"/>
    <d v="2000-09-26T00:00:00"/>
    <d v="2019-01-08T00:00:00"/>
    <x v="5"/>
    <x v="5"/>
    <x v="0"/>
    <s v="syahrulrahmat@email.com"/>
    <s v="083776181949"/>
  </r>
  <r>
    <s v="EMP0745"/>
    <s v="Abdul Rozak"/>
    <x v="0"/>
    <d v="2001-03-03T00:00:00"/>
    <d v="2025-02-04T00:00:00"/>
    <x v="6"/>
    <x v="6"/>
    <x v="1"/>
    <s v="abdulrozak@email.com"/>
    <s v="086937607001"/>
  </r>
  <r>
    <s v="EMP0746"/>
    <s v="Delvin Bagus Setiawan"/>
    <x v="0"/>
    <d v="1988-12-12T00:00:00"/>
    <d v="2022-03-24T00:00:00"/>
    <x v="4"/>
    <x v="4"/>
    <x v="1"/>
    <s v="delvinbagussetiawan@email.com"/>
    <s v="080611655455"/>
  </r>
  <r>
    <s v="EMP0747"/>
    <s v="Santika"/>
    <x v="1"/>
    <d v="1994-02-16T00:00:00"/>
    <d v="2019-02-13T00:00:00"/>
    <x v="0"/>
    <x v="0"/>
    <x v="0"/>
    <s v="santika@email.com"/>
    <s v="084341468404"/>
  </r>
  <r>
    <s v="EMP0748"/>
    <s v="Ujang Sopian"/>
    <x v="0"/>
    <d v="1998-01-24T00:00:00"/>
    <d v="2023-03-02T00:00:00"/>
    <x v="0"/>
    <x v="0"/>
    <x v="2"/>
    <s v="ujangsopian@email.com"/>
    <s v="089445063072"/>
  </r>
  <r>
    <s v="EMP0749"/>
    <s v="Irtakhal Aniqoh"/>
    <x v="1"/>
    <d v="1996-08-19T00:00:00"/>
    <d v="2024-08-20T00:00:00"/>
    <x v="0"/>
    <x v="0"/>
    <x v="0"/>
    <s v="irtakhalaniqoh@email.com"/>
    <s v="082366461020"/>
  </r>
  <r>
    <s v="EMP0750"/>
    <s v="Khafidurrofiq"/>
    <x v="0"/>
    <d v="1986-05-25T00:00:00"/>
    <d v="2021-10-22T00:00:00"/>
    <x v="5"/>
    <x v="5"/>
    <x v="1"/>
    <s v="khafidurrofiq@email.com"/>
    <s v="0882198863"/>
  </r>
  <r>
    <s v="EMP0751"/>
    <s v="Siti Nurfadillah"/>
    <x v="1"/>
    <d v="2001-06-02T00:00:00"/>
    <d v="2024-03-13T00:00:00"/>
    <x v="0"/>
    <x v="0"/>
    <x v="2"/>
    <s v="sitinurfadillah@email.com"/>
    <s v="087387319886"/>
  </r>
  <r>
    <s v="EMP0752"/>
    <s v="Caroline Agustina"/>
    <x v="1"/>
    <d v="1985-12-08T00:00:00"/>
    <d v="2021-12-11T00:00:00"/>
    <x v="0"/>
    <x v="0"/>
    <x v="1"/>
    <s v="carolineagustina@email.com"/>
    <s v="082295799759"/>
  </r>
  <r>
    <s v="EMP0753"/>
    <s v="Ilham Amarulloh"/>
    <x v="0"/>
    <d v="2001-07-18T00:00:00"/>
    <d v="2022-07-12T00:00:00"/>
    <x v="5"/>
    <x v="5"/>
    <x v="0"/>
    <s v="ilhamamarulloh@email.com"/>
    <s v="081286734415"/>
  </r>
  <r>
    <s v="EMP0754"/>
    <s v="Serra Kirana Septriacha"/>
    <x v="1"/>
    <d v="1996-12-05T00:00:00"/>
    <d v="2024-06-23T00:00:00"/>
    <x v="0"/>
    <x v="0"/>
    <x v="1"/>
    <s v="serrakiranaseptriacha@email.com"/>
    <s v="083693091122"/>
  </r>
  <r>
    <s v="EMP0755"/>
    <s v="Syifa Ayu Nabila"/>
    <x v="1"/>
    <d v="1989-06-20T00:00:00"/>
    <d v="2018-05-18T00:00:00"/>
    <x v="0"/>
    <x v="0"/>
    <x v="0"/>
    <s v="syifaayunabila@email.com"/>
    <s v="089711459795"/>
  </r>
  <r>
    <s v="EMP0756"/>
    <s v="Husnah"/>
    <x v="1"/>
    <d v="1986-10-28T00:00:00"/>
    <d v="2019-07-14T00:00:00"/>
    <x v="1"/>
    <x v="1"/>
    <x v="2"/>
    <s v="husnah@email.com"/>
    <s v="082142633724"/>
  </r>
  <r>
    <s v="EMP0757"/>
    <s v="Isti Farulhawa"/>
    <x v="1"/>
    <d v="1986-09-10T00:00:00"/>
    <d v="2021-11-06T00:00:00"/>
    <x v="0"/>
    <x v="0"/>
    <x v="0"/>
    <s v="istifarulhawa@email.com"/>
    <s v="089756465595"/>
  </r>
  <r>
    <s v="EMP0758"/>
    <s v="Muhammad Farid Faturrahman"/>
    <x v="0"/>
    <d v="1985-04-15T00:00:00"/>
    <d v="2025-06-03T00:00:00"/>
    <x v="6"/>
    <x v="6"/>
    <x v="1"/>
    <s v="muhammadfaridfaturrahman@email.com"/>
    <s v="085872131135"/>
  </r>
  <r>
    <s v="EMP0759"/>
    <s v="Fadia Nur Amalia"/>
    <x v="1"/>
    <d v="2002-12-20T00:00:00"/>
    <d v="2019-11-03T00:00:00"/>
    <x v="0"/>
    <x v="0"/>
    <x v="1"/>
    <s v="fadianuramalia@email.com"/>
    <s v="086627119509"/>
  </r>
  <r>
    <s v="EMP0760"/>
    <s v="Desi Ratnasari"/>
    <x v="1"/>
    <d v="1992-07-08T00:00:00"/>
    <d v="2020-11-20T00:00:00"/>
    <x v="0"/>
    <x v="0"/>
    <x v="0"/>
    <s v="desiratnasari@email.com"/>
    <s v="087518958393"/>
  </r>
  <r>
    <s v="EMP0761"/>
    <s v="Tri Windarti Rahayu"/>
    <x v="1"/>
    <d v="1994-07-06T00:00:00"/>
    <d v="2023-03-22T00:00:00"/>
    <x v="0"/>
    <x v="0"/>
    <x v="0"/>
    <s v="triwindartirahayu@email.com"/>
    <s v="0847846979"/>
  </r>
  <r>
    <s v="EMP0762"/>
    <s v="Nabila Khoerunisa"/>
    <x v="1"/>
    <d v="2003-01-01T00:00:00"/>
    <d v="2024-05-05T00:00:00"/>
    <x v="2"/>
    <x v="2"/>
    <x v="2"/>
    <s v="nabilakhoerunisa@email.com"/>
    <s v="080603111419"/>
  </r>
  <r>
    <s v="EMP0763"/>
    <s v="Decky Putra Aprilliany"/>
    <x v="0"/>
    <d v="1988-04-08T00:00:00"/>
    <d v="2025-02-05T00:00:00"/>
    <x v="4"/>
    <x v="4"/>
    <x v="1"/>
    <s v="deckyputraaprilliany@email.com"/>
    <s v="081151079228"/>
  </r>
  <r>
    <s v="EMP0764"/>
    <s v="Ahmad Waluyo"/>
    <x v="0"/>
    <d v="2001-12-21T00:00:00"/>
    <d v="2021-07-26T00:00:00"/>
    <x v="0"/>
    <x v="0"/>
    <x v="0"/>
    <s v="ahmadwaluyo@email.com"/>
    <s v="083967607331"/>
  </r>
  <r>
    <s v="EMP0765"/>
    <s v="Muhammad Sigit Aliq Saputra"/>
    <x v="0"/>
    <d v="1997-03-26T00:00:00"/>
    <d v="2018-03-16T00:00:00"/>
    <x v="0"/>
    <x v="0"/>
    <x v="0"/>
    <s v="muhammadsigitaliqsaputra@email.com"/>
    <s v="081518712465"/>
  </r>
  <r>
    <s v="EMP0766"/>
    <s v="Asa Niatun Nur Afifa"/>
    <x v="1"/>
    <d v="1990-12-27T00:00:00"/>
    <d v="2018-09-20T00:00:00"/>
    <x v="0"/>
    <x v="0"/>
    <x v="0"/>
    <s v="asaniatunnurafifa@email.com"/>
    <s v="089426330358"/>
  </r>
  <r>
    <s v="EMP0767"/>
    <s v="Diva Puja Yanti"/>
    <x v="1"/>
    <d v="1996-09-15T00:00:00"/>
    <d v="2024-05-09T00:00:00"/>
    <x v="0"/>
    <x v="0"/>
    <x v="0"/>
    <s v="divapujayanti@email.com"/>
    <s v="080189204227"/>
  </r>
  <r>
    <s v="EMP0768"/>
    <s v="Luthfian Akmaldhani Sumartono"/>
    <x v="0"/>
    <d v="1988-07-08T00:00:00"/>
    <d v="2020-01-21T00:00:00"/>
    <x v="0"/>
    <x v="0"/>
    <x v="0"/>
    <s v="luthfianakmaldhanisumartono@email.com"/>
    <s v="085871673551"/>
  </r>
  <r>
    <s v="EMP0769"/>
    <s v="Masayu"/>
    <x v="1"/>
    <d v="1992-05-08T00:00:00"/>
    <d v="2025-07-03T00:00:00"/>
    <x v="0"/>
    <x v="0"/>
    <x v="2"/>
    <s v="masayu@email.com"/>
    <s v="084401045040"/>
  </r>
  <r>
    <s v="EMP0770"/>
    <s v="Okta Nur Rohmah"/>
    <x v="1"/>
    <d v="1992-12-04T00:00:00"/>
    <d v="2020-03-27T00:00:00"/>
    <x v="0"/>
    <x v="0"/>
    <x v="0"/>
    <s v="oktanurrohmah@email.com"/>
    <s v="087363770041"/>
  </r>
  <r>
    <s v="EMP0771"/>
    <s v="Umroh Atun"/>
    <x v="1"/>
    <d v="1985-12-26T00:00:00"/>
    <d v="2019-04-08T00:00:00"/>
    <x v="0"/>
    <x v="0"/>
    <x v="0"/>
    <s v="umrohatun@email.com"/>
    <s v="083765215375"/>
  </r>
  <r>
    <s v="EMP0772"/>
    <s v="Lilis Riyanti"/>
    <x v="1"/>
    <d v="1991-06-01T00:00:00"/>
    <d v="2024-01-23T00:00:00"/>
    <x v="0"/>
    <x v="0"/>
    <x v="0"/>
    <s v="lilisriyanti@email.com"/>
    <s v="089756465596"/>
  </r>
  <r>
    <s v="EMP0773"/>
    <s v="Wigi Hendrian M"/>
    <x v="0"/>
    <d v="2002-08-12T00:00:00"/>
    <d v="2024-04-03T00:00:00"/>
    <x v="4"/>
    <x v="4"/>
    <x v="0"/>
    <s v="wigihendrianm@email.com"/>
    <s v="085924162695"/>
  </r>
  <r>
    <s v="EMP0774"/>
    <s v="Iffana Kholisoh"/>
    <x v="1"/>
    <d v="1985-08-26T00:00:00"/>
    <d v="2023-11-15T00:00:00"/>
    <x v="0"/>
    <x v="0"/>
    <x v="0"/>
    <s v="iffanakholisoh@email.com"/>
    <s v="086611669756"/>
  </r>
  <r>
    <s v="EMP0775"/>
    <s v="Ananda Riyadi"/>
    <x v="1"/>
    <d v="2002-12-29T00:00:00"/>
    <d v="2022-10-17T00:00:00"/>
    <x v="0"/>
    <x v="0"/>
    <x v="1"/>
    <s v="anandariyadi@email.com"/>
    <s v="083150606102"/>
  </r>
  <r>
    <s v="EMP0776"/>
    <s v="Syaeful Nurhasan Koharudin"/>
    <x v="0"/>
    <d v="1989-08-14T00:00:00"/>
    <d v="2023-04-20T00:00:00"/>
    <x v="6"/>
    <x v="6"/>
    <x v="1"/>
    <s v="syaefulnurhasankoharudin@email.com"/>
    <s v="086285927375"/>
  </r>
  <r>
    <s v="EMP0777"/>
    <s v="Teddi Maulana"/>
    <x v="0"/>
    <d v="1996-11-12T00:00:00"/>
    <d v="2020-02-23T00:00:00"/>
    <x v="5"/>
    <x v="5"/>
    <x v="0"/>
    <s v="teddimaulana@email.com"/>
    <s v="081392372510"/>
  </r>
  <r>
    <s v="EMP0778"/>
    <s v="Anisah"/>
    <x v="1"/>
    <d v="1993-08-23T00:00:00"/>
    <d v="2025-05-31T00:00:00"/>
    <x v="0"/>
    <x v="0"/>
    <x v="1"/>
    <s v="anisah@email.com"/>
    <s v="088784291518"/>
  </r>
  <r>
    <s v="EMP0779"/>
    <s v="Pande Made Vikky Gunadarma"/>
    <x v="0"/>
    <d v="1989-07-02T00:00:00"/>
    <d v="2019-12-25T00:00:00"/>
    <x v="5"/>
    <x v="5"/>
    <x v="0"/>
    <s v="pandemadevikkygunadarma@email.com"/>
    <s v="088641721445"/>
  </r>
  <r>
    <s v="EMP0780"/>
    <s v="Viola Adynata"/>
    <x v="1"/>
    <d v="2003-01-23T00:00:00"/>
    <d v="2022-09-28T00:00:00"/>
    <x v="0"/>
    <x v="0"/>
    <x v="2"/>
    <s v="violaadynata@email.com"/>
    <s v="086842366223"/>
  </r>
  <r>
    <s v="EMP0781"/>
    <s v="Tian Luki Prasetia"/>
    <x v="1"/>
    <d v="1996-06-10T00:00:00"/>
    <d v="2022-01-29T00:00:00"/>
    <x v="0"/>
    <x v="0"/>
    <x v="0"/>
    <s v="tianlukiprasetia@email.com"/>
    <s v="087546433572"/>
  </r>
  <r>
    <s v="EMP0782"/>
    <s v="Sri Hayati"/>
    <x v="1"/>
    <d v="2000-02-16T00:00:00"/>
    <d v="2019-09-12T00:00:00"/>
    <x v="1"/>
    <x v="1"/>
    <x v="0"/>
    <s v="srihayati@email.com"/>
    <s v="088243795283"/>
  </r>
  <r>
    <s v="EMP0783"/>
    <s v="Syahrul Miftakhoeri Amrilla H"/>
    <x v="0"/>
    <d v="1994-12-14T00:00:00"/>
    <d v="2021-10-18T00:00:00"/>
    <x v="0"/>
    <x v="0"/>
    <x v="0"/>
    <s v="syahrulmiftakhoeriamrillah@email.com"/>
    <s v="089756465597"/>
  </r>
  <r>
    <s v="EMP0784"/>
    <s v="Satria Mukhlis"/>
    <x v="0"/>
    <d v="2001-10-19T00:00:00"/>
    <d v="2025-08-11T00:00:00"/>
    <x v="5"/>
    <x v="5"/>
    <x v="2"/>
    <s v="satriamukhlis@email.com"/>
    <s v="087789538097"/>
  </r>
  <r>
    <s v="EMP0785"/>
    <s v="Lulu Nurafiyah"/>
    <x v="1"/>
    <d v="2001-06-10T00:00:00"/>
    <d v="2021-09-01T00:00:00"/>
    <x v="0"/>
    <x v="0"/>
    <x v="0"/>
    <s v="lulunurafiyah@email.com"/>
    <s v="089831631973"/>
  </r>
  <r>
    <s v="EMP0786"/>
    <s v="Nurul Khasanah"/>
    <x v="1"/>
    <d v="1992-03-15T00:00:00"/>
    <d v="2018-01-07T00:00:00"/>
    <x v="1"/>
    <x v="1"/>
    <x v="0"/>
    <s v="nurulkhasanah@email.com"/>
    <s v="082196413954"/>
  </r>
  <r>
    <s v="EMP0787"/>
    <s v="Winda Umi Setiyani"/>
    <x v="1"/>
    <d v="1995-09-27T00:00:00"/>
    <d v="2024-01-30T00:00:00"/>
    <x v="0"/>
    <x v="0"/>
    <x v="0"/>
    <s v="windaumisetiyani@email.com"/>
    <s v="087090652115"/>
  </r>
  <r>
    <s v="EMP0788"/>
    <s v="Tedi Priyatno"/>
    <x v="0"/>
    <d v="1987-10-21T00:00:00"/>
    <d v="2023-07-06T00:00:00"/>
    <x v="4"/>
    <x v="4"/>
    <x v="0"/>
    <s v="tedipriyatno@email.com"/>
    <s v="084491423037"/>
  </r>
  <r>
    <s v="EMP0789"/>
    <s v="Abu Hasan"/>
    <x v="0"/>
    <d v="2003-10-27T00:00:00"/>
    <d v="2024-01-25T00:00:00"/>
    <x v="0"/>
    <x v="0"/>
    <x v="0"/>
    <s v="abuhasan@email.com"/>
    <s v="083668972205"/>
  </r>
  <r>
    <s v="EMP0790"/>
    <s v="Wafir Faiz"/>
    <x v="0"/>
    <d v="1991-11-11T00:00:00"/>
    <d v="2019-05-10T00:00:00"/>
    <x v="0"/>
    <x v="0"/>
    <x v="0"/>
    <s v="wafirfaiz@email.com"/>
    <s v="084535635192"/>
  </r>
  <r>
    <s v="EMP0791"/>
    <s v="Moh Farhanudin"/>
    <x v="0"/>
    <d v="2000-10-25T00:00:00"/>
    <d v="2023-09-05T00:00:00"/>
    <x v="4"/>
    <x v="4"/>
    <x v="1"/>
    <s v="mohfarhanudin@email.com"/>
    <s v="080641714767"/>
  </r>
  <r>
    <s v="EMP0792"/>
    <s v="Irna Rosita"/>
    <x v="1"/>
    <d v="1993-09-23T00:00:00"/>
    <d v="2021-11-18T00:00:00"/>
    <x v="1"/>
    <x v="1"/>
    <x v="0"/>
    <s v="irnarosita@email.com"/>
    <s v="082837715585"/>
  </r>
  <r>
    <s v="EMP0793"/>
    <s v="Dian Ayu Khoirunnisa"/>
    <x v="1"/>
    <d v="2002-10-10T00:00:00"/>
    <d v="2019-05-07T00:00:00"/>
    <x v="0"/>
    <x v="0"/>
    <x v="2"/>
    <s v="dianayukhoirunnisa@email.com"/>
    <s v="080005924241"/>
  </r>
  <r>
    <s v="EMP0794"/>
    <s v="Ade Santi Ismawati"/>
    <x v="1"/>
    <d v="1985-09-16T00:00:00"/>
    <d v="2023-05-10T00:00:00"/>
    <x v="0"/>
    <x v="0"/>
    <x v="1"/>
    <s v="adesantiismawati@email.com"/>
    <s v="081679253988"/>
  </r>
  <r>
    <s v="EMP0795"/>
    <s v="Indah Nurul Aeni"/>
    <x v="1"/>
    <d v="1990-07-23T00:00:00"/>
    <d v="2022-05-02T00:00:00"/>
    <x v="0"/>
    <x v="0"/>
    <x v="0"/>
    <s v="indahnurulaeni@email.com"/>
    <s v="082859719126"/>
  </r>
  <r>
    <s v="EMP0796"/>
    <s v="Naelatus Saadah"/>
    <x v="1"/>
    <d v="1989-02-03T00:00:00"/>
    <d v="2020-02-07T00:00:00"/>
    <x v="0"/>
    <x v="0"/>
    <x v="0"/>
    <s v="naelatussaadah@email.com"/>
    <s v="082258816413"/>
  </r>
  <r>
    <s v="EMP0797"/>
    <s v="Winda Wulandari"/>
    <x v="1"/>
    <d v="1994-08-11T00:00:00"/>
    <d v="2021-10-12T00:00:00"/>
    <x v="0"/>
    <x v="0"/>
    <x v="0"/>
    <s v="windawulandari@email.com"/>
    <s v="0835867825"/>
  </r>
  <r>
    <s v="EMP0798"/>
    <s v="Anis Fitri"/>
    <x v="1"/>
    <d v="2002-07-01T00:00:00"/>
    <d v="2018-10-20T00:00:00"/>
    <x v="0"/>
    <x v="0"/>
    <x v="2"/>
    <s v="anisfitri@email.com"/>
    <s v="080335624841"/>
  </r>
  <r>
    <s v="EMP0799"/>
    <s v="Guntur Eka Yusuf"/>
    <x v="0"/>
    <d v="2001-07-19T00:00:00"/>
    <d v="2023-03-20T00:00:00"/>
    <x v="0"/>
    <x v="0"/>
    <x v="0"/>
    <s v="gunturekayusuf@email.com"/>
    <s v="081253284127"/>
  </r>
  <r>
    <s v="EMP0800"/>
    <s v="Windi Safitri"/>
    <x v="1"/>
    <d v="1989-08-26T00:00:00"/>
    <d v="2020-01-08T00:00:00"/>
    <x v="0"/>
    <x v="0"/>
    <x v="2"/>
    <s v="windisafitri@email.com"/>
    <s v="089252887013"/>
  </r>
  <r>
    <s v="EMP0801"/>
    <s v="Ismaul Khusna Aenur"/>
    <x v="1"/>
    <d v="1997-06-03T00:00:00"/>
    <d v="2025-08-07T00:00:00"/>
    <x v="1"/>
    <x v="1"/>
    <x v="1"/>
    <s v="ismaulkhusnaaenur@email.com"/>
    <s v="087224630843"/>
  </r>
  <r>
    <s v="EMP0802"/>
    <s v="Revi Tri Yuliana"/>
    <x v="1"/>
    <d v="2000-09-21T00:00:00"/>
    <d v="2018-11-25T00:00:00"/>
    <x v="1"/>
    <x v="1"/>
    <x v="0"/>
    <s v="revitriyuliana@email.com"/>
    <s v="086654855544"/>
  </r>
  <r>
    <s v="EMP0803"/>
    <s v="Indah Lestari"/>
    <x v="1"/>
    <d v="2003-02-21T00:00:00"/>
    <d v="2022-09-24T00:00:00"/>
    <x v="0"/>
    <x v="0"/>
    <x v="1"/>
    <s v="indahlestari@email.com"/>
    <s v="082672744945"/>
  </r>
  <r>
    <s v="EMP0804"/>
    <s v="Khusnul Khotimah"/>
    <x v="1"/>
    <d v="1999-04-25T00:00:00"/>
    <d v="2019-01-24T00:00:00"/>
    <x v="0"/>
    <x v="0"/>
    <x v="0"/>
    <s v="khusnulkhotimah@email.com"/>
    <s v="086355770262"/>
  </r>
  <r>
    <s v="EMP0805"/>
    <s v="Sundari Muarifah"/>
    <x v="1"/>
    <d v="1999-09-18T00:00:00"/>
    <d v="2025-06-18T00:00:00"/>
    <x v="0"/>
    <x v="0"/>
    <x v="0"/>
    <s v="sundarimuarifah@email.com"/>
    <s v="088440791021"/>
  </r>
  <r>
    <s v="EMP0806"/>
    <s v="Salma Karima Pranata"/>
    <x v="1"/>
    <d v="1993-05-22T00:00:00"/>
    <d v="2020-05-06T00:00:00"/>
    <x v="0"/>
    <x v="0"/>
    <x v="0"/>
    <s v="salmakarimapranata@email.com"/>
    <s v="082499611384"/>
  </r>
  <r>
    <s v="EMP0807"/>
    <s v="Nizar Puspita Permata Abdi"/>
    <x v="1"/>
    <d v="1985-09-20T00:00:00"/>
    <d v="2018-03-24T00:00:00"/>
    <x v="0"/>
    <x v="0"/>
    <x v="0"/>
    <s v="nizarpuspitapermataabdi@email.com"/>
    <s v="081557217253"/>
  </r>
  <r>
    <s v="EMP0808"/>
    <s v="Wulandari"/>
    <x v="1"/>
    <d v="1999-08-28T00:00:00"/>
    <d v="2020-11-15T00:00:00"/>
    <x v="0"/>
    <x v="0"/>
    <x v="0"/>
    <s v="wulandari@email.com"/>
    <s v="084212761517"/>
  </r>
  <r>
    <s v="EMP0809"/>
    <s v="Achmad Muchkroni"/>
    <x v="1"/>
    <d v="1998-08-31T00:00:00"/>
    <d v="2021-06-10T00:00:00"/>
    <x v="0"/>
    <x v="0"/>
    <x v="0"/>
    <s v="achmadmuchkroni@email.com"/>
    <s v="086090414168"/>
  </r>
  <r>
    <s v="EMP0810"/>
    <s v="Ali Sodikin"/>
    <x v="0"/>
    <d v="1992-04-16T00:00:00"/>
    <d v="2023-01-24T00:00:00"/>
    <x v="5"/>
    <x v="5"/>
    <x v="0"/>
    <s v="alisodikin@email.com"/>
    <s v="080707845649"/>
  </r>
  <r>
    <s v="EMP0811"/>
    <s v="Miah Karmelia"/>
    <x v="1"/>
    <d v="2000-08-07T00:00:00"/>
    <d v="2024-09-23T00:00:00"/>
    <x v="0"/>
    <x v="0"/>
    <x v="2"/>
    <s v="miahkarmelia@email.com"/>
    <s v="081195139025"/>
  </r>
  <r>
    <s v="EMP0812"/>
    <s v="Abdul Imam Maolana"/>
    <x v="0"/>
    <d v="1991-05-24T00:00:00"/>
    <d v="2019-01-10T00:00:00"/>
    <x v="4"/>
    <x v="4"/>
    <x v="0"/>
    <s v="abdulimammaolana@email.com"/>
    <s v="086825679003"/>
  </r>
  <r>
    <s v="EMP0813"/>
    <s v="Siska Nurmila Diah"/>
    <x v="1"/>
    <d v="1996-07-19T00:00:00"/>
    <d v="2018-09-01T00:00:00"/>
    <x v="0"/>
    <x v="0"/>
    <x v="0"/>
    <s v="siskanurmiladiah@email.com"/>
    <s v="086171846983"/>
  </r>
  <r>
    <s v="EMP0814"/>
    <s v="Depti Rosinta Wati"/>
    <x v="1"/>
    <d v="1991-07-04T00:00:00"/>
    <d v="2020-02-25T00:00:00"/>
    <x v="0"/>
    <x v="0"/>
    <x v="0"/>
    <s v="deptirosintawati@email.com"/>
    <s v="086780954050"/>
  </r>
  <r>
    <s v="EMP0815"/>
    <s v="Asep Usman"/>
    <x v="0"/>
    <d v="1994-06-10T00:00:00"/>
    <d v="2025-02-27T00:00:00"/>
    <x v="0"/>
    <x v="0"/>
    <x v="0"/>
    <s v="asepusman@email.com"/>
    <s v="081660861609"/>
  </r>
  <r>
    <s v="EMP0816"/>
    <s v="Revina Mariska"/>
    <x v="1"/>
    <d v="1992-04-12T00:00:00"/>
    <d v="2021-02-23T00:00:00"/>
    <x v="0"/>
    <x v="0"/>
    <x v="1"/>
    <s v="revinamariska@email.com"/>
    <s v="0828116760"/>
  </r>
  <r>
    <s v="EMP0817"/>
    <s v="Trimo"/>
    <x v="0"/>
    <d v="1987-02-23T00:00:00"/>
    <d v="2021-12-25T00:00:00"/>
    <x v="0"/>
    <x v="0"/>
    <x v="0"/>
    <s v="trimo@email.com"/>
    <s v="080145236809"/>
  </r>
  <r>
    <s v="EMP0818"/>
    <s v="Dinnia Nurjanah"/>
    <x v="1"/>
    <d v="2002-09-18T00:00:00"/>
    <d v="2018-09-22T00:00:00"/>
    <x v="0"/>
    <x v="0"/>
    <x v="0"/>
    <s v="dinnianurjanah@email.com"/>
    <s v="080678724476"/>
  </r>
  <r>
    <s v="EMP0819"/>
    <s v="Rangga Darma Wijaya"/>
    <x v="0"/>
    <d v="1993-05-01T00:00:00"/>
    <d v="2019-12-26T00:00:00"/>
    <x v="0"/>
    <x v="0"/>
    <x v="1"/>
    <s v="ranggadarmawijaya@email.com"/>
    <s v="083267069301"/>
  </r>
  <r>
    <s v="EMP0820"/>
    <s v="Nara Juniar Arbaniah"/>
    <x v="1"/>
    <d v="1995-04-05T00:00:00"/>
    <d v="2022-12-23T00:00:00"/>
    <x v="1"/>
    <x v="1"/>
    <x v="0"/>
    <s v="narajuniararbaniah@email.com"/>
    <s v="085395294016"/>
  </r>
  <r>
    <s v="EMP0821"/>
    <s v="Mayang Silviana Putri"/>
    <x v="1"/>
    <d v="1989-08-18T00:00:00"/>
    <d v="2022-07-30T00:00:00"/>
    <x v="0"/>
    <x v="0"/>
    <x v="0"/>
    <s v="mayangsilvianaputri@email.com"/>
    <s v="089740363114"/>
  </r>
  <r>
    <s v="EMP0822"/>
    <s v="Shella Sulistyani"/>
    <x v="1"/>
    <d v="1988-06-02T00:00:00"/>
    <d v="2024-01-28T00:00:00"/>
    <x v="1"/>
    <x v="1"/>
    <x v="0"/>
    <s v="shellasulistyani@email.com"/>
    <s v="089096151816"/>
  </r>
  <r>
    <s v="EMP0823"/>
    <s v="Sinta Indriana"/>
    <x v="1"/>
    <d v="1995-02-28T00:00:00"/>
    <d v="2022-03-06T00:00:00"/>
    <x v="1"/>
    <x v="1"/>
    <x v="1"/>
    <s v="sintaindriana@email.com"/>
    <s v="089052007184"/>
  </r>
  <r>
    <s v="EMP0824"/>
    <s v="Aji Maulana Rizqi"/>
    <x v="0"/>
    <d v="2001-02-14T00:00:00"/>
    <d v="2020-07-19T00:00:00"/>
    <x v="0"/>
    <x v="0"/>
    <x v="0"/>
    <s v="ajimaulanarizqi@email.com"/>
    <s v="088029718888"/>
  </r>
  <r>
    <s v="EMP0825"/>
    <s v="Leo Elang Oktafecristo"/>
    <x v="0"/>
    <d v="1998-11-04T00:00:00"/>
    <d v="2018-03-05T00:00:00"/>
    <x v="4"/>
    <x v="4"/>
    <x v="1"/>
    <s v="leoelangoktafecristo@email.com"/>
    <s v="081672360257"/>
  </r>
  <r>
    <s v="EMP0826"/>
    <s v="Ahmad Fariz Maulana"/>
    <x v="1"/>
    <d v="1991-05-27T00:00:00"/>
    <d v="2018-10-11T00:00:00"/>
    <x v="1"/>
    <x v="1"/>
    <x v="0"/>
    <s v="ahmadfarizmaulana@email.com"/>
    <s v="084300032608"/>
  </r>
  <r>
    <s v="EMP0827"/>
    <s v="Dimas Putra Nanda"/>
    <x v="0"/>
    <d v="1995-12-28T00:00:00"/>
    <d v="2024-04-29T00:00:00"/>
    <x v="0"/>
    <x v="0"/>
    <x v="2"/>
    <s v="dimasputrananda@email.com"/>
    <s v="081056663439"/>
  </r>
  <r>
    <s v="EMP0828"/>
    <s v="Yunisa Ayu Meliyana"/>
    <x v="1"/>
    <d v="1985-12-10T00:00:00"/>
    <d v="2018-06-30T00:00:00"/>
    <x v="0"/>
    <x v="0"/>
    <x v="0"/>
    <s v="yunisaayumeliyana@email.com"/>
    <s v="0896380633"/>
  </r>
  <r>
    <s v="EMP0829"/>
    <s v="Nanda Hani Safitri"/>
    <x v="1"/>
    <d v="1988-04-15T00:00:00"/>
    <d v="2018-01-28T00:00:00"/>
    <x v="0"/>
    <x v="0"/>
    <x v="1"/>
    <s v="nandahanisafitri@email.com"/>
    <s v="086732218135"/>
  </r>
  <r>
    <s v="EMP0830"/>
    <s v="Nisa Latifatul Hana"/>
    <x v="1"/>
    <d v="2002-07-02T00:00:00"/>
    <d v="2020-01-22T00:00:00"/>
    <x v="1"/>
    <x v="1"/>
    <x v="0"/>
    <s v="nisalatifatulhana@email.com"/>
    <s v="082435249800"/>
  </r>
  <r>
    <s v="EMP0831"/>
    <s v="Mohammad Fahmi Rizqi"/>
    <x v="0"/>
    <d v="1995-05-11T00:00:00"/>
    <d v="2021-01-04T00:00:00"/>
    <x v="0"/>
    <x v="0"/>
    <x v="2"/>
    <s v="mohammadfahmirizqi@email.com"/>
    <s v="080893911663"/>
  </r>
  <r>
    <s v="EMP0832"/>
    <s v="Aminah Juliyana"/>
    <x v="1"/>
    <d v="1997-11-01T00:00:00"/>
    <d v="2020-11-05T00:00:00"/>
    <x v="0"/>
    <x v="0"/>
    <x v="1"/>
    <s v="aminahjuliyana@email.com"/>
    <s v="083385209331"/>
  </r>
  <r>
    <s v="EMP0833"/>
    <s v="Sihabudin Mafi"/>
    <x v="0"/>
    <d v="1987-10-26T00:00:00"/>
    <d v="2025-03-08T00:00:00"/>
    <x v="0"/>
    <x v="0"/>
    <x v="2"/>
    <s v="sihabudinmafi@email.com"/>
    <s v="086694471437"/>
  </r>
  <r>
    <s v="EMP0834"/>
    <s v="Ferdy Alfianur"/>
    <x v="0"/>
    <d v="1990-05-29T00:00:00"/>
    <d v="2021-07-24T00:00:00"/>
    <x v="1"/>
    <x v="1"/>
    <x v="2"/>
    <s v="ferdyalfianur@email.com"/>
    <s v="081530529908"/>
  </r>
  <r>
    <s v="EMP0835"/>
    <s v="Neli Puji Astuti"/>
    <x v="1"/>
    <d v="1994-10-19T00:00:00"/>
    <d v="2021-10-25T00:00:00"/>
    <x v="0"/>
    <x v="0"/>
    <x v="2"/>
    <s v="nelipujiastuti@email.com"/>
    <s v="082561217357"/>
  </r>
  <r>
    <s v="EMP0836"/>
    <s v="Dessi Rahayu"/>
    <x v="1"/>
    <d v="1995-04-30T00:00:00"/>
    <d v="2022-07-20T00:00:00"/>
    <x v="0"/>
    <x v="0"/>
    <x v="0"/>
    <s v="dessirahayu@email.com"/>
    <s v="086637438729"/>
  </r>
  <r>
    <s v="EMP0837"/>
    <s v="Khalda Dwi Fauziyah"/>
    <x v="1"/>
    <d v="1999-06-23T00:00:00"/>
    <d v="2023-03-14T00:00:00"/>
    <x v="0"/>
    <x v="0"/>
    <x v="0"/>
    <s v="khaldadwifauziyah@email.com"/>
    <s v="087699020589"/>
  </r>
  <r>
    <s v="EMP0838"/>
    <s v="Juwita Dwi Lestari"/>
    <x v="1"/>
    <d v="1994-03-02T00:00:00"/>
    <d v="2019-11-23T00:00:00"/>
    <x v="0"/>
    <x v="0"/>
    <x v="1"/>
    <s v="juwitadwilestari@email.com"/>
    <s v="083161943505"/>
  </r>
  <r>
    <s v="EMP0839"/>
    <s v="Windi Astuti"/>
    <x v="1"/>
    <d v="1985-04-03T00:00:00"/>
    <d v="2020-02-06T00:00:00"/>
    <x v="0"/>
    <x v="0"/>
    <x v="0"/>
    <s v="windiastuti@email.com"/>
    <s v="088699945767"/>
  </r>
  <r>
    <s v="EMP0840"/>
    <s v="Dewinta Umami"/>
    <x v="1"/>
    <d v="1992-08-12T00:00:00"/>
    <d v="2025-02-10T00:00:00"/>
    <x v="0"/>
    <x v="0"/>
    <x v="1"/>
    <s v="dewintaumami@email.com"/>
    <s v="082606044455"/>
  </r>
  <r>
    <s v="EMP0841"/>
    <s v="Nopariyah"/>
    <x v="1"/>
    <d v="1986-06-08T00:00:00"/>
    <d v="2023-03-22T00:00:00"/>
    <x v="3"/>
    <x v="3"/>
    <x v="1"/>
    <s v="nopariyah@email.com"/>
    <s v="080455655407"/>
  </r>
  <r>
    <s v="EMP0842"/>
    <s v="Rukhiyanto"/>
    <x v="0"/>
    <d v="1995-03-17T00:00:00"/>
    <d v="2023-01-12T00:00:00"/>
    <x v="0"/>
    <x v="0"/>
    <x v="0"/>
    <s v="rukhiyanto@email.com"/>
    <s v="081450363687"/>
  </r>
  <r>
    <s v="EMP0843"/>
    <s v="Qolbiyatun Azizah"/>
    <x v="1"/>
    <d v="1994-05-14T00:00:00"/>
    <d v="2020-06-11T00:00:00"/>
    <x v="0"/>
    <x v="0"/>
    <x v="1"/>
    <s v="qolbiyatunazizah@email.com"/>
    <s v="085455880579"/>
  </r>
  <r>
    <s v="EMP0844"/>
    <s v="M Hanif Maulana Pasya"/>
    <x v="0"/>
    <d v="1991-02-13T00:00:00"/>
    <d v="2020-07-09T00:00:00"/>
    <x v="4"/>
    <x v="4"/>
    <x v="0"/>
    <s v="mhanifmaulanapasya@email.com"/>
    <s v="084268093345"/>
  </r>
  <r>
    <s v="EMP0845"/>
    <s v="Ken Ajeng Puspita Sari"/>
    <x v="1"/>
    <d v="1989-04-08T00:00:00"/>
    <d v="2018-04-28T00:00:00"/>
    <x v="8"/>
    <x v="8"/>
    <x v="2"/>
    <s v="kenajengpuspitasari@email.com"/>
    <s v="080205676462"/>
  </r>
  <r>
    <s v="EMP0846"/>
    <s v="Diva Tri Herianto"/>
    <x v="0"/>
    <d v="1992-12-15T00:00:00"/>
    <d v="2022-08-30T00:00:00"/>
    <x v="5"/>
    <x v="5"/>
    <x v="1"/>
    <s v="divatriherianto@email.com"/>
    <s v="082717928531"/>
  </r>
  <r>
    <s v="EMP0847"/>
    <s v="Leni Sepiyani"/>
    <x v="1"/>
    <d v="1996-06-25T00:00:00"/>
    <d v="2022-07-10T00:00:00"/>
    <x v="0"/>
    <x v="0"/>
    <x v="2"/>
    <s v="lenisepiyani@email.com"/>
    <s v="086049772537"/>
  </r>
  <r>
    <s v="EMP0848"/>
    <s v="Siti Umatul Khaeriyah"/>
    <x v="1"/>
    <d v="1994-05-23T00:00:00"/>
    <d v="2022-04-08T00:00:00"/>
    <x v="0"/>
    <x v="0"/>
    <x v="2"/>
    <s v="sitiumatulkhaeriyah@email.com"/>
    <s v="080130993519"/>
  </r>
  <r>
    <s v="EMP0849"/>
    <s v="Yusti Rahma Saputri"/>
    <x v="1"/>
    <d v="1986-06-22T00:00:00"/>
    <d v="2022-12-08T00:00:00"/>
    <x v="0"/>
    <x v="0"/>
    <x v="1"/>
    <s v="yustirahmasaputri@email.com"/>
    <s v="089884620818"/>
  </r>
  <r>
    <s v="EMP0850"/>
    <s v="Dwi Arfiansyah"/>
    <x v="0"/>
    <d v="1996-04-26T00:00:00"/>
    <d v="2021-09-25T00:00:00"/>
    <x v="5"/>
    <x v="5"/>
    <x v="1"/>
    <s v="dwiarfiansyah@email.com"/>
    <s v="084171620394"/>
  </r>
  <r>
    <s v="EMP0851"/>
    <s v="Dewi Sri Yuli Kartini"/>
    <x v="1"/>
    <d v="1997-05-18T00:00:00"/>
    <d v="2020-07-14T00:00:00"/>
    <x v="0"/>
    <x v="0"/>
    <x v="2"/>
    <s v="dewisriyulikartini@email.com"/>
    <s v="088787504189"/>
  </r>
  <r>
    <s v="EMP0852"/>
    <s v="Saskia Aprilia Adisti"/>
    <x v="1"/>
    <d v="1985-11-30T00:00:00"/>
    <d v="2018-09-19T00:00:00"/>
    <x v="0"/>
    <x v="0"/>
    <x v="0"/>
    <s v="saskiaapriliaadisti@email.com"/>
    <s v="080415094760"/>
  </r>
  <r>
    <s v="EMP0853"/>
    <s v="Nofa Agustin"/>
    <x v="1"/>
    <d v="1993-08-17T00:00:00"/>
    <d v="2023-03-16T00:00:00"/>
    <x v="0"/>
    <x v="0"/>
    <x v="0"/>
    <s v="nofaagustin@email.com"/>
    <s v="085948616714"/>
  </r>
  <r>
    <s v="EMP0854"/>
    <s v="Adhiya Dzikra Afrinda"/>
    <x v="1"/>
    <d v="1991-06-30T00:00:00"/>
    <d v="2019-12-13T00:00:00"/>
    <x v="0"/>
    <x v="0"/>
    <x v="0"/>
    <s v="adhiyadzikraafrinda@email.com"/>
    <s v="086253043173"/>
  </r>
  <r>
    <s v="EMP0855"/>
    <s v="Erna Wati"/>
    <x v="1"/>
    <d v="2002-01-23T00:00:00"/>
    <d v="2024-11-17T00:00:00"/>
    <x v="1"/>
    <x v="1"/>
    <x v="2"/>
    <s v="ernawati@email.com"/>
    <s v="085022718738"/>
  </r>
  <r>
    <s v="EMP0856"/>
    <s v="Sri Khunaenah"/>
    <x v="1"/>
    <d v="1999-10-07T00:00:00"/>
    <d v="2021-12-22T00:00:00"/>
    <x v="0"/>
    <x v="0"/>
    <x v="1"/>
    <s v="srikhunaenah@email.com"/>
    <s v="081791753082"/>
  </r>
  <r>
    <s v="EMP0857"/>
    <s v="Saprudin Hidayat"/>
    <x v="0"/>
    <d v="1989-12-18T00:00:00"/>
    <d v="2018-09-21T00:00:00"/>
    <x v="0"/>
    <x v="0"/>
    <x v="2"/>
    <s v="saprudinhidayat@email.com"/>
    <s v="084118125233"/>
  </r>
  <r>
    <s v="EMP0858"/>
    <s v="Nadya Nur Afifah"/>
    <x v="1"/>
    <d v="1999-08-28T00:00:00"/>
    <d v="2024-02-20T00:00:00"/>
    <x v="0"/>
    <x v="0"/>
    <x v="0"/>
    <s v="nadyanurafifah@email.com"/>
    <s v="080907941297"/>
  </r>
  <r>
    <s v="EMP0859"/>
    <s v="Rahma Maulidia"/>
    <x v="1"/>
    <d v="1991-03-04T00:00:00"/>
    <d v="2018-07-17T00:00:00"/>
    <x v="0"/>
    <x v="0"/>
    <x v="2"/>
    <s v="rahmamaulidia@email.com"/>
    <s v="082010963559"/>
  </r>
  <r>
    <s v="EMP0860"/>
    <s v="Wasilatul Inayah"/>
    <x v="1"/>
    <d v="1991-01-18T00:00:00"/>
    <d v="2021-12-11T00:00:00"/>
    <x v="0"/>
    <x v="0"/>
    <x v="2"/>
    <s v="wasilatulinayah@email.com"/>
    <s v="084494157377"/>
  </r>
  <r>
    <s v="EMP0861"/>
    <s v="Muhammad Aditya"/>
    <x v="0"/>
    <d v="1998-04-20T00:00:00"/>
    <d v="2018-10-14T00:00:00"/>
    <x v="5"/>
    <x v="5"/>
    <x v="1"/>
    <s v="muhammadaditya@email.com"/>
    <s v="089756465598"/>
  </r>
  <r>
    <s v="EMP0862"/>
    <s v="Ivan Endri Haryanto"/>
    <x v="0"/>
    <d v="2001-05-10T00:00:00"/>
    <d v="2021-08-07T00:00:00"/>
    <x v="0"/>
    <x v="0"/>
    <x v="2"/>
    <s v="ivanendriharyanto@email.com"/>
    <s v="083163845429"/>
  </r>
  <r>
    <s v="EMP0863"/>
    <s v="Reza Pangestu"/>
    <x v="0"/>
    <d v="2000-04-17T00:00:00"/>
    <d v="2019-03-20T00:00:00"/>
    <x v="5"/>
    <x v="5"/>
    <x v="0"/>
    <s v="rezapangestu@email.com"/>
    <s v="080076977662"/>
  </r>
  <r>
    <s v="EMP0864"/>
    <s v="Urip Fatahilah"/>
    <x v="0"/>
    <d v="1991-08-28T00:00:00"/>
    <d v="2020-11-07T00:00:00"/>
    <x v="5"/>
    <x v="5"/>
    <x v="1"/>
    <s v="uripfatahilah@email.com"/>
    <s v="083114791904"/>
  </r>
  <r>
    <s v="EMP0865"/>
    <s v="Nova Linda Azhari"/>
    <x v="1"/>
    <d v="1995-12-12T00:00:00"/>
    <d v="2024-02-09T00:00:00"/>
    <x v="0"/>
    <x v="0"/>
    <x v="1"/>
    <s v="novalindaazhari@email.com"/>
    <s v="080067762244"/>
  </r>
  <r>
    <s v="EMP0866"/>
    <s v="Joko Satria Wibowo"/>
    <x v="0"/>
    <d v="1994-12-07T00:00:00"/>
    <d v="2019-02-26T00:00:00"/>
    <x v="5"/>
    <x v="5"/>
    <x v="2"/>
    <s v="jokosatriawibowo@email.com"/>
    <s v="084229518342"/>
  </r>
  <r>
    <s v="EMP0867"/>
    <s v="Ibnu Mimbar Maulana"/>
    <x v="0"/>
    <d v="1990-12-08T00:00:00"/>
    <d v="2018-07-09T00:00:00"/>
    <x v="0"/>
    <x v="0"/>
    <x v="0"/>
    <s v="ibnumimbarmaulana@email.com"/>
    <s v="085938020244"/>
  </r>
  <r>
    <s v="EMP0868"/>
    <s v="M Syamsul Ma Arif"/>
    <x v="0"/>
    <d v="1995-09-23T00:00:00"/>
    <d v="2025-07-25T00:00:00"/>
    <x v="0"/>
    <x v="0"/>
    <x v="0"/>
    <s v="msyamsulmaarif@email.com"/>
    <s v="081873421984"/>
  </r>
  <r>
    <s v="EMP0869"/>
    <s v="Siti Khoirunisa"/>
    <x v="1"/>
    <d v="1986-01-25T00:00:00"/>
    <d v="2024-03-16T00:00:00"/>
    <x v="0"/>
    <x v="0"/>
    <x v="1"/>
    <s v="sitikhoirunisa@email.com"/>
    <s v="086463724626"/>
  </r>
  <r>
    <s v="EMP0870"/>
    <s v="Yuli Fitriawati"/>
    <x v="1"/>
    <d v="1993-05-28T00:00:00"/>
    <d v="2022-02-06T00:00:00"/>
    <x v="0"/>
    <x v="0"/>
    <x v="2"/>
    <s v="yulifitriawati@email.com"/>
    <s v="080182924127"/>
  </r>
  <r>
    <s v="EMP0871"/>
    <s v="Hilal Mubarok"/>
    <x v="0"/>
    <d v="1986-06-08T00:00:00"/>
    <d v="2023-05-05T00:00:00"/>
    <x v="5"/>
    <x v="5"/>
    <x v="1"/>
    <s v="hilalmubarok@email.com"/>
    <s v="084071023431"/>
  </r>
  <r>
    <s v="EMP0872"/>
    <s v="Mei Divi Asiyah"/>
    <x v="1"/>
    <d v="1992-10-05T00:00:00"/>
    <d v="2020-12-19T00:00:00"/>
    <x v="0"/>
    <x v="0"/>
    <x v="0"/>
    <s v="meidiviasiyah@email.com"/>
    <s v="083129443074"/>
  </r>
  <r>
    <s v="EMP0873"/>
    <s v="Didit Alnur"/>
    <x v="0"/>
    <d v="1993-01-22T00:00:00"/>
    <d v="2019-08-09T00:00:00"/>
    <x v="5"/>
    <x v="5"/>
    <x v="0"/>
    <s v="diditalnur@email.com"/>
    <s v="0802841033"/>
  </r>
  <r>
    <s v="EMP0874"/>
    <s v="Nabila Sabrina"/>
    <x v="1"/>
    <d v="2000-02-24T00:00:00"/>
    <d v="2022-01-22T00:00:00"/>
    <x v="0"/>
    <x v="0"/>
    <x v="0"/>
    <s v="nabilasabrina@email.com"/>
    <s v="081443677422"/>
  </r>
  <r>
    <s v="EMP0875"/>
    <s v="Nur Sapitriyani"/>
    <x v="1"/>
    <d v="2001-01-24T00:00:00"/>
    <d v="2020-02-23T00:00:00"/>
    <x v="0"/>
    <x v="0"/>
    <x v="0"/>
    <s v="nursapitriyani@email.com"/>
    <s v="087492165744"/>
  </r>
  <r>
    <s v="EMP0876"/>
    <s v="Arofah"/>
    <x v="1"/>
    <d v="1989-01-04T00:00:00"/>
    <d v="2018-03-15T00:00:00"/>
    <x v="0"/>
    <x v="0"/>
    <x v="0"/>
    <s v="arofah@email.com"/>
    <s v="089756465599"/>
  </r>
  <r>
    <s v="EMP0877"/>
    <s v="Aat Sukma Wijaya"/>
    <x v="0"/>
    <d v="1991-10-07T00:00:00"/>
    <d v="2024-03-20T00:00:00"/>
    <x v="0"/>
    <x v="0"/>
    <x v="2"/>
    <s v="aatsukmawijaya@email.com"/>
    <s v="086449742214"/>
  </r>
  <r>
    <s v="EMP0878"/>
    <s v="Siti Nurhabibah"/>
    <x v="1"/>
    <d v="1987-10-19T00:00:00"/>
    <d v="2018-03-01T00:00:00"/>
    <x v="0"/>
    <x v="0"/>
    <x v="1"/>
    <s v="sitinurhabibah@email.com"/>
    <s v="088921321424"/>
  </r>
  <r>
    <s v="EMP0879"/>
    <s v="Yanto"/>
    <x v="0"/>
    <d v="1991-08-21T00:00:00"/>
    <d v="2022-02-18T00:00:00"/>
    <x v="5"/>
    <x v="5"/>
    <x v="0"/>
    <s v="yanto@email.com"/>
    <s v="088524669915"/>
  </r>
  <r>
    <s v="EMP0880"/>
    <s v="Arya Sanjaya"/>
    <x v="0"/>
    <d v="1989-06-05T00:00:00"/>
    <d v="2018-10-29T00:00:00"/>
    <x v="6"/>
    <x v="6"/>
    <x v="1"/>
    <s v="aryasanjaya@email.com"/>
    <s v="088746309334"/>
  </r>
  <r>
    <s v="EMP0881"/>
    <s v="Akhmad Jazuli"/>
    <x v="0"/>
    <d v="1992-12-17T00:00:00"/>
    <d v="2019-11-22T00:00:00"/>
    <x v="0"/>
    <x v="0"/>
    <x v="2"/>
    <s v="akhmadjazuli@email.com"/>
    <s v="080670679597"/>
  </r>
  <r>
    <s v="EMP0882"/>
    <s v="Nining Fauziyah"/>
    <x v="1"/>
    <d v="1998-05-04T00:00:00"/>
    <d v="2020-05-03T00:00:00"/>
    <x v="0"/>
    <x v="0"/>
    <x v="2"/>
    <s v="niningfauziyah@email.com"/>
    <s v="081991739615"/>
  </r>
  <r>
    <s v="EMP0883"/>
    <s v="Lia Irsa Lina"/>
    <x v="1"/>
    <d v="1995-08-23T00:00:00"/>
    <d v="2020-03-08T00:00:00"/>
    <x v="0"/>
    <x v="0"/>
    <x v="0"/>
    <s v="liairsalina@email.com"/>
    <s v="089611777616"/>
  </r>
  <r>
    <s v="EMP0884"/>
    <s v="Yuni Setia Ningsih"/>
    <x v="1"/>
    <d v="1996-06-05T00:00:00"/>
    <d v="2024-01-01T00:00:00"/>
    <x v="0"/>
    <x v="0"/>
    <x v="0"/>
    <s v="yunisetianingsih@email.com"/>
    <s v="083526432468"/>
  </r>
  <r>
    <s v="EMP0885"/>
    <s v="Anisatun Rochmah"/>
    <x v="1"/>
    <d v="1998-08-26T00:00:00"/>
    <d v="2021-11-28T00:00:00"/>
    <x v="0"/>
    <x v="0"/>
    <x v="1"/>
    <s v="anisatunrochmah@email.com"/>
    <s v="086997389383"/>
  </r>
  <r>
    <s v="EMP0886"/>
    <s v="Tati Puspita Sari"/>
    <x v="1"/>
    <d v="1989-09-17T00:00:00"/>
    <d v="2018-10-30T00:00:00"/>
    <x v="0"/>
    <x v="0"/>
    <x v="1"/>
    <s v="tatipuspitasari@email.com"/>
    <s v="086991946612"/>
  </r>
  <r>
    <s v="EMP0887"/>
    <s v="Siti Zafira"/>
    <x v="1"/>
    <d v="1994-10-21T00:00:00"/>
    <d v="2020-12-16T00:00:00"/>
    <x v="0"/>
    <x v="0"/>
    <x v="0"/>
    <s v="sitizafira@email.com"/>
    <s v="081771412876"/>
  </r>
  <r>
    <s v="EMP0888"/>
    <s v="Syifa Hayatun Nufus"/>
    <x v="1"/>
    <d v="1991-11-26T00:00:00"/>
    <d v="2022-11-20T00:00:00"/>
    <x v="1"/>
    <x v="1"/>
    <x v="0"/>
    <s v="syifahayatunnufus@email.com"/>
    <s v="088237604736"/>
  </r>
  <r>
    <s v="EMP0889"/>
    <s v="Yunus Prasetyo"/>
    <x v="0"/>
    <d v="1996-11-27T00:00:00"/>
    <d v="2020-01-23T00:00:00"/>
    <x v="5"/>
    <x v="5"/>
    <x v="1"/>
    <s v="yunusprasetyo@email.com"/>
    <s v="087540799368"/>
  </r>
  <r>
    <s v="EMP0890"/>
    <s v="E Cecep Ian Firmansyah"/>
    <x v="0"/>
    <d v="1989-07-11T00:00:00"/>
    <d v="2018-01-03T00:00:00"/>
    <x v="4"/>
    <x v="4"/>
    <x v="0"/>
    <s v="ececepianfirmansyah@email.com"/>
    <s v="083148511753"/>
  </r>
  <r>
    <s v="EMP0891"/>
    <s v="Nani Setiani"/>
    <x v="1"/>
    <d v="1990-09-17T00:00:00"/>
    <d v="2020-04-24T00:00:00"/>
    <x v="0"/>
    <x v="0"/>
    <x v="2"/>
    <s v="nanisetiani@email.com"/>
    <s v="084991699117"/>
  </r>
  <r>
    <s v="EMP0892"/>
    <s v="Feli Yulianti"/>
    <x v="1"/>
    <d v="2001-09-24T00:00:00"/>
    <d v="2019-09-28T00:00:00"/>
    <x v="0"/>
    <x v="0"/>
    <x v="1"/>
    <s v="feliyulianti@email.com"/>
    <s v="087200134087"/>
  </r>
  <r>
    <s v="EMP0893"/>
    <s v="Indah Mutiara Nur Aeni"/>
    <x v="1"/>
    <d v="1987-12-30T00:00:00"/>
    <d v="2021-03-14T00:00:00"/>
    <x v="1"/>
    <x v="1"/>
    <x v="1"/>
    <s v="indahmutiaranuraeni@email.com"/>
    <s v="080769092686"/>
  </r>
  <r>
    <s v="EMP0894"/>
    <s v="Mohammad Irsan Gustiroh"/>
    <x v="0"/>
    <d v="1992-04-07T00:00:00"/>
    <d v="2021-11-30T00:00:00"/>
    <x v="0"/>
    <x v="0"/>
    <x v="2"/>
    <s v="mohammadirsangustiroh@email.com"/>
    <s v="081567405598"/>
  </r>
  <r>
    <s v="EMP0895"/>
    <s v="Tri Windari"/>
    <x v="1"/>
    <d v="1999-09-28T00:00:00"/>
    <d v="2020-06-29T00:00:00"/>
    <x v="1"/>
    <x v="1"/>
    <x v="0"/>
    <s v="triwindari@email.com"/>
    <s v="080407705348"/>
  </r>
  <r>
    <s v="EMP0896"/>
    <s v="Nur Fatikha"/>
    <x v="1"/>
    <d v="1998-07-15T00:00:00"/>
    <d v="2023-04-09T00:00:00"/>
    <x v="0"/>
    <x v="0"/>
    <x v="1"/>
    <s v="nurfatikha@email.com"/>
    <s v="087652335284"/>
  </r>
  <r>
    <s v="EMP0897"/>
    <s v="Malik Mustofa"/>
    <x v="0"/>
    <d v="1989-03-09T00:00:00"/>
    <d v="2021-08-22T00:00:00"/>
    <x v="4"/>
    <x v="4"/>
    <x v="0"/>
    <s v="malikmustofa@email.com"/>
    <s v="088982370471"/>
  </r>
  <r>
    <s v="EMP0898"/>
    <s v="Ajeng Wulan Amelia"/>
    <x v="1"/>
    <d v="1994-12-03T00:00:00"/>
    <d v="2025-08-21T00:00:00"/>
    <x v="3"/>
    <x v="3"/>
    <x v="0"/>
    <s v="ajengwulanamelia@email.com"/>
    <s v="084617679641"/>
  </r>
  <r>
    <s v="EMP0899"/>
    <s v="Tri Oktaviana"/>
    <x v="1"/>
    <d v="1988-05-08T00:00:00"/>
    <d v="2024-12-29T00:00:00"/>
    <x v="3"/>
    <x v="3"/>
    <x v="1"/>
    <s v="trioktaviana@email.com"/>
    <s v="087371572741"/>
  </r>
  <r>
    <s v="EMP0900"/>
    <s v="M Arif Fahturohman"/>
    <x v="0"/>
    <d v="2001-06-25T00:00:00"/>
    <d v="2023-12-22T00:00:00"/>
    <x v="0"/>
    <x v="0"/>
    <x v="2"/>
    <s v="mariffahturohman@email.com"/>
    <s v="089534178034"/>
  </r>
  <r>
    <s v="EMP0901"/>
    <s v="Winda Lestari"/>
    <x v="1"/>
    <d v="2001-09-16T00:00:00"/>
    <d v="2018-05-14T00:00:00"/>
    <x v="1"/>
    <x v="1"/>
    <x v="2"/>
    <s v="windalestari@email.com"/>
    <s v="080379359649"/>
  </r>
  <r>
    <s v="EMP0902"/>
    <s v="Suherni"/>
    <x v="1"/>
    <d v="2001-06-06T00:00:00"/>
    <d v="2025-02-20T00:00:00"/>
    <x v="3"/>
    <x v="3"/>
    <x v="1"/>
    <s v="suherni@email.com"/>
    <s v="087738782567"/>
  </r>
  <r>
    <s v="EMP0903"/>
    <s v="Sholihin Nirza"/>
    <x v="0"/>
    <d v="1993-12-10T00:00:00"/>
    <d v="2020-11-23T00:00:00"/>
    <x v="0"/>
    <x v="0"/>
    <x v="0"/>
    <s v="sholihinnirza@email.com"/>
    <s v="082834012492"/>
  </r>
  <r>
    <s v="EMP0904"/>
    <s v="Wulandari Kristianingsih"/>
    <x v="1"/>
    <d v="2003-08-18T00:00:00"/>
    <d v="2023-06-24T00:00:00"/>
    <x v="0"/>
    <x v="0"/>
    <x v="2"/>
    <s v="wulandarikristianingsih@email.com"/>
    <s v="089454868569"/>
  </r>
  <r>
    <s v="EMP0905"/>
    <s v="Rahmat Maulana Sukri"/>
    <x v="0"/>
    <d v="1998-01-09T00:00:00"/>
    <d v="2024-09-20T00:00:00"/>
    <x v="5"/>
    <x v="5"/>
    <x v="0"/>
    <s v="rahmatmaulanasukri@email.com"/>
    <s v="080813710089"/>
  </r>
  <r>
    <s v="EMP0906"/>
    <s v="Ya Shifa Rumaisha"/>
    <x v="1"/>
    <d v="1997-02-16T00:00:00"/>
    <d v="2024-03-26T00:00:00"/>
    <x v="0"/>
    <x v="0"/>
    <x v="1"/>
    <s v="yashifarumaisha@email.com"/>
    <s v="086166647381"/>
  </r>
  <r>
    <s v="EMP0907"/>
    <s v="Esa Tiara"/>
    <x v="1"/>
    <d v="2003-01-17T00:00:00"/>
    <d v="2024-12-02T00:00:00"/>
    <x v="0"/>
    <x v="0"/>
    <x v="2"/>
    <s v="esatiara@email.com"/>
    <s v="087117325080"/>
  </r>
  <r>
    <s v="EMP0908"/>
    <s v="Asri Wulandari"/>
    <x v="1"/>
    <d v="2000-05-01T00:00:00"/>
    <d v="2018-10-29T00:00:00"/>
    <x v="0"/>
    <x v="0"/>
    <x v="0"/>
    <s v="asriwulandari@email.com"/>
    <s v="081051593739"/>
  </r>
  <r>
    <s v="EMP0909"/>
    <s v="Lyon Syahila"/>
    <x v="0"/>
    <d v="2001-07-10T00:00:00"/>
    <d v="2020-10-14T00:00:00"/>
    <x v="0"/>
    <x v="0"/>
    <x v="1"/>
    <s v="lyonsyahila@email.com"/>
    <s v="088135231233"/>
  </r>
  <r>
    <s v="EMP0910"/>
    <s v="Aqila Fadia Haya"/>
    <x v="1"/>
    <d v="1993-03-24T00:00:00"/>
    <d v="2019-03-29T00:00:00"/>
    <x v="0"/>
    <x v="0"/>
    <x v="0"/>
    <s v="aqilafadiahaya@email.com"/>
    <s v="089789036673"/>
  </r>
  <r>
    <s v="EMP0911"/>
    <s v="Mohamad Erik Maulana"/>
    <x v="0"/>
    <d v="1986-09-23T00:00:00"/>
    <d v="2018-09-14T00:00:00"/>
    <x v="0"/>
    <x v="0"/>
    <x v="2"/>
    <s v="mohamaderikmaulana@email.com"/>
    <s v="084807586853"/>
  </r>
  <r>
    <s v="EMP0912"/>
    <s v="Inez Anastasya Agustin"/>
    <x v="1"/>
    <d v="2001-06-24T00:00:00"/>
    <d v="2021-12-22T00:00:00"/>
    <x v="3"/>
    <x v="3"/>
    <x v="0"/>
    <s v="inezanastasyaagustin@email.com"/>
    <s v="0862341956"/>
  </r>
  <r>
    <s v="EMP0913"/>
    <s v="Adang Suparman"/>
    <x v="0"/>
    <d v="2003-05-30T00:00:00"/>
    <d v="2024-12-25T00:00:00"/>
    <x v="5"/>
    <x v="5"/>
    <x v="0"/>
    <s v="adangsuparman@email.com"/>
    <s v="087996399891"/>
  </r>
  <r>
    <s v="EMP0914"/>
    <s v="Sarinih"/>
    <x v="1"/>
    <d v="1993-05-06T00:00:00"/>
    <d v="2025-08-06T00:00:00"/>
    <x v="0"/>
    <x v="0"/>
    <x v="2"/>
    <s v="sarinih@email.com"/>
    <s v="086867747442"/>
  </r>
  <r>
    <s v="EMP0915"/>
    <s v="Nur Hikmah"/>
    <x v="1"/>
    <d v="1993-01-03T00:00:00"/>
    <d v="2022-11-03T00:00:00"/>
    <x v="3"/>
    <x v="3"/>
    <x v="1"/>
    <s v="nurhikmah@email.com"/>
    <s v="084763852738"/>
  </r>
  <r>
    <s v="EMP0916"/>
    <s v="Herman"/>
    <x v="0"/>
    <d v="1987-07-08T00:00:00"/>
    <d v="2021-04-16T00:00:00"/>
    <x v="0"/>
    <x v="0"/>
    <x v="2"/>
    <s v="herman@email.com"/>
    <s v="081851137347"/>
  </r>
  <r>
    <s v="EMP0917"/>
    <s v="Aziematunikmah"/>
    <x v="1"/>
    <d v="1987-10-19T00:00:00"/>
    <d v="2018-05-13T00:00:00"/>
    <x v="0"/>
    <x v="0"/>
    <x v="0"/>
    <s v="aziematunikmah@email.com"/>
    <s v="081374137386"/>
  </r>
  <r>
    <s v="EMP0918"/>
    <s v="Tri Mulyaningsih"/>
    <x v="1"/>
    <d v="1989-12-20T00:00:00"/>
    <d v="2020-12-31T00:00:00"/>
    <x v="0"/>
    <x v="0"/>
    <x v="1"/>
    <s v="trimulyaningsih@email.com"/>
    <s v="083351651340"/>
  </r>
  <r>
    <s v="EMP0919"/>
    <s v="Aulia Zahra Ramadhani"/>
    <x v="1"/>
    <d v="1993-05-30T00:00:00"/>
    <d v="2022-04-26T00:00:00"/>
    <x v="7"/>
    <x v="7"/>
    <x v="1"/>
    <s v="auliazahraramadhani@email.com"/>
    <s v="082365140681"/>
  </r>
  <r>
    <s v="EMP0920"/>
    <s v="Akhmad Bakhtiar"/>
    <x v="0"/>
    <d v="1988-11-26T00:00:00"/>
    <d v="2020-09-11T00:00:00"/>
    <x v="4"/>
    <x v="4"/>
    <x v="0"/>
    <s v="akhmadbakhtiar@email.com"/>
    <s v="089756465600"/>
  </r>
  <r>
    <s v="EMP0921"/>
    <s v="Nur Azizah"/>
    <x v="1"/>
    <d v="1985-03-14T00:00:00"/>
    <d v="2022-11-24T00:00:00"/>
    <x v="1"/>
    <x v="1"/>
    <x v="2"/>
    <s v="nurazizah@email.com"/>
    <s v="082476942557"/>
  </r>
  <r>
    <s v="EMP0922"/>
    <s v="Ikrima Adillah Denia"/>
    <x v="1"/>
    <d v="1987-04-10T00:00:00"/>
    <d v="2022-08-04T00:00:00"/>
    <x v="1"/>
    <x v="1"/>
    <x v="1"/>
    <s v="ikrimaadillahdenia@email.com"/>
    <s v="085747497818"/>
  </r>
  <r>
    <s v="EMP0923"/>
    <s v="Lela"/>
    <x v="1"/>
    <d v="1991-04-26T00:00:00"/>
    <d v="2025-05-26T00:00:00"/>
    <x v="0"/>
    <x v="0"/>
    <x v="0"/>
    <s v="lela@email.com"/>
    <s v="081106662859"/>
  </r>
  <r>
    <s v="EMP0924"/>
    <s v="Zahrotun Marshita"/>
    <x v="1"/>
    <d v="2000-07-01T00:00:00"/>
    <d v="2021-01-20T00:00:00"/>
    <x v="0"/>
    <x v="0"/>
    <x v="2"/>
    <s v="zahrotunmarshita@email.com"/>
    <s v="082817677380"/>
  </r>
  <r>
    <s v="EMP0925"/>
    <s v="Yolanda Ayu Ningtias"/>
    <x v="1"/>
    <d v="2003-07-13T00:00:00"/>
    <d v="2022-09-04T00:00:00"/>
    <x v="1"/>
    <x v="1"/>
    <x v="1"/>
    <s v="yolandaayuningtias@email.com"/>
    <s v="081776544634"/>
  </r>
  <r>
    <s v="EMP0926"/>
    <s v="Najwa Alifiyyah"/>
    <x v="1"/>
    <d v="1997-04-28T00:00:00"/>
    <d v="2018-12-21T00:00:00"/>
    <x v="0"/>
    <x v="0"/>
    <x v="2"/>
    <s v="najwaalifiyyah@email.com"/>
    <s v="084646440343"/>
  </r>
  <r>
    <s v="EMP0927"/>
    <s v="Desti Rusdiyanti"/>
    <x v="1"/>
    <d v="1994-05-24T00:00:00"/>
    <d v="2018-10-19T00:00:00"/>
    <x v="0"/>
    <x v="0"/>
    <x v="0"/>
    <s v="destirusdiyanti@email.com"/>
    <s v="080009097676"/>
  </r>
  <r>
    <s v="EMP0928"/>
    <s v="Rudi Hartono"/>
    <x v="0"/>
    <d v="1988-08-13T00:00:00"/>
    <d v="2023-04-05T00:00:00"/>
    <x v="5"/>
    <x v="5"/>
    <x v="2"/>
    <s v="rudihartono@email.com"/>
    <s v="084461386351"/>
  </r>
  <r>
    <s v="EMP0929"/>
    <s v="Muhamad Syeh Malik Priana"/>
    <x v="0"/>
    <d v="1988-03-22T00:00:00"/>
    <d v="2021-08-21T00:00:00"/>
    <x v="6"/>
    <x v="6"/>
    <x v="1"/>
    <s v="muhamadsyehmalikpriana@email.com"/>
    <s v="087193966281"/>
  </r>
  <r>
    <s v="EMP0930"/>
    <s v="Aniki Keyla Gusti Safitri"/>
    <x v="1"/>
    <d v="2002-02-10T00:00:00"/>
    <d v="2019-02-21T00:00:00"/>
    <x v="3"/>
    <x v="3"/>
    <x v="0"/>
    <s v="anikikeylagustisafitri@email.com"/>
    <s v="088116037976"/>
  </r>
  <r>
    <s v="EMP0931"/>
    <s v="Dinal Mustaqim"/>
    <x v="0"/>
    <d v="1985-09-07T00:00:00"/>
    <d v="2018-11-29T00:00:00"/>
    <x v="4"/>
    <x v="4"/>
    <x v="0"/>
    <s v="dinalmustaqim@email.com"/>
    <s v="089435623256"/>
  </r>
  <r>
    <s v="EMP0932"/>
    <s v="Nurrachma Isdiyanti"/>
    <x v="1"/>
    <d v="1993-10-05T00:00:00"/>
    <d v="2022-02-16T00:00:00"/>
    <x v="0"/>
    <x v="0"/>
    <x v="2"/>
    <s v="nurrachmaisdiyanti@email.com"/>
    <s v="084750734962"/>
  </r>
  <r>
    <s v="EMP0933"/>
    <s v="Akhmad Akhul Misjan"/>
    <x v="0"/>
    <d v="1992-04-25T00:00:00"/>
    <d v="2019-11-03T00:00:00"/>
    <x v="5"/>
    <x v="5"/>
    <x v="0"/>
    <s v="akhmadakhulmisjan@email.com"/>
    <s v="084922746817"/>
  </r>
  <r>
    <s v="EMP0934"/>
    <s v="Mohammad Jami Al Fawaid"/>
    <x v="0"/>
    <d v="1997-06-29T00:00:00"/>
    <d v="2025-06-28T00:00:00"/>
    <x v="6"/>
    <x v="6"/>
    <x v="1"/>
    <s v="mohammadjamialfawaid@email.com"/>
    <s v="086528464507"/>
  </r>
  <r>
    <s v="EMP0935"/>
    <s v="Siti Nurkhasanah"/>
    <x v="1"/>
    <d v="2002-08-11T00:00:00"/>
    <d v="2025-02-08T00:00:00"/>
    <x v="3"/>
    <x v="3"/>
    <x v="1"/>
    <s v="sitinurkhasanah@email.com"/>
    <s v="081591159457"/>
  </r>
  <r>
    <s v="EMP0936"/>
    <s v="Latif Andriansyah"/>
    <x v="0"/>
    <d v="1994-02-08T00:00:00"/>
    <d v="2022-05-05T00:00:00"/>
    <x v="4"/>
    <x v="4"/>
    <x v="0"/>
    <s v="latifandriansyah@email.com"/>
    <s v="084212887512"/>
  </r>
  <r>
    <s v="EMP0937"/>
    <s v="Kiki Mufaizin"/>
    <x v="0"/>
    <d v="1996-10-22T00:00:00"/>
    <d v="2021-08-05T00:00:00"/>
    <x v="4"/>
    <x v="4"/>
    <x v="0"/>
    <s v="kikimufaizin@email.com"/>
    <s v="086459808620"/>
  </r>
  <r>
    <s v="EMP0938"/>
    <s v="Dinda Kristina Oktavia"/>
    <x v="1"/>
    <d v="1987-06-28T00:00:00"/>
    <d v="2020-12-21T00:00:00"/>
    <x v="7"/>
    <x v="7"/>
    <x v="1"/>
    <s v="dindakristinaoktavia@email.com"/>
    <s v="087563794039"/>
  </r>
  <r>
    <s v="EMP0939"/>
    <s v="Putry Lia Oktaviani"/>
    <x v="1"/>
    <d v="2000-07-04T00:00:00"/>
    <d v="2019-10-12T00:00:00"/>
    <x v="0"/>
    <x v="0"/>
    <x v="0"/>
    <s v="putryliaoktaviani@email.com"/>
    <s v="086653794424"/>
  </r>
  <r>
    <s v="EMP0940"/>
    <s v="Rani Nabila Putri"/>
    <x v="1"/>
    <d v="1988-04-21T00:00:00"/>
    <d v="2022-01-20T00:00:00"/>
    <x v="0"/>
    <x v="0"/>
    <x v="2"/>
    <s v="raninabilaputri@email.com"/>
    <s v="086004121213"/>
  </r>
  <r>
    <s v="EMP0941"/>
    <s v="Moch Dava Rifai"/>
    <x v="0"/>
    <d v="1995-09-14T00:00:00"/>
    <d v="2020-06-13T00:00:00"/>
    <x v="0"/>
    <x v="0"/>
    <x v="2"/>
    <s v="mochdavarifai@email.com"/>
    <s v="087473184218"/>
  </r>
  <r>
    <s v="EMP0942"/>
    <s v="Rifki Amalia Desta Karimatun"/>
    <x v="1"/>
    <d v="2002-08-04T00:00:00"/>
    <d v="2025-07-09T00:00:00"/>
    <x v="0"/>
    <x v="0"/>
    <x v="1"/>
    <s v="rifkiamaliadestakarimatun@email.com"/>
    <s v="080341736488"/>
  </r>
  <r>
    <s v="EMP0943"/>
    <s v="M. Aulia Ardi"/>
    <x v="0"/>
    <d v="1986-12-27T00:00:00"/>
    <d v="2023-06-26T00:00:00"/>
    <x v="4"/>
    <x v="4"/>
    <x v="0"/>
    <s v="m.auliaardi@email.com"/>
    <s v="080659841178"/>
  </r>
  <r>
    <s v="EMP0944"/>
    <s v="Erni Wulandari"/>
    <x v="1"/>
    <d v="1997-12-02T00:00:00"/>
    <d v="2018-01-05T00:00:00"/>
    <x v="0"/>
    <x v="0"/>
    <x v="2"/>
    <s v="erniwulandari@email.com"/>
    <s v="083978091134"/>
  </r>
  <r>
    <s v="EMP0945"/>
    <s v="Marisa Estiana"/>
    <x v="1"/>
    <d v="1993-07-21T00:00:00"/>
    <d v="2018-09-25T00:00:00"/>
    <x v="1"/>
    <x v="1"/>
    <x v="2"/>
    <s v="marisaestiana@email.com"/>
    <s v="0867290995"/>
  </r>
  <r>
    <s v="EMP0946"/>
    <s v="Muh Eldin Asadillah"/>
    <x v="0"/>
    <d v="2001-11-02T00:00:00"/>
    <d v="2019-09-25T00:00:00"/>
    <x v="0"/>
    <x v="0"/>
    <x v="1"/>
    <s v="muheldinasadillah@email.com"/>
    <s v="083747490452"/>
  </r>
  <r>
    <s v="EMP0947"/>
    <s v="Ani Rosidah"/>
    <x v="1"/>
    <d v="1990-07-12T00:00:00"/>
    <d v="2023-03-30T00:00:00"/>
    <x v="0"/>
    <x v="0"/>
    <x v="2"/>
    <s v="anirosidah@email.com"/>
    <s v="088730686511"/>
  </r>
  <r>
    <s v="EMP0948"/>
    <s v="Ossy Octaviola Setiawan"/>
    <x v="1"/>
    <d v="2000-12-04T00:00:00"/>
    <d v="2024-08-17T00:00:00"/>
    <x v="0"/>
    <x v="0"/>
    <x v="0"/>
    <s v="ossyoctaviolasetiawan@email.com"/>
    <s v="089126738005"/>
  </r>
  <r>
    <s v="EMP0949"/>
    <s v="Kiki Kurnia"/>
    <x v="1"/>
    <d v="1988-10-02T00:00:00"/>
    <d v="2024-09-03T00:00:00"/>
    <x v="7"/>
    <x v="7"/>
    <x v="1"/>
    <s v="kikikurnia@email.com"/>
    <s v="083642778632"/>
  </r>
  <r>
    <s v="EMP0950"/>
    <s v="Nur Aisyah"/>
    <x v="1"/>
    <d v="1990-04-04T00:00:00"/>
    <d v="2024-10-24T00:00:00"/>
    <x v="1"/>
    <x v="1"/>
    <x v="0"/>
    <s v="nuraisyah@email.com"/>
    <s v="082106666687"/>
  </r>
  <r>
    <s v="EMP0951"/>
    <s v="Fitriyani"/>
    <x v="1"/>
    <d v="1985-06-12T00:00:00"/>
    <d v="2019-04-11T00:00:00"/>
    <x v="0"/>
    <x v="0"/>
    <x v="2"/>
    <s v="fitriyani@email.com"/>
    <s v="082099615996"/>
  </r>
  <r>
    <s v="EMP0952"/>
    <s v="Cantika Indah"/>
    <x v="1"/>
    <d v="1999-11-19T00:00:00"/>
    <d v="2024-05-12T00:00:00"/>
    <x v="0"/>
    <x v="0"/>
    <x v="0"/>
    <s v="cantikaindah@email.com"/>
    <s v="089202847345"/>
  </r>
  <r>
    <s v="EMP0953"/>
    <s v="Sherla Sallusi"/>
    <x v="1"/>
    <d v="1995-09-22T00:00:00"/>
    <d v="2022-01-08T00:00:00"/>
    <x v="1"/>
    <x v="1"/>
    <x v="2"/>
    <s v="sherlasallusi@email.com"/>
    <s v="086388016472"/>
  </r>
  <r>
    <s v="EMP0954"/>
    <s v="Devi Rahmawati"/>
    <x v="1"/>
    <d v="1990-12-27T00:00:00"/>
    <d v="2022-03-18T00:00:00"/>
    <x v="3"/>
    <x v="3"/>
    <x v="0"/>
    <s v="devirahmawati@email.com"/>
    <s v="087353644802"/>
  </r>
  <r>
    <s v="EMP0955"/>
    <s v="Muhammad Irwan"/>
    <x v="0"/>
    <d v="1999-07-31T00:00:00"/>
    <d v="2021-02-23T00:00:00"/>
    <x v="0"/>
    <x v="0"/>
    <x v="2"/>
    <s v="muhammadirwan@email.com"/>
    <s v="085621050012"/>
  </r>
  <r>
    <s v="EMP0956"/>
    <s v="Andi Yoessianto"/>
    <x v="0"/>
    <d v="1987-05-19T00:00:00"/>
    <d v="2022-07-03T00:00:00"/>
    <x v="0"/>
    <x v="0"/>
    <x v="2"/>
    <s v="andiyoessianto@email.com"/>
    <s v="0851656548"/>
  </r>
  <r>
    <s v="EMP0957"/>
    <s v="Putri Agustina"/>
    <x v="1"/>
    <d v="1993-02-10T00:00:00"/>
    <d v="2023-01-12T00:00:00"/>
    <x v="0"/>
    <x v="0"/>
    <x v="2"/>
    <s v="putriagustina@email.com"/>
    <s v="086021635838"/>
  </r>
  <r>
    <s v="EMP0958"/>
    <s v="Mutiara Rahma Fadilah"/>
    <x v="1"/>
    <d v="1993-09-18T00:00:00"/>
    <d v="2021-02-21T00:00:00"/>
    <x v="1"/>
    <x v="1"/>
    <x v="1"/>
    <s v="mutiararahmafadilah@email.com"/>
    <s v="083840040297"/>
  </r>
  <r>
    <s v="EMP0959"/>
    <s v="Rio Adi Saputra"/>
    <x v="0"/>
    <d v="1988-06-21T00:00:00"/>
    <d v="2023-09-07T00:00:00"/>
    <x v="5"/>
    <x v="5"/>
    <x v="2"/>
    <s v="rioadisaputra@email.com"/>
    <s v="087693186090"/>
  </r>
  <r>
    <s v="EMP0960"/>
    <s v="Muhammad Arya Saputra"/>
    <x v="0"/>
    <d v="1996-07-07T00:00:00"/>
    <d v="2021-10-08T00:00:00"/>
    <x v="0"/>
    <x v="0"/>
    <x v="2"/>
    <s v="muhammadaryasaputra@email.com"/>
    <s v="088270535993"/>
  </r>
  <r>
    <s v="EMP0961"/>
    <s v="Amellia"/>
    <x v="1"/>
    <d v="1997-12-21T00:00:00"/>
    <d v="2022-09-25T00:00:00"/>
    <x v="0"/>
    <x v="0"/>
    <x v="1"/>
    <s v="amellia@email.com"/>
    <s v="089962940202"/>
  </r>
  <r>
    <s v="EMP0962"/>
    <s v="Kifani Arifiah"/>
    <x v="1"/>
    <d v="1991-05-11T00:00:00"/>
    <d v="2020-08-09T00:00:00"/>
    <x v="3"/>
    <x v="3"/>
    <x v="0"/>
    <s v="kifaniarifiah@email.com"/>
    <s v="085159060688"/>
  </r>
  <r>
    <s v="EMP0963"/>
    <s v="Siti Aisyah"/>
    <x v="1"/>
    <d v="1998-01-17T00:00:00"/>
    <d v="2021-05-03T00:00:00"/>
    <x v="1"/>
    <x v="1"/>
    <x v="1"/>
    <s v="sitiaisyah@email.com"/>
    <s v="089756465601"/>
  </r>
  <r>
    <s v="EMP0964"/>
    <s v="Sopiatun"/>
    <x v="1"/>
    <d v="1999-05-20T00:00:00"/>
    <d v="2018-02-22T00:00:00"/>
    <x v="1"/>
    <x v="1"/>
    <x v="0"/>
    <s v="sopiatun@email.com"/>
    <s v="080133781655"/>
  </r>
  <r>
    <s v="EMP0965"/>
    <s v="Nur Imannudin"/>
    <x v="0"/>
    <d v="1996-06-11T00:00:00"/>
    <d v="2023-07-04T00:00:00"/>
    <x v="0"/>
    <x v="0"/>
    <x v="0"/>
    <s v="nurimannudin@email.com"/>
    <s v="085701952824"/>
  </r>
  <r>
    <s v="EMP0966"/>
    <s v="Kiki Amelia"/>
    <x v="1"/>
    <d v="1999-03-06T00:00:00"/>
    <d v="2022-10-07T00:00:00"/>
    <x v="0"/>
    <x v="0"/>
    <x v="1"/>
    <s v="kikiamelia@email.com"/>
    <s v="084465349874"/>
  </r>
  <r>
    <s v="EMP0967"/>
    <s v="Amelia"/>
    <x v="1"/>
    <d v="2002-07-30T00:00:00"/>
    <d v="2018-07-09T00:00:00"/>
    <x v="1"/>
    <x v="1"/>
    <x v="2"/>
    <s v="amelia@email.com"/>
    <s v="083078868289"/>
  </r>
  <r>
    <s v="EMP0968"/>
    <s v="Mujizat Allamin"/>
    <x v="0"/>
    <d v="1997-03-13T00:00:00"/>
    <d v="2021-05-13T00:00:00"/>
    <x v="0"/>
    <x v="0"/>
    <x v="2"/>
    <s v="mujizatallamin@email.com"/>
    <s v="082853575321"/>
  </r>
  <r>
    <s v="EMP0969"/>
    <s v="Murni Sarojah"/>
    <x v="1"/>
    <d v="2002-06-04T00:00:00"/>
    <d v="2024-09-06T00:00:00"/>
    <x v="0"/>
    <x v="0"/>
    <x v="0"/>
    <s v="murnisarojah@email.com"/>
    <s v="087784513113"/>
  </r>
  <r>
    <s v="EMP0970"/>
    <s v="Sri Wahyuni"/>
    <x v="1"/>
    <d v="1994-04-02T00:00:00"/>
    <d v="2019-11-21T00:00:00"/>
    <x v="0"/>
    <x v="0"/>
    <x v="1"/>
    <s v="sriwahyuni@email.com"/>
    <s v="0832489269"/>
  </r>
  <r>
    <s v="EMP0971"/>
    <s v="Novi Oktavia Ramadani"/>
    <x v="1"/>
    <d v="1985-09-20T00:00:00"/>
    <d v="2018-07-08T00:00:00"/>
    <x v="0"/>
    <x v="0"/>
    <x v="0"/>
    <s v="novioktaviaramadani@email.com"/>
    <s v="089756465602"/>
  </r>
  <r>
    <s v="EMP0972"/>
    <s v="Wiwin Indriyani"/>
    <x v="1"/>
    <d v="2003-05-28T00:00:00"/>
    <d v="2020-11-19T00:00:00"/>
    <x v="0"/>
    <x v="0"/>
    <x v="0"/>
    <s v="wiwinindriyani@email.com"/>
    <s v="086879954276"/>
  </r>
  <r>
    <s v="EMP0973"/>
    <s v="Khafit Khaerul Fatikhin"/>
    <x v="0"/>
    <d v="1990-12-31T00:00:00"/>
    <d v="2025-08-08T00:00:00"/>
    <x v="5"/>
    <x v="5"/>
    <x v="1"/>
    <s v="khafitkhaerulfatikhin@email.com"/>
    <s v="082420697140"/>
  </r>
  <r>
    <s v="EMP0974"/>
    <s v="M Khoerul Amin"/>
    <x v="0"/>
    <d v="1988-07-21T00:00:00"/>
    <d v="2025-07-22T00:00:00"/>
    <x v="5"/>
    <x v="5"/>
    <x v="0"/>
    <s v="mkhoerulamin@email.com"/>
    <s v="083886026810"/>
  </r>
  <r>
    <s v="EMP0975"/>
    <s v="Ahmad Ighnail Marzuk"/>
    <x v="0"/>
    <d v="2000-11-07T00:00:00"/>
    <d v="2022-01-07T00:00:00"/>
    <x v="4"/>
    <x v="4"/>
    <x v="1"/>
    <s v="ahmadighnailmarzuk@email.com"/>
    <s v="084517881174"/>
  </r>
  <r>
    <s v="EMP0976"/>
    <s v="Khoirul Husna"/>
    <x v="0"/>
    <d v="1998-04-02T00:00:00"/>
    <d v="2024-09-02T00:00:00"/>
    <x v="0"/>
    <x v="0"/>
    <x v="0"/>
    <s v="khoirulhusna@email.com"/>
    <s v="089661071266"/>
  </r>
  <r>
    <s v="EMP0977"/>
    <s v="Mita Astriyani"/>
    <x v="1"/>
    <d v="1987-06-20T00:00:00"/>
    <d v="2018-08-05T00:00:00"/>
    <x v="0"/>
    <x v="0"/>
    <x v="2"/>
    <s v="mitaastriyani@email.com"/>
    <s v="086408473676"/>
  </r>
  <r>
    <s v="EMP0978"/>
    <s v="Dwi Febri Valentin"/>
    <x v="1"/>
    <d v="1988-08-04T00:00:00"/>
    <d v="2019-05-30T00:00:00"/>
    <x v="0"/>
    <x v="0"/>
    <x v="0"/>
    <s v="dwifebrivalentin@email.com"/>
    <s v="084196267016"/>
  </r>
  <r>
    <s v="EMP0979"/>
    <s v="Ayu Faliyani"/>
    <x v="1"/>
    <d v="1989-11-03T00:00:00"/>
    <d v="2024-03-15T00:00:00"/>
    <x v="0"/>
    <x v="0"/>
    <x v="1"/>
    <s v="ayufaliyani@email.com"/>
    <s v="085217172399"/>
  </r>
  <r>
    <s v="EMP0980"/>
    <s v="Novi Puspita Dewi"/>
    <x v="1"/>
    <d v="1989-08-25T00:00:00"/>
    <d v="2023-08-03T00:00:00"/>
    <x v="0"/>
    <x v="0"/>
    <x v="1"/>
    <s v="novipuspitadewi@email.com"/>
    <s v="087924154610"/>
  </r>
  <r>
    <s v="EMP0981"/>
    <s v="Uswatun Khasanah"/>
    <x v="1"/>
    <d v="1997-11-15T00:00:00"/>
    <d v="2025-03-22T00:00:00"/>
    <x v="0"/>
    <x v="0"/>
    <x v="2"/>
    <s v="uswatunkhasanah@email.com"/>
    <s v="080104259563"/>
  </r>
  <r>
    <s v="EMP0982"/>
    <s v="Dewi Tri Asih"/>
    <x v="1"/>
    <d v="1991-05-08T00:00:00"/>
    <d v="2019-06-07T00:00:00"/>
    <x v="1"/>
    <x v="1"/>
    <x v="0"/>
    <s v="dewitriasih@email.com"/>
    <s v="085114117220"/>
  </r>
  <r>
    <s v="EMP0983"/>
    <s v="Istikomah Mariana"/>
    <x v="1"/>
    <d v="1985-12-08T00:00:00"/>
    <d v="2025-01-28T00:00:00"/>
    <x v="3"/>
    <x v="3"/>
    <x v="1"/>
    <s v="istikomahmariana@email.com"/>
    <s v="087622799503"/>
  </r>
  <r>
    <s v="EMP0984"/>
    <s v="Nur Afni Fauziyah"/>
    <x v="1"/>
    <d v="1998-07-08T00:00:00"/>
    <d v="2024-08-19T00:00:00"/>
    <x v="3"/>
    <x v="3"/>
    <x v="0"/>
    <s v="nurafnifauziyah@email.com"/>
    <s v="088112210410"/>
  </r>
  <r>
    <s v="EMP0985"/>
    <s v="Resma Saputri"/>
    <x v="1"/>
    <d v="1997-12-29T00:00:00"/>
    <d v="2021-12-02T00:00:00"/>
    <x v="7"/>
    <x v="7"/>
    <x v="1"/>
    <s v="resmasaputri@email.com"/>
    <s v="087818136582"/>
  </r>
  <r>
    <s v="EMP0986"/>
    <s v="Labibah Uswatun Khasanah"/>
    <x v="1"/>
    <d v="1998-09-26T00:00:00"/>
    <d v="2024-02-06T00:00:00"/>
    <x v="0"/>
    <x v="0"/>
    <x v="0"/>
    <s v="labibahuswatunkhasanah@email.com"/>
    <s v="086623360749"/>
  </r>
  <r>
    <s v="EMP0987"/>
    <s v="Muhammad Pasha Nur Rifki"/>
    <x v="0"/>
    <d v="2003-01-30T00:00:00"/>
    <d v="2018-12-19T00:00:00"/>
    <x v="0"/>
    <x v="0"/>
    <x v="0"/>
    <s v="muhammadpashanurrifki@email.com"/>
    <s v="088180124354"/>
  </r>
  <r>
    <s v="EMP0988"/>
    <s v="Eka Handayono"/>
    <x v="0"/>
    <d v="1996-01-02T00:00:00"/>
    <d v="2023-06-13T00:00:00"/>
    <x v="4"/>
    <x v="4"/>
    <x v="0"/>
    <s v="ekahandayono@email.com"/>
    <s v="088509455541"/>
  </r>
  <r>
    <s v="EMP0989"/>
    <s v="Dasep Adi Hardiyansah"/>
    <x v="0"/>
    <d v="2003-08-26T00:00:00"/>
    <d v="2019-11-08T00:00:00"/>
    <x v="5"/>
    <x v="5"/>
    <x v="1"/>
    <s v="dasepadihardiyansah@email.com"/>
    <s v="087847255094"/>
  </r>
  <r>
    <s v="EMP0990"/>
    <s v="Zaenun Najib"/>
    <x v="0"/>
    <d v="1994-07-17T00:00:00"/>
    <d v="2024-10-12T00:00:00"/>
    <x v="4"/>
    <x v="4"/>
    <x v="1"/>
    <s v="zaenunnajib@email.com"/>
    <s v="089756465603"/>
  </r>
  <r>
    <s v="EMP0991"/>
    <s v="Eka Rahmat Riyanto"/>
    <x v="0"/>
    <d v="2003-05-28T00:00:00"/>
    <d v="2021-03-19T00:00:00"/>
    <x v="4"/>
    <x v="4"/>
    <x v="0"/>
    <s v="ekarahmatriyanto@email.com"/>
    <s v="084824617496"/>
  </r>
  <r>
    <s v="EMP0992"/>
    <s v="Novita"/>
    <x v="1"/>
    <d v="1988-04-21T00:00:00"/>
    <d v="2024-08-20T00:00:00"/>
    <x v="0"/>
    <x v="0"/>
    <x v="0"/>
    <s v="novita@email.com"/>
    <s v="084425023722"/>
  </r>
  <r>
    <s v="EMP0993"/>
    <s v="Delan Nurmala"/>
    <x v="1"/>
    <d v="2001-10-04T00:00:00"/>
    <d v="2018-06-02T00:00:00"/>
    <x v="0"/>
    <x v="0"/>
    <x v="0"/>
    <s v="delannurmala@email.com"/>
    <s v="083797924561"/>
  </r>
  <r>
    <s v="EMP0994"/>
    <s v="Anggi Pangestu"/>
    <x v="0"/>
    <d v="2000-05-02T00:00:00"/>
    <d v="2021-06-16T00:00:00"/>
    <x v="6"/>
    <x v="6"/>
    <x v="1"/>
    <s v="anggipangestu@email.com"/>
    <s v="080574143487"/>
  </r>
  <r>
    <s v="EMP0995"/>
    <s v="Usi Sulistiawati"/>
    <x v="1"/>
    <d v="2001-06-09T00:00:00"/>
    <d v="2024-02-12T00:00:00"/>
    <x v="7"/>
    <x v="7"/>
    <x v="1"/>
    <s v="usisulistiawati@email.com"/>
    <s v="087740801043"/>
  </r>
  <r>
    <s v="EMP0996"/>
    <s v="Anastasya Astri Muzalfah"/>
    <x v="1"/>
    <d v="2000-08-18T00:00:00"/>
    <d v="2023-08-07T00:00:00"/>
    <x v="0"/>
    <x v="0"/>
    <x v="0"/>
    <s v="anastasyaastrimuzalfah@email.com"/>
    <s v="085446242211"/>
  </r>
  <r>
    <s v="EMP0997"/>
    <s v="Meisya Ajeng Artika Sari"/>
    <x v="1"/>
    <d v="1987-07-22T00:00:00"/>
    <d v="2022-08-26T00:00:00"/>
    <x v="3"/>
    <x v="3"/>
    <x v="1"/>
    <s v="meisyaajengartikasari@email.com"/>
    <s v="085291159736"/>
  </r>
  <r>
    <s v="EMP0998"/>
    <s v="Irfan Hibatullah"/>
    <x v="0"/>
    <d v="1995-05-25T00:00:00"/>
    <d v="2025-06-21T00:00:00"/>
    <x v="0"/>
    <x v="0"/>
    <x v="2"/>
    <s v="irfanhibatullah@email.com"/>
    <s v="084966504762"/>
  </r>
  <r>
    <s v="EMP0999"/>
    <s v="Indriyani Rahayu"/>
    <x v="1"/>
    <d v="1998-01-01T00:00:00"/>
    <d v="2021-09-14T00:00:00"/>
    <x v="0"/>
    <x v="0"/>
    <x v="1"/>
    <s v="indriyanirahayu@email.com"/>
    <s v="080817906233"/>
  </r>
  <r>
    <s v="EMP1000"/>
    <s v="Agus Priyadi"/>
    <x v="0"/>
    <d v="1988-07-16T00:00:00"/>
    <d v="2020-06-02T00:00:00"/>
    <x v="5"/>
    <x v="5"/>
    <x v="0"/>
    <s v="aguspriyadi@email.com"/>
    <s v="0800190264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4">
  <location ref="A10:B14" firstHeaderRow="1" firstDataRow="1" firstDataCol="1"/>
  <pivotFields count="10">
    <pivotField showAll="0"/>
    <pivotField showAll="0"/>
    <pivotField showAll="0"/>
    <pivotField numFmtId="164" showAll="0"/>
    <pivotField numFmtId="164" showAll="0"/>
    <pivotField showAll="0"/>
    <pivotField showAll="0"/>
    <pivotField axis="axisRow" dataField="1" showAll="0">
      <items count="4">
        <item x="0"/>
        <item x="2"/>
        <item x="1"/>
        <item t="default"/>
      </items>
    </pivotField>
    <pivotField showAll="0"/>
    <pivotField showAll="0"/>
  </pivotFields>
  <rowFields count="1">
    <field x="7"/>
  </rowFields>
  <rowItems count="4">
    <i>
      <x/>
    </i>
    <i>
      <x v="1"/>
    </i>
    <i>
      <x v="2"/>
    </i>
    <i t="grand">
      <x/>
    </i>
  </rowItems>
  <colItems count="1">
    <i/>
  </colItems>
  <dataFields count="1">
    <dataField name="Count of Status" fld="7" subtotal="count" baseField="0" baseItem="0"/>
  </dataFields>
  <formats count="20">
    <format dxfId="19">
      <pivotArea type="all" dataOnly="0" outline="0" fieldPosition="0"/>
    </format>
    <format dxfId="18">
      <pivotArea type="all" dataOnly="0" outline="0" fieldPosition="0"/>
    </format>
    <format dxfId="17">
      <pivotArea field="7" type="button" dataOnly="0" labelOnly="1" outline="0" axis="axisRow" fieldPosition="0"/>
    </format>
    <format dxfId="16">
      <pivotArea dataOnly="0" labelOnly="1" outline="0" axis="axisValues" fieldPosition="0"/>
    </format>
    <format dxfId="15">
      <pivotArea type="all" dataOnly="0" outline="0" fieldPosition="0"/>
    </format>
    <format dxfId="14">
      <pivotArea type="all" dataOnly="0" outline="0" fieldPosition="0"/>
    </format>
    <format dxfId="13">
      <pivotArea type="all" dataOnly="0" outline="0" fieldPosition="0"/>
    </format>
    <format dxfId="12">
      <pivotArea type="all" dataOnly="0" outline="0" fieldPosition="0"/>
    </format>
    <format dxfId="11">
      <pivotArea dataOnly="0" labelOnly="1" fieldPosition="0">
        <references count="1">
          <reference field="7" count="0"/>
        </references>
      </pivotArea>
    </format>
    <format dxfId="10">
      <pivotArea dataOnly="0" labelOnly="1" grandRow="1" outline="0" fieldPosition="0"/>
    </format>
    <format dxfId="9">
      <pivotArea type="all" dataOnly="0" outline="0" fieldPosition="0"/>
    </format>
    <format dxfId="8">
      <pivotArea type="all" dataOnly="0" outline="0" fieldPosition="0"/>
    </format>
    <format dxfId="7">
      <pivotArea type="all" dataOnly="0" outline="0" fieldPosition="0"/>
    </format>
    <format dxfId="6">
      <pivotArea field="7" type="button" dataOnly="0" labelOnly="1" outline="0" axis="axisRow" fieldPosition="0"/>
    </format>
    <format dxfId="5">
      <pivotArea dataOnly="0" labelOnly="1" fieldPosition="0">
        <references count="1">
          <reference field="7" count="1">
            <x v="0"/>
          </reference>
        </references>
      </pivotArea>
    </format>
    <format dxfId="4">
      <pivotArea dataOnly="0" labelOnly="1" outline="0" axis="axisValues" fieldPosition="0"/>
    </format>
    <format dxfId="3">
      <pivotArea type="all" dataOnly="0" outline="0" fieldPosition="0"/>
    </format>
    <format dxfId="2">
      <pivotArea type="all" dataOnly="0" outline="0" fieldPosition="0"/>
    </format>
    <format dxfId="1">
      <pivotArea type="all" dataOnly="0" outline="0" fieldPosition="0"/>
    </format>
    <format dxfId="0">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B4:B5" firstHeaderRow="1" firstDataRow="1" firstDataCol="0"/>
  <pivotFields count="11">
    <pivotField showAll="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numFmtId="164" showAll="0"/>
    <pivotField numFmtId="164" showAll="0"/>
    <pivotField showAll="0">
      <items count="10">
        <item x="4"/>
        <item x="3"/>
        <item x="8"/>
        <item x="6"/>
        <item x="7"/>
        <item x="0"/>
        <item x="2"/>
        <item x="1"/>
        <item x="5"/>
        <item t="default"/>
      </items>
    </pivotField>
    <pivotField showAll="0">
      <items count="10">
        <item x="3"/>
        <item x="8"/>
        <item x="6"/>
        <item x="7"/>
        <item x="0"/>
        <item x="2"/>
        <item x="1"/>
        <item x="4"/>
        <item x="5"/>
        <item t="default"/>
      </items>
    </pivotField>
    <pivotField showAll="0"/>
    <pivotField showAll="0"/>
    <pivotField showAll="0"/>
  </pivotFields>
  <rowItems count="1">
    <i/>
  </rowItems>
  <colItems count="1">
    <i/>
  </colItems>
  <dataFields count="1">
    <dataField name="Total Employees" fld="1" subtotal="count" baseField="0" baseItem="0"/>
  </dataFields>
  <formats count="12">
    <format dxfId="31">
      <pivotArea type="all" dataOnly="0" outline="0" fieldPosition="0"/>
    </format>
    <format dxfId="30">
      <pivotArea type="all" dataOnly="0" outline="0" fieldPosition="0"/>
    </format>
    <format dxfId="29">
      <pivotArea type="all" dataOnly="0" outline="0" fieldPosition="0"/>
    </format>
    <format dxfId="28">
      <pivotArea type="all" dataOnly="0" outline="0" fieldPosition="0"/>
    </format>
    <format dxfId="27">
      <pivotArea type="all" dataOnly="0" outline="0" fieldPosition="0"/>
    </format>
    <format dxfId="26">
      <pivotArea type="all" dataOnly="0" outline="0" fieldPosition="0"/>
    </format>
    <format dxfId="25">
      <pivotArea type="all" dataOnly="0" outline="0"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dataOnly="0" labelOnly="1" outline="0" axis="axisValues" fieldPosition="0"/>
    </format>
  </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J23:K33" firstHeaderRow="1" firstDataRow="1" firstDataCol="1"/>
  <pivotFields count="10">
    <pivotField showAll="0"/>
    <pivotField showAll="0"/>
    <pivotField showAll="0"/>
    <pivotField numFmtId="164" showAll="0"/>
    <pivotField numFmtId="164" showAll="0"/>
    <pivotField showAll="0"/>
    <pivotField axis="axisRow" dataField="1" showAll="0">
      <items count="10">
        <item x="3"/>
        <item x="8"/>
        <item x="6"/>
        <item x="7"/>
        <item x="0"/>
        <item x="2"/>
        <item x="1"/>
        <item x="4"/>
        <item x="5"/>
        <item t="default"/>
      </items>
    </pivotField>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unt of Position" fld="6" subtotal="count" baseField="0" baseItem="0"/>
  </dataFields>
  <formats count="12">
    <format dxfId="43">
      <pivotArea type="all" dataOnly="0" outline="0" fieldPosition="0"/>
    </format>
    <format dxfId="42">
      <pivotArea type="all" dataOnly="0" outline="0" fieldPosition="0"/>
    </format>
    <format dxfId="41">
      <pivotArea field="6" type="button" dataOnly="0" labelOnly="1" outline="0" axis="axisRow" fieldPosition="0"/>
    </format>
    <format dxfId="40">
      <pivotArea dataOnly="0" labelOnly="1" outline="0" axis="axisValues" fieldPosition="0"/>
    </format>
    <format dxfId="39">
      <pivotArea type="all" dataOnly="0" outline="0" fieldPosition="0"/>
    </format>
    <format dxfId="38">
      <pivotArea type="all" dataOnly="0" outline="0" fieldPosition="0"/>
    </format>
    <format dxfId="37">
      <pivotArea type="all" dataOnly="0" outline="0" fieldPosition="0"/>
    </format>
    <format dxfId="36">
      <pivotArea type="all" dataOnly="0" outline="0" fieldPosition="0"/>
    </format>
    <format dxfId="35">
      <pivotArea dataOnly="0" labelOnly="1" fieldPosition="0">
        <references count="1">
          <reference field="6" count="0"/>
        </references>
      </pivotArea>
    </format>
    <format dxfId="34">
      <pivotArea dataOnly="0" labelOnly="1" grandRow="1" outline="0" fieldPosition="0"/>
    </format>
    <format dxfId="33">
      <pivotArea type="all" dataOnly="0" outline="0" fieldPosition="0"/>
    </format>
    <format dxfId="32">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G10:H13" firstHeaderRow="1" firstDataRow="1" firstDataCol="1"/>
  <pivotFields count="10">
    <pivotField showAll="0"/>
    <pivotField showAll="0"/>
    <pivotField axis="axisRow" dataField="1" showAll="0">
      <items count="3">
        <item x="1"/>
        <item x="0"/>
        <item t="default"/>
      </items>
    </pivotField>
    <pivotField numFmtId="164" showAll="0"/>
    <pivotField numFmtId="164" showAll="0"/>
    <pivotField showAll="0"/>
    <pivotField showAll="0"/>
    <pivotField showAll="0"/>
    <pivotField showAll="0"/>
    <pivotField showAll="0"/>
  </pivotFields>
  <rowFields count="1">
    <field x="2"/>
  </rowFields>
  <rowItems count="3">
    <i>
      <x/>
    </i>
    <i>
      <x v="1"/>
    </i>
    <i t="grand">
      <x/>
    </i>
  </rowItems>
  <colItems count="1">
    <i/>
  </colItems>
  <dataFields count="1">
    <dataField name="Count of Gender" fld="2" subtotal="count" baseField="0" baseItem="0"/>
  </dataFields>
  <formats count="13">
    <format dxfId="56">
      <pivotArea type="all" dataOnly="0" outline="0" fieldPosition="0"/>
    </format>
    <format dxfId="55">
      <pivotArea type="all" dataOnly="0" outline="0" fieldPosition="0"/>
    </format>
    <format dxfId="54">
      <pivotArea field="2" type="button" dataOnly="0" labelOnly="1" outline="0" axis="axisRow" fieldPosition="0"/>
    </format>
    <format dxfId="53">
      <pivotArea dataOnly="0" labelOnly="1" outline="0" axis="axisValues" fieldPosition="0"/>
    </format>
    <format dxfId="52">
      <pivotArea type="all" dataOnly="0" outline="0" fieldPosition="0"/>
    </format>
    <format dxfId="51">
      <pivotArea type="all" dataOnly="0" outline="0" fieldPosition="0"/>
    </format>
    <format dxfId="50">
      <pivotArea type="all" dataOnly="0" outline="0" fieldPosition="0"/>
    </format>
    <format dxfId="49">
      <pivotArea type="all" dataOnly="0" outline="0" fieldPosition="0"/>
    </format>
    <format dxfId="48">
      <pivotArea dataOnly="0" labelOnly="1" fieldPosition="0">
        <references count="1">
          <reference field="2" count="0"/>
        </references>
      </pivotArea>
    </format>
    <format dxfId="47">
      <pivotArea dataOnly="0" labelOnly="1" grandRow="1" outline="0" fieldPosition="0"/>
    </format>
    <format dxfId="46">
      <pivotArea type="all" dataOnly="0" outline="0" fieldPosition="0"/>
    </format>
    <format dxfId="45">
      <pivotArea type="all" dataOnly="0" outline="0" fieldPosition="0"/>
    </format>
    <format dxfId="44">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23:B33" firstHeaderRow="1" firstDataRow="1" firstDataCol="1"/>
  <pivotFields count="10">
    <pivotField showAll="0"/>
    <pivotField showAll="0"/>
    <pivotField showAll="0"/>
    <pivotField numFmtId="164" showAll="0"/>
    <pivotField numFmtId="164" showAll="0"/>
    <pivotField axis="axisRow" dataField="1" showAll="0">
      <items count="10">
        <item x="4"/>
        <item x="3"/>
        <item x="8"/>
        <item x="6"/>
        <item x="7"/>
        <item x="0"/>
        <item x="2"/>
        <item x="1"/>
        <item x="5"/>
        <item t="default"/>
      </items>
    </pivotField>
    <pivotField showAll="0"/>
    <pivotField showAll="0"/>
    <pivotField showAll="0"/>
    <pivotField showAll="0"/>
  </pivotFields>
  <rowFields count="1">
    <field x="5"/>
  </rowFields>
  <rowItems count="10">
    <i>
      <x/>
    </i>
    <i>
      <x v="1"/>
    </i>
    <i>
      <x v="2"/>
    </i>
    <i>
      <x v="3"/>
    </i>
    <i>
      <x v="4"/>
    </i>
    <i>
      <x v="5"/>
    </i>
    <i>
      <x v="6"/>
    </i>
    <i>
      <x v="7"/>
    </i>
    <i>
      <x v="8"/>
    </i>
    <i t="grand">
      <x/>
    </i>
  </rowItems>
  <colItems count="1">
    <i/>
  </colItems>
  <dataFields count="1">
    <dataField name="Count of Department" fld="5" subtotal="count" baseField="0" baseItem="0"/>
  </dataFields>
  <formats count="12">
    <format dxfId="68">
      <pivotArea type="all" dataOnly="0" outline="0" fieldPosition="0"/>
    </format>
    <format dxfId="67">
      <pivotArea type="all" dataOnly="0" outline="0" fieldPosition="0"/>
    </format>
    <format dxfId="66">
      <pivotArea field="5" type="button" dataOnly="0" labelOnly="1" outline="0" axis="axisRow" fieldPosition="0"/>
    </format>
    <format dxfId="65">
      <pivotArea dataOnly="0" labelOnly="1" outline="0" axis="axisValues" fieldPosition="0"/>
    </format>
    <format dxfId="64">
      <pivotArea type="all" dataOnly="0" outline="0" fieldPosition="0"/>
    </format>
    <format dxfId="63">
      <pivotArea type="all" dataOnly="0" outline="0" fieldPosition="0"/>
    </format>
    <format dxfId="62">
      <pivotArea type="all" dataOnly="0" outline="0" fieldPosition="0"/>
    </format>
    <format dxfId="61">
      <pivotArea type="all" dataOnly="0" outline="0" fieldPosition="0"/>
    </format>
    <format dxfId="60">
      <pivotArea dataOnly="0" labelOnly="1" fieldPosition="0">
        <references count="1">
          <reference field="5" count="0"/>
        </references>
      </pivotArea>
    </format>
    <format dxfId="59">
      <pivotArea dataOnly="0" labelOnly="1" grandRow="1" outline="0" fieldPosition="0"/>
    </format>
    <format dxfId="58">
      <pivotArea type="all" dataOnly="0" outline="0" fieldPosition="0"/>
    </format>
    <format dxfId="57">
      <pivotArea type="all" dataOnly="0" outline="0" fieldPosition="0"/>
    </format>
  </format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7"/>
          </reference>
        </references>
      </pivotArea>
    </chartFormat>
    <chartFormat chart="0" format="4">
      <pivotArea type="data" outline="0" fieldPosition="0">
        <references count="2">
          <reference field="4294967294" count="1" selected="0">
            <x v="0"/>
          </reference>
          <reference field="5" count="1" selected="0">
            <x v="8"/>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erniati@e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erniati@e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erniati@email.com" TargetMode="Externa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sheetPr>
    <tabColor theme="3" tint="0.39997558519241921"/>
  </sheetPr>
  <dimension ref="A1:D275"/>
  <sheetViews>
    <sheetView topLeftCell="A19" workbookViewId="0">
      <selection activeCell="B42" sqref="B42:B47"/>
    </sheetView>
  </sheetViews>
  <sheetFormatPr defaultRowHeight="15"/>
  <cols>
    <col min="1" max="1" width="26.7109375" style="48" customWidth="1"/>
    <col min="2" max="2" width="53.85546875" style="48" bestFit="1" customWidth="1"/>
    <col min="3" max="3" width="38.7109375" style="48" customWidth="1"/>
    <col min="4" max="16384" width="9.140625" style="40"/>
  </cols>
  <sheetData>
    <row r="1" spans="1:3" s="68" customFormat="1">
      <c r="A1" s="48"/>
      <c r="B1" s="48"/>
      <c r="C1" s="48"/>
    </row>
    <row r="2" spans="1:3" ht="60">
      <c r="A2" s="75" t="s">
        <v>6060</v>
      </c>
      <c r="B2" s="53" t="s">
        <v>6061</v>
      </c>
    </row>
    <row r="3" spans="1:3" ht="24.75" customHeight="1">
      <c r="A3" s="76" t="s">
        <v>5998</v>
      </c>
      <c r="B3" s="76" t="s">
        <v>5999</v>
      </c>
      <c r="C3" s="50"/>
    </row>
    <row r="4" spans="1:3" ht="60">
      <c r="A4" s="76" t="s">
        <v>6000</v>
      </c>
      <c r="B4" s="44" t="s">
        <v>6001</v>
      </c>
      <c r="C4" s="50"/>
    </row>
    <row r="5" spans="1:3" s="68" customFormat="1">
      <c r="A5" s="88" t="s">
        <v>6002</v>
      </c>
      <c r="B5" s="88"/>
      <c r="C5" s="50"/>
    </row>
    <row r="6" spans="1:3">
      <c r="A6" s="67" t="s">
        <v>6003</v>
      </c>
      <c r="B6" s="67" t="s">
        <v>6004</v>
      </c>
    </row>
    <row r="7" spans="1:3">
      <c r="A7" s="44" t="s">
        <v>6005</v>
      </c>
      <c r="B7" s="44" t="s">
        <v>6006</v>
      </c>
    </row>
    <row r="8" spans="1:3">
      <c r="A8" s="44" t="s">
        <v>6007</v>
      </c>
      <c r="B8" s="77">
        <v>1000</v>
      </c>
    </row>
    <row r="9" spans="1:3">
      <c r="A9" s="44" t="s">
        <v>6008</v>
      </c>
      <c r="B9" s="44">
        <v>10</v>
      </c>
    </row>
    <row r="10" spans="1:3">
      <c r="A10" s="44" t="s">
        <v>6009</v>
      </c>
      <c r="B10" s="44" t="s">
        <v>6010</v>
      </c>
    </row>
    <row r="11" spans="1:3">
      <c r="A11" s="89" t="s">
        <v>6011</v>
      </c>
      <c r="B11" s="78" t="s">
        <v>6012</v>
      </c>
      <c r="C11" s="50"/>
    </row>
    <row r="12" spans="1:3">
      <c r="A12" s="89"/>
      <c r="B12" s="78" t="s">
        <v>6013</v>
      </c>
      <c r="C12" s="50"/>
    </row>
    <row r="13" spans="1:3">
      <c r="A13" s="89"/>
      <c r="B13" s="78" t="s">
        <v>6014</v>
      </c>
      <c r="C13" s="50"/>
    </row>
    <row r="14" spans="1:3">
      <c r="A14" s="89"/>
      <c r="B14" s="78" t="s">
        <v>6015</v>
      </c>
      <c r="C14" s="50"/>
    </row>
    <row r="15" spans="1:3">
      <c r="A15" s="89"/>
      <c r="B15" s="78" t="s">
        <v>6016</v>
      </c>
      <c r="C15" s="50"/>
    </row>
    <row r="16" spans="1:3">
      <c r="A16" s="89"/>
      <c r="B16" s="78" t="s">
        <v>6017</v>
      </c>
      <c r="C16" s="50"/>
    </row>
    <row r="17" spans="1:3">
      <c r="A17" s="89"/>
      <c r="B17" s="78" t="s">
        <v>6018</v>
      </c>
      <c r="C17" s="50"/>
    </row>
    <row r="18" spans="1:3">
      <c r="A18" s="89"/>
      <c r="B18" s="78" t="s">
        <v>6019</v>
      </c>
      <c r="C18" s="50"/>
    </row>
    <row r="19" spans="1:3">
      <c r="A19" s="89"/>
      <c r="B19" s="78" t="s">
        <v>6020</v>
      </c>
      <c r="C19" s="50"/>
    </row>
    <row r="20" spans="1:3">
      <c r="A20" s="89"/>
      <c r="B20" s="78" t="s">
        <v>6021</v>
      </c>
      <c r="C20" s="50"/>
    </row>
    <row r="21" spans="1:3">
      <c r="A21" s="88" t="s">
        <v>6022</v>
      </c>
      <c r="B21" s="78" t="s">
        <v>6023</v>
      </c>
      <c r="C21" s="50"/>
    </row>
    <row r="22" spans="1:3">
      <c r="A22" s="88"/>
      <c r="B22" s="78" t="s">
        <v>6024</v>
      </c>
      <c r="C22" s="50"/>
    </row>
    <row r="23" spans="1:3">
      <c r="A23" s="88"/>
      <c r="B23" s="78" t="s">
        <v>6025</v>
      </c>
      <c r="C23" s="50"/>
    </row>
    <row r="24" spans="1:3">
      <c r="A24" s="88"/>
      <c r="B24" s="78" t="s">
        <v>6026</v>
      </c>
      <c r="C24" s="50"/>
    </row>
    <row r="25" spans="1:3">
      <c r="A25" s="88"/>
      <c r="B25" s="78" t="s">
        <v>6027</v>
      </c>
      <c r="C25" s="50"/>
    </row>
    <row r="26" spans="1:3">
      <c r="A26" s="88"/>
      <c r="B26" s="78" t="s">
        <v>6029</v>
      </c>
      <c r="C26" s="50"/>
    </row>
    <row r="27" spans="1:3">
      <c r="A27" s="88"/>
      <c r="B27" s="78" t="s">
        <v>6030</v>
      </c>
      <c r="C27" s="50"/>
    </row>
    <row r="28" spans="1:3">
      <c r="A28" s="88"/>
      <c r="B28" s="78" t="s">
        <v>6031</v>
      </c>
      <c r="C28" s="50"/>
    </row>
    <row r="29" spans="1:3">
      <c r="A29" s="88"/>
      <c r="B29" s="78" t="s">
        <v>6057</v>
      </c>
      <c r="C29" s="50"/>
    </row>
    <row r="30" spans="1:3">
      <c r="A30" s="88"/>
      <c r="B30" s="78" t="s">
        <v>6032</v>
      </c>
      <c r="C30" s="50"/>
    </row>
    <row r="31" spans="1:3">
      <c r="A31" s="88"/>
      <c r="B31" s="78" t="s">
        <v>6055</v>
      </c>
      <c r="C31" s="50"/>
    </row>
    <row r="32" spans="1:3">
      <c r="A32" s="88"/>
      <c r="B32" s="78" t="s">
        <v>6056</v>
      </c>
      <c r="C32" s="50"/>
    </row>
    <row r="33" spans="1:3">
      <c r="A33" s="88"/>
      <c r="B33" s="78" t="s">
        <v>6028</v>
      </c>
      <c r="C33" s="50"/>
    </row>
    <row r="34" spans="1:3">
      <c r="A34" s="88"/>
      <c r="B34" s="78" t="s">
        <v>6058</v>
      </c>
      <c r="C34" s="50"/>
    </row>
    <row r="35" spans="1:3">
      <c r="A35" s="88" t="s">
        <v>6094</v>
      </c>
      <c r="B35" s="28" t="s">
        <v>6010</v>
      </c>
      <c r="C35" s="50"/>
    </row>
    <row r="36" spans="1:3">
      <c r="A36" s="88"/>
      <c r="B36" s="28" t="s">
        <v>6095</v>
      </c>
      <c r="C36" s="50"/>
    </row>
    <row r="37" spans="1:3">
      <c r="A37" s="88"/>
      <c r="B37" s="28" t="s">
        <v>6096</v>
      </c>
      <c r="C37" s="50"/>
    </row>
    <row r="38" spans="1:3">
      <c r="A38" s="88"/>
      <c r="B38" s="28" t="s">
        <v>6097</v>
      </c>
      <c r="C38" s="50"/>
    </row>
    <row r="39" spans="1:3">
      <c r="A39" s="88"/>
      <c r="B39" s="28" t="s">
        <v>6098</v>
      </c>
      <c r="C39" s="50"/>
    </row>
    <row r="40" spans="1:3">
      <c r="A40" s="88"/>
      <c r="B40" s="28" t="s">
        <v>6099</v>
      </c>
      <c r="C40" s="50"/>
    </row>
    <row r="41" spans="1:3">
      <c r="A41" s="88"/>
      <c r="B41" s="28" t="s">
        <v>6100</v>
      </c>
      <c r="C41" s="50"/>
    </row>
    <row r="42" spans="1:3">
      <c r="A42" s="88" t="s">
        <v>6033</v>
      </c>
      <c r="B42" s="79" t="s">
        <v>6034</v>
      </c>
      <c r="C42" s="50"/>
    </row>
    <row r="43" spans="1:3">
      <c r="A43" s="88"/>
      <c r="B43" s="79" t="s">
        <v>6035</v>
      </c>
      <c r="C43" s="50"/>
    </row>
    <row r="44" spans="1:3">
      <c r="A44" s="88"/>
      <c r="B44" s="79" t="s">
        <v>6036</v>
      </c>
      <c r="C44" s="50"/>
    </row>
    <row r="45" spans="1:3">
      <c r="A45" s="88"/>
      <c r="B45" s="79" t="s">
        <v>6037</v>
      </c>
      <c r="C45" s="50"/>
    </row>
    <row r="46" spans="1:3">
      <c r="A46" s="88"/>
      <c r="B46" s="79" t="s">
        <v>6038</v>
      </c>
      <c r="C46" s="50"/>
    </row>
    <row r="47" spans="1:3">
      <c r="A47" s="88"/>
      <c r="B47" s="79" t="s">
        <v>6039</v>
      </c>
      <c r="C47" s="50"/>
    </row>
    <row r="48" spans="1:3" s="68" customFormat="1">
      <c r="A48" s="88" t="s">
        <v>6040</v>
      </c>
      <c r="B48" s="88"/>
      <c r="C48" s="50"/>
    </row>
    <row r="49" spans="1:3">
      <c r="A49" s="67" t="s">
        <v>6041</v>
      </c>
      <c r="B49" s="67" t="s">
        <v>6004</v>
      </c>
    </row>
    <row r="50" spans="1:3">
      <c r="A50" s="44" t="s">
        <v>5953</v>
      </c>
      <c r="B50" s="44" t="s">
        <v>6042</v>
      </c>
    </row>
    <row r="51" spans="1:3">
      <c r="A51" s="44" t="s">
        <v>6059</v>
      </c>
      <c r="B51" s="44" t="s">
        <v>6043</v>
      </c>
    </row>
    <row r="52" spans="1:3" ht="30">
      <c r="A52" s="44" t="s">
        <v>5954</v>
      </c>
      <c r="B52" s="44" t="s">
        <v>6044</v>
      </c>
    </row>
    <row r="53" spans="1:3">
      <c r="A53" s="44" t="s">
        <v>5955</v>
      </c>
      <c r="B53" s="44" t="s">
        <v>6045</v>
      </c>
    </row>
    <row r="54" spans="1:3">
      <c r="A54" s="44" t="s">
        <v>5956</v>
      </c>
      <c r="B54" s="44" t="s">
        <v>6046</v>
      </c>
    </row>
    <row r="55" spans="1:3">
      <c r="A55" s="44" t="s">
        <v>5958</v>
      </c>
      <c r="B55" s="44" t="s">
        <v>6047</v>
      </c>
    </row>
    <row r="56" spans="1:3">
      <c r="A56" s="44" t="s">
        <v>5957</v>
      </c>
      <c r="B56" s="44" t="s">
        <v>6048</v>
      </c>
    </row>
    <row r="57" spans="1:3">
      <c r="A57" s="88" t="s">
        <v>6049</v>
      </c>
      <c r="B57" s="79" t="s">
        <v>6050</v>
      </c>
      <c r="C57" s="51"/>
    </row>
    <row r="58" spans="1:3">
      <c r="A58" s="88"/>
      <c r="B58" s="79" t="s">
        <v>6051</v>
      </c>
      <c r="C58" s="50"/>
    </row>
    <row r="59" spans="1:3">
      <c r="A59" s="88"/>
      <c r="B59" s="79" t="s">
        <v>6052</v>
      </c>
      <c r="C59" s="50"/>
    </row>
    <row r="60" spans="1:3">
      <c r="A60" s="88"/>
      <c r="B60" s="79" t="s">
        <v>6053</v>
      </c>
      <c r="C60" s="50"/>
    </row>
    <row r="61" spans="1:3">
      <c r="A61" s="88"/>
      <c r="B61" s="79" t="s">
        <v>6054</v>
      </c>
      <c r="C61" s="50"/>
    </row>
    <row r="63" spans="1:3">
      <c r="B63" s="40"/>
    </row>
    <row r="64" spans="1:3">
      <c r="B64" s="40"/>
    </row>
    <row r="65" spans="1:2">
      <c r="B65" s="40"/>
    </row>
    <row r="66" spans="1:2">
      <c r="B66" s="40"/>
    </row>
    <row r="67" spans="1:2">
      <c r="B67" s="40"/>
    </row>
    <row r="68" spans="1:2">
      <c r="B68" s="40"/>
    </row>
    <row r="69" spans="1:2">
      <c r="B69" s="40"/>
    </row>
    <row r="70" spans="1:2">
      <c r="B70" s="40"/>
    </row>
    <row r="71" spans="1:2">
      <c r="A71" s="40"/>
      <c r="B71" s="40"/>
    </row>
    <row r="72" spans="1:2">
      <c r="A72" s="40"/>
      <c r="B72" s="40"/>
    </row>
    <row r="73" spans="1:2">
      <c r="A73" s="40"/>
      <c r="B73" s="40"/>
    </row>
    <row r="74" spans="1:2">
      <c r="B74" s="40"/>
    </row>
    <row r="75" spans="1:2">
      <c r="A75" s="40"/>
      <c r="B75" s="40"/>
    </row>
    <row r="85" spans="1:2">
      <c r="A85" s="40"/>
      <c r="B85" s="40"/>
    </row>
    <row r="86" spans="1:2">
      <c r="B86" s="40"/>
    </row>
    <row r="87" spans="1:2">
      <c r="B87" s="40"/>
    </row>
    <row r="88" spans="1:2">
      <c r="B88" s="40"/>
    </row>
    <row r="89" spans="1:2">
      <c r="B89" s="40"/>
    </row>
    <row r="90" spans="1:2">
      <c r="B90" s="40"/>
    </row>
    <row r="91" spans="1:2">
      <c r="B91" s="40"/>
    </row>
    <row r="92" spans="1:2">
      <c r="B92" s="40"/>
    </row>
    <row r="93" spans="1:2">
      <c r="B93" s="40"/>
    </row>
    <row r="275" spans="4:4">
      <c r="D275" s="49"/>
    </row>
  </sheetData>
  <mergeCells count="7">
    <mergeCell ref="A57:A61"/>
    <mergeCell ref="A48:B48"/>
    <mergeCell ref="A5:B5"/>
    <mergeCell ref="A11:A20"/>
    <mergeCell ref="A21:A34"/>
    <mergeCell ref="A35:A41"/>
    <mergeCell ref="A42:A47"/>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theme="5" tint="0.39997558519241921"/>
  </sheetPr>
  <dimension ref="A1:K1002"/>
  <sheetViews>
    <sheetView workbookViewId="0">
      <selection sqref="A1:K11"/>
    </sheetView>
  </sheetViews>
  <sheetFormatPr defaultRowHeight="15"/>
  <cols>
    <col min="1" max="1" width="6.28515625" bestFit="1" customWidth="1"/>
    <col min="2" max="2" width="14.42578125" bestFit="1" customWidth="1"/>
    <col min="3" max="3" width="22.42578125" customWidth="1"/>
    <col min="4" max="4" width="10.140625" customWidth="1"/>
    <col min="5" max="5" width="10.7109375" bestFit="1" customWidth="1"/>
    <col min="6" max="6" width="16" bestFit="1" customWidth="1"/>
    <col min="7" max="7" width="13.85546875" customWidth="1"/>
    <col min="8" max="8" width="15.85546875" bestFit="1" customWidth="1"/>
    <col min="9" max="9" width="10.28515625" customWidth="1"/>
    <col min="10" max="10" width="32.7109375" customWidth="1"/>
    <col min="11" max="11" width="13.42578125" customWidth="1"/>
  </cols>
  <sheetData>
    <row r="1" spans="1:11">
      <c r="A1" s="90" t="s">
        <v>2926</v>
      </c>
      <c r="B1" s="90"/>
      <c r="C1" s="90"/>
      <c r="D1" s="90"/>
      <c r="E1" s="90"/>
      <c r="F1" s="90"/>
      <c r="G1" s="90"/>
      <c r="H1" s="90"/>
      <c r="I1" s="90"/>
      <c r="J1" s="90"/>
      <c r="K1" s="91"/>
    </row>
    <row r="2" spans="1:11">
      <c r="A2" s="6" t="s">
        <v>2933</v>
      </c>
      <c r="B2" s="6" t="s">
        <v>0</v>
      </c>
      <c r="C2" s="6" t="s">
        <v>1</v>
      </c>
      <c r="D2" s="6" t="s">
        <v>2</v>
      </c>
      <c r="E2" s="6" t="s">
        <v>3</v>
      </c>
      <c r="F2" s="6" t="s">
        <v>4</v>
      </c>
      <c r="G2" s="6" t="s">
        <v>5</v>
      </c>
      <c r="H2" s="6" t="s">
        <v>6</v>
      </c>
      <c r="I2" s="6" t="s">
        <v>7</v>
      </c>
      <c r="J2" s="6" t="s">
        <v>8</v>
      </c>
      <c r="K2" s="6" t="s">
        <v>9</v>
      </c>
    </row>
    <row r="3" spans="1:11">
      <c r="A3" s="21">
        <v>1</v>
      </c>
      <c r="B3" s="5" t="s">
        <v>10</v>
      </c>
      <c r="C3" s="23" t="s">
        <v>3541</v>
      </c>
      <c r="D3" s="23" t="s">
        <v>17</v>
      </c>
      <c r="E3" s="5" t="s">
        <v>11</v>
      </c>
      <c r="F3" s="71" t="s">
        <v>6101</v>
      </c>
      <c r="G3" s="22" t="s">
        <v>12</v>
      </c>
      <c r="H3" s="5" t="s">
        <v>13</v>
      </c>
      <c r="I3" s="5" t="s">
        <v>14</v>
      </c>
      <c r="J3" s="5" t="s">
        <v>5177</v>
      </c>
      <c r="K3" s="5" t="s">
        <v>15</v>
      </c>
    </row>
    <row r="4" spans="1:11">
      <c r="A4" s="21">
        <v>2</v>
      </c>
      <c r="B4" s="5" t="s">
        <v>16</v>
      </c>
      <c r="C4" s="23" t="s">
        <v>3073</v>
      </c>
      <c r="D4" s="23" t="s">
        <v>77</v>
      </c>
      <c r="E4" s="5" t="s">
        <v>18</v>
      </c>
      <c r="F4" s="71" t="s">
        <v>6101</v>
      </c>
      <c r="G4" s="22" t="s">
        <v>179</v>
      </c>
      <c r="H4" s="22" t="s">
        <v>179</v>
      </c>
      <c r="I4" s="5" t="s">
        <v>21</v>
      </c>
      <c r="J4" s="5" t="s">
        <v>5275</v>
      </c>
      <c r="K4" s="5">
        <v>893260231</v>
      </c>
    </row>
    <row r="5" spans="1:11">
      <c r="A5" s="21">
        <v>3</v>
      </c>
      <c r="B5" s="5" t="s">
        <v>22</v>
      </c>
      <c r="C5" s="23" t="s">
        <v>3762</v>
      </c>
      <c r="D5" s="23" t="s">
        <v>59</v>
      </c>
      <c r="E5" s="5" t="s">
        <v>23</v>
      </c>
      <c r="F5" s="71" t="s">
        <v>6101</v>
      </c>
      <c r="G5" s="22" t="s">
        <v>24</v>
      </c>
      <c r="H5" s="5" t="s">
        <v>25</v>
      </c>
      <c r="I5" s="5" t="s">
        <v>26</v>
      </c>
      <c r="J5" s="5" t="s">
        <v>5687</v>
      </c>
      <c r="K5" s="5" t="s">
        <v>27</v>
      </c>
    </row>
    <row r="6" spans="1:11">
      <c r="A6" s="21">
        <v>4</v>
      </c>
      <c r="B6" s="5" t="s">
        <v>28</v>
      </c>
      <c r="C6" s="23" t="s">
        <v>3656</v>
      </c>
      <c r="D6" s="23" t="s">
        <v>59</v>
      </c>
      <c r="E6" s="5" t="s">
        <v>29</v>
      </c>
      <c r="F6" s="71" t="s">
        <v>6101</v>
      </c>
      <c r="G6" s="22" t="s">
        <v>30</v>
      </c>
      <c r="H6" s="5" t="s">
        <v>31</v>
      </c>
      <c r="I6" s="5" t="s">
        <v>14</v>
      </c>
      <c r="J6" s="5" t="s">
        <v>5587</v>
      </c>
      <c r="K6" s="5" t="s">
        <v>32</v>
      </c>
    </row>
    <row r="7" spans="1:11">
      <c r="A7" s="21">
        <v>5</v>
      </c>
      <c r="B7" s="5" t="s">
        <v>33</v>
      </c>
      <c r="C7" s="23" t="s">
        <v>3542</v>
      </c>
      <c r="D7" s="23" t="s">
        <v>77</v>
      </c>
      <c r="E7" s="5" t="s">
        <v>35</v>
      </c>
      <c r="F7" s="71" t="s">
        <v>6101</v>
      </c>
      <c r="G7" s="22" t="s">
        <v>12</v>
      </c>
      <c r="H7" s="5" t="s">
        <v>36</v>
      </c>
      <c r="I7" s="5" t="s">
        <v>14</v>
      </c>
      <c r="J7" s="5" t="s">
        <v>5636</v>
      </c>
      <c r="K7" s="5" t="s">
        <v>37</v>
      </c>
    </row>
    <row r="8" spans="1:11">
      <c r="A8" s="21">
        <v>6</v>
      </c>
      <c r="B8" s="5" t="s">
        <v>38</v>
      </c>
      <c r="C8" s="23" t="s">
        <v>2976</v>
      </c>
      <c r="D8" s="23" t="s">
        <v>34</v>
      </c>
      <c r="E8" s="5" t="s">
        <v>39</v>
      </c>
      <c r="F8" s="71" t="s">
        <v>6101</v>
      </c>
      <c r="G8" s="22" t="s">
        <v>179</v>
      </c>
      <c r="H8" s="5" t="s">
        <v>3932</v>
      </c>
      <c r="I8" s="5" t="s">
        <v>56</v>
      </c>
      <c r="J8" s="5" t="s">
        <v>5747</v>
      </c>
      <c r="K8" s="5" t="s">
        <v>43</v>
      </c>
    </row>
    <row r="9" spans="1:11">
      <c r="A9" s="21">
        <v>7</v>
      </c>
      <c r="B9" s="5" t="s">
        <v>44</v>
      </c>
      <c r="C9" s="23" t="s">
        <v>3763</v>
      </c>
      <c r="D9" s="23" t="s">
        <v>59</v>
      </c>
      <c r="E9" s="5" t="s">
        <v>45</v>
      </c>
      <c r="F9" s="71" t="s">
        <v>6101</v>
      </c>
      <c r="G9" s="22" t="s">
        <v>24</v>
      </c>
      <c r="H9" s="5" t="s">
        <v>46</v>
      </c>
      <c r="I9" s="5" t="s">
        <v>14</v>
      </c>
      <c r="J9" s="5" t="s">
        <v>5519</v>
      </c>
      <c r="K9" s="5" t="s">
        <v>47</v>
      </c>
    </row>
    <row r="10" spans="1:11">
      <c r="A10" s="21">
        <v>8</v>
      </c>
      <c r="B10" s="5" t="s">
        <v>48</v>
      </c>
      <c r="C10" s="23" t="s">
        <v>3657</v>
      </c>
      <c r="D10" s="23" t="s">
        <v>59</v>
      </c>
      <c r="E10" s="5" t="s">
        <v>49</v>
      </c>
      <c r="F10" s="71" t="s">
        <v>6101</v>
      </c>
      <c r="G10" s="22" t="s">
        <v>30</v>
      </c>
      <c r="H10" s="5" t="s">
        <v>31</v>
      </c>
      <c r="I10" s="5" t="s">
        <v>50</v>
      </c>
      <c r="J10" s="5" t="s">
        <v>4888</v>
      </c>
      <c r="K10" s="5" t="s">
        <v>51</v>
      </c>
    </row>
    <row r="11" spans="1:11">
      <c r="A11" s="21">
        <v>9</v>
      </c>
      <c r="B11" s="5" t="s">
        <v>52</v>
      </c>
      <c r="C11" s="23" t="s">
        <v>3435</v>
      </c>
      <c r="D11" s="23" t="s">
        <v>17</v>
      </c>
      <c r="E11" s="5" t="s">
        <v>53</v>
      </c>
      <c r="F11" s="71" t="s">
        <v>6101</v>
      </c>
      <c r="G11" s="22" t="s">
        <v>160</v>
      </c>
      <c r="H11" s="5" t="s">
        <v>3932</v>
      </c>
      <c r="I11" s="5" t="s">
        <v>56</v>
      </c>
      <c r="J11" s="5" t="s">
        <v>5734</v>
      </c>
      <c r="K11" s="5" t="s">
        <v>57</v>
      </c>
    </row>
    <row r="12" spans="1:11">
      <c r="A12" s="21">
        <v>10</v>
      </c>
      <c r="B12" s="5" t="s">
        <v>58</v>
      </c>
      <c r="C12" s="23" t="s">
        <v>3283</v>
      </c>
      <c r="D12" s="23" t="s">
        <v>77</v>
      </c>
      <c r="E12" s="5" t="s">
        <v>60</v>
      </c>
      <c r="F12" s="71" t="s">
        <v>6101</v>
      </c>
      <c r="G12" s="22" t="s">
        <v>179</v>
      </c>
      <c r="H12" s="5" t="s">
        <v>3932</v>
      </c>
      <c r="I12" s="5" t="s">
        <v>26</v>
      </c>
      <c r="J12" s="5" t="s">
        <v>5384</v>
      </c>
      <c r="K12" s="5" t="s">
        <v>63</v>
      </c>
    </row>
    <row r="13" spans="1:11">
      <c r="A13" s="21">
        <v>11</v>
      </c>
      <c r="B13" s="5" t="s">
        <v>64</v>
      </c>
      <c r="C13" s="23" t="s">
        <v>3111</v>
      </c>
      <c r="D13" s="23" t="s">
        <v>34</v>
      </c>
      <c r="E13" s="5" t="s">
        <v>65</v>
      </c>
      <c r="F13" s="71" t="s">
        <v>6101</v>
      </c>
      <c r="G13" s="22" t="s">
        <v>66</v>
      </c>
      <c r="H13" s="5" t="s">
        <v>20</v>
      </c>
      <c r="I13" s="5" t="s">
        <v>67</v>
      </c>
      <c r="J13" s="5" t="s">
        <v>5513</v>
      </c>
      <c r="K13" s="5" t="s">
        <v>68</v>
      </c>
    </row>
    <row r="14" spans="1:11">
      <c r="A14" s="21">
        <v>12</v>
      </c>
      <c r="B14" s="5" t="s">
        <v>69</v>
      </c>
      <c r="C14" s="23" t="s">
        <v>2977</v>
      </c>
      <c r="D14" s="23" t="s">
        <v>34</v>
      </c>
      <c r="E14" s="5" t="s">
        <v>70</v>
      </c>
      <c r="F14" s="71" t="s">
        <v>6101</v>
      </c>
      <c r="G14" s="22" t="s">
        <v>40</v>
      </c>
      <c r="H14" s="5" t="s">
        <v>71</v>
      </c>
      <c r="I14" s="5" t="s">
        <v>21</v>
      </c>
      <c r="J14" s="5" t="s">
        <v>5664</v>
      </c>
      <c r="K14" s="5">
        <v>803522114</v>
      </c>
    </row>
    <row r="15" spans="1:11">
      <c r="A15" s="21">
        <v>13</v>
      </c>
      <c r="B15" s="5" t="s">
        <v>72</v>
      </c>
      <c r="C15" s="23" t="s">
        <v>2978</v>
      </c>
      <c r="D15" s="23" t="s">
        <v>34</v>
      </c>
      <c r="E15" s="5" t="s">
        <v>73</v>
      </c>
      <c r="F15" s="71" t="s">
        <v>6101</v>
      </c>
      <c r="G15" s="22" t="s">
        <v>179</v>
      </c>
      <c r="H15" s="5" t="s">
        <v>3932</v>
      </c>
      <c r="I15" s="5" t="s">
        <v>56</v>
      </c>
      <c r="J15" s="5" t="s">
        <v>4915</v>
      </c>
      <c r="K15" s="5" t="s">
        <v>75</v>
      </c>
    </row>
    <row r="16" spans="1:11">
      <c r="A16" s="21">
        <v>14</v>
      </c>
      <c r="B16" s="5" t="s">
        <v>76</v>
      </c>
      <c r="C16" s="23" t="s">
        <v>3074</v>
      </c>
      <c r="D16" s="23" t="s">
        <v>77</v>
      </c>
      <c r="E16" s="5" t="s">
        <v>78</v>
      </c>
      <c r="F16" s="71" t="s">
        <v>6101</v>
      </c>
      <c r="G16" s="22" t="s">
        <v>179</v>
      </c>
      <c r="H16" s="5" t="s">
        <v>3932</v>
      </c>
      <c r="I16" s="5" t="s">
        <v>21</v>
      </c>
      <c r="J16" s="5" t="s">
        <v>5145</v>
      </c>
      <c r="K16" s="5" t="s">
        <v>79</v>
      </c>
    </row>
    <row r="17" spans="1:11">
      <c r="A17" s="21">
        <v>15</v>
      </c>
      <c r="B17" s="5" t="s">
        <v>80</v>
      </c>
      <c r="C17" s="23" t="s">
        <v>3194</v>
      </c>
      <c r="D17" s="23" t="s">
        <v>77</v>
      </c>
      <c r="E17" s="5" t="s">
        <v>81</v>
      </c>
      <c r="F17" s="71" t="s">
        <v>6101</v>
      </c>
      <c r="G17" s="22" t="s">
        <v>179</v>
      </c>
      <c r="H17" s="5" t="s">
        <v>3932</v>
      </c>
      <c r="I17" s="5" t="s">
        <v>67</v>
      </c>
      <c r="J17" s="5" t="s">
        <v>5146</v>
      </c>
      <c r="K17" s="5">
        <v>853887755</v>
      </c>
    </row>
    <row r="18" spans="1:11">
      <c r="A18" s="21">
        <v>16</v>
      </c>
      <c r="B18" s="5" t="s">
        <v>83</v>
      </c>
      <c r="C18" s="23" t="s">
        <v>3863</v>
      </c>
      <c r="D18" s="23" t="s">
        <v>17</v>
      </c>
      <c r="E18" s="5" t="s">
        <v>84</v>
      </c>
      <c r="F18" s="71" t="s">
        <v>6101</v>
      </c>
      <c r="G18" s="22" t="s">
        <v>85</v>
      </c>
      <c r="H18" s="5" t="s">
        <v>86</v>
      </c>
      <c r="I18" s="5" t="s">
        <v>67</v>
      </c>
      <c r="J18" s="5" t="s">
        <v>5400</v>
      </c>
      <c r="K18" s="5" t="s">
        <v>87</v>
      </c>
    </row>
    <row r="19" spans="1:11">
      <c r="A19" s="21">
        <v>17</v>
      </c>
      <c r="B19" s="5" t="s">
        <v>88</v>
      </c>
      <c r="C19" s="23" t="s">
        <v>3075</v>
      </c>
      <c r="D19" s="23" t="s">
        <v>77</v>
      </c>
      <c r="E19" s="5" t="s">
        <v>89</v>
      </c>
      <c r="F19" s="71" t="s">
        <v>6101</v>
      </c>
      <c r="G19" s="22" t="s">
        <v>19</v>
      </c>
      <c r="H19" s="5" t="s">
        <v>20</v>
      </c>
      <c r="I19" s="5" t="s">
        <v>56</v>
      </c>
      <c r="J19" s="5" t="s">
        <v>5082</v>
      </c>
      <c r="K19" s="5" t="s">
        <v>90</v>
      </c>
    </row>
    <row r="20" spans="1:11">
      <c r="A20" s="21">
        <v>18</v>
      </c>
      <c r="B20" s="5" t="s">
        <v>91</v>
      </c>
      <c r="C20" s="23" t="s">
        <v>3324</v>
      </c>
      <c r="D20" s="23" t="s">
        <v>34</v>
      </c>
      <c r="E20" s="5" t="s">
        <v>92</v>
      </c>
      <c r="F20" s="71" t="s">
        <v>6101</v>
      </c>
      <c r="G20" s="22" t="s">
        <v>93</v>
      </c>
      <c r="H20" s="5" t="s">
        <v>94</v>
      </c>
      <c r="I20" s="5" t="s">
        <v>21</v>
      </c>
      <c r="J20" s="5" t="s">
        <v>5011</v>
      </c>
      <c r="K20" s="5" t="s">
        <v>95</v>
      </c>
    </row>
    <row r="21" spans="1:11">
      <c r="A21" s="21">
        <v>19</v>
      </c>
      <c r="B21" s="5" t="s">
        <v>96</v>
      </c>
      <c r="C21" s="23" t="s">
        <v>3195</v>
      </c>
      <c r="D21" s="23" t="s">
        <v>34</v>
      </c>
      <c r="E21" s="5" t="s">
        <v>97</v>
      </c>
      <c r="F21" s="71" t="s">
        <v>6101</v>
      </c>
      <c r="G21" s="22" t="s">
        <v>179</v>
      </c>
      <c r="H21" s="5" t="s">
        <v>3932</v>
      </c>
      <c r="I21" s="5" t="s">
        <v>67</v>
      </c>
      <c r="J21" s="5" t="s">
        <v>5346</v>
      </c>
      <c r="K21" s="5" t="s">
        <v>99</v>
      </c>
    </row>
    <row r="22" spans="1:11">
      <c r="A22" s="21">
        <v>20</v>
      </c>
      <c r="B22" s="5" t="s">
        <v>100</v>
      </c>
      <c r="C22" s="23" t="s">
        <v>3436</v>
      </c>
      <c r="D22" s="23" t="s">
        <v>17</v>
      </c>
      <c r="E22" s="5" t="s">
        <v>101</v>
      </c>
      <c r="F22" s="71" t="s">
        <v>6101</v>
      </c>
      <c r="G22" s="22" t="s">
        <v>102</v>
      </c>
      <c r="H22" s="5" t="s">
        <v>55</v>
      </c>
      <c r="I22" s="5" t="s">
        <v>21</v>
      </c>
      <c r="J22" s="5" t="s">
        <v>5481</v>
      </c>
      <c r="K22" s="5" t="s">
        <v>103</v>
      </c>
    </row>
    <row r="23" spans="1:11">
      <c r="A23" s="21">
        <v>21</v>
      </c>
      <c r="B23" s="5" t="s">
        <v>104</v>
      </c>
      <c r="C23" s="23" t="s">
        <v>2979</v>
      </c>
      <c r="D23" s="23" t="s">
        <v>34</v>
      </c>
      <c r="E23" s="5" t="s">
        <v>105</v>
      </c>
      <c r="F23" s="71" t="s">
        <v>6101</v>
      </c>
      <c r="G23" s="22" t="s">
        <v>40</v>
      </c>
      <c r="H23" s="5" t="s">
        <v>71</v>
      </c>
      <c r="I23" s="5" t="s">
        <v>50</v>
      </c>
      <c r="J23" s="5" t="s">
        <v>5458</v>
      </c>
      <c r="K23" s="5" t="s">
        <v>106</v>
      </c>
    </row>
    <row r="24" spans="1:11">
      <c r="A24" s="21">
        <v>22</v>
      </c>
      <c r="B24" s="5" t="s">
        <v>107</v>
      </c>
      <c r="C24" s="23" t="s">
        <v>2980</v>
      </c>
      <c r="D24" s="23" t="s">
        <v>34</v>
      </c>
      <c r="E24" s="5" t="s">
        <v>108</v>
      </c>
      <c r="F24" s="71" t="s">
        <v>6101</v>
      </c>
      <c r="G24" s="22" t="s">
        <v>179</v>
      </c>
      <c r="H24" s="5" t="s">
        <v>3932</v>
      </c>
      <c r="I24" s="5" t="s">
        <v>67</v>
      </c>
      <c r="J24" s="5" t="s">
        <v>5120</v>
      </c>
      <c r="K24" s="5" t="s">
        <v>109</v>
      </c>
    </row>
    <row r="25" spans="1:11">
      <c r="A25" s="21">
        <v>23</v>
      </c>
      <c r="B25" s="5" t="s">
        <v>110</v>
      </c>
      <c r="C25" s="23" t="s">
        <v>3437</v>
      </c>
      <c r="D25" s="23" t="s">
        <v>17</v>
      </c>
      <c r="E25" s="5" t="s">
        <v>111</v>
      </c>
      <c r="F25" s="71" t="s">
        <v>6101</v>
      </c>
      <c r="G25" s="22" t="s">
        <v>102</v>
      </c>
      <c r="H25" s="5" t="s">
        <v>55</v>
      </c>
      <c r="I25" s="5" t="s">
        <v>50</v>
      </c>
      <c r="J25" s="5" t="s">
        <v>4919</v>
      </c>
      <c r="K25" s="5" t="s">
        <v>112</v>
      </c>
    </row>
    <row r="26" spans="1:11">
      <c r="A26" s="21">
        <v>24</v>
      </c>
      <c r="B26" s="5" t="s">
        <v>113</v>
      </c>
      <c r="C26" s="23" t="s">
        <v>3658</v>
      </c>
      <c r="D26" s="23" t="s">
        <v>59</v>
      </c>
      <c r="E26" s="5" t="s">
        <v>114</v>
      </c>
      <c r="F26" s="71" t="s">
        <v>6101</v>
      </c>
      <c r="G26" s="22" t="s">
        <v>3934</v>
      </c>
      <c r="H26" s="5" t="s">
        <v>13</v>
      </c>
      <c r="I26" s="5" t="s">
        <v>26</v>
      </c>
      <c r="J26" s="5" t="s">
        <v>5289</v>
      </c>
      <c r="K26" s="5" t="s">
        <v>116</v>
      </c>
    </row>
    <row r="27" spans="1:11">
      <c r="A27" s="21">
        <v>25</v>
      </c>
      <c r="B27" s="5" t="s">
        <v>117</v>
      </c>
      <c r="C27" s="23" t="s">
        <v>3864</v>
      </c>
      <c r="D27" s="23" t="s">
        <v>17</v>
      </c>
      <c r="E27" s="5" t="s">
        <v>118</v>
      </c>
      <c r="F27" s="71" t="s">
        <v>6101</v>
      </c>
      <c r="G27" s="22" t="s">
        <v>119</v>
      </c>
      <c r="H27" s="5" t="s">
        <v>120</v>
      </c>
      <c r="I27" s="5" t="s">
        <v>42</v>
      </c>
      <c r="J27" s="5" t="s">
        <v>4951</v>
      </c>
      <c r="K27" s="5" t="s">
        <v>121</v>
      </c>
    </row>
    <row r="28" spans="1:11">
      <c r="A28" s="21">
        <v>26</v>
      </c>
      <c r="B28" s="5" t="s">
        <v>122</v>
      </c>
      <c r="C28" s="23" t="s">
        <v>3543</v>
      </c>
      <c r="D28" s="23" t="s">
        <v>77</v>
      </c>
      <c r="E28" s="5" t="s">
        <v>123</v>
      </c>
      <c r="F28" s="71" t="s">
        <v>6101</v>
      </c>
      <c r="G28" s="22" t="s">
        <v>12</v>
      </c>
      <c r="H28" s="5" t="s">
        <v>36</v>
      </c>
      <c r="I28" s="5" t="s">
        <v>67</v>
      </c>
      <c r="J28" s="5" t="s">
        <v>5073</v>
      </c>
      <c r="K28" s="5" t="s">
        <v>124</v>
      </c>
    </row>
    <row r="29" spans="1:11">
      <c r="A29" s="21">
        <v>27</v>
      </c>
      <c r="B29" s="5" t="s">
        <v>125</v>
      </c>
      <c r="C29" s="23" t="s">
        <v>2981</v>
      </c>
      <c r="D29" s="23" t="s">
        <v>34</v>
      </c>
      <c r="E29" s="5" t="s">
        <v>126</v>
      </c>
      <c r="F29" s="71" t="s">
        <v>6101</v>
      </c>
      <c r="G29" s="22" t="s">
        <v>179</v>
      </c>
      <c r="H29" s="5" t="s">
        <v>3932</v>
      </c>
      <c r="I29" s="5" t="s">
        <v>56</v>
      </c>
      <c r="J29" s="5" t="s">
        <v>5202</v>
      </c>
      <c r="K29" s="5" t="s">
        <v>127</v>
      </c>
    </row>
    <row r="30" spans="1:11">
      <c r="A30" s="21">
        <v>28</v>
      </c>
      <c r="B30" s="5" t="s">
        <v>128</v>
      </c>
      <c r="C30" s="23" t="s">
        <v>3112</v>
      </c>
      <c r="D30" s="23" t="s">
        <v>77</v>
      </c>
      <c r="E30" s="5" t="s">
        <v>129</v>
      </c>
      <c r="F30" s="71" t="s">
        <v>6101</v>
      </c>
      <c r="G30" s="22" t="s">
        <v>66</v>
      </c>
      <c r="H30" s="5" t="s">
        <v>130</v>
      </c>
      <c r="I30" s="5" t="s">
        <v>56</v>
      </c>
      <c r="J30" s="5" t="s">
        <v>5742</v>
      </c>
      <c r="K30" s="5" t="s">
        <v>131</v>
      </c>
    </row>
    <row r="31" spans="1:11">
      <c r="A31" s="21">
        <v>29</v>
      </c>
      <c r="B31" s="5" t="s">
        <v>132</v>
      </c>
      <c r="C31" s="23" t="s">
        <v>3076</v>
      </c>
      <c r="D31" s="23" t="s">
        <v>34</v>
      </c>
      <c r="E31" s="5" t="s">
        <v>133</v>
      </c>
      <c r="F31" s="71" t="s">
        <v>6101</v>
      </c>
      <c r="G31" s="22" t="s">
        <v>179</v>
      </c>
      <c r="H31" s="5" t="s">
        <v>3932</v>
      </c>
      <c r="I31" s="5" t="s">
        <v>21</v>
      </c>
      <c r="J31" s="5" t="s">
        <v>4787</v>
      </c>
      <c r="K31" s="5" t="s">
        <v>134</v>
      </c>
    </row>
    <row r="32" spans="1:11">
      <c r="A32" s="21">
        <v>30</v>
      </c>
      <c r="B32" s="5" t="s">
        <v>135</v>
      </c>
      <c r="C32" s="23" t="s">
        <v>2982</v>
      </c>
      <c r="D32" s="23" t="s">
        <v>34</v>
      </c>
      <c r="E32" s="5" t="s">
        <v>136</v>
      </c>
      <c r="F32" s="71" t="s">
        <v>6101</v>
      </c>
      <c r="G32" s="22" t="s">
        <v>179</v>
      </c>
      <c r="H32" s="5" t="s">
        <v>3932</v>
      </c>
      <c r="I32" s="5" t="s">
        <v>67</v>
      </c>
      <c r="J32" s="5" t="s">
        <v>5221</v>
      </c>
      <c r="K32" s="5" t="s">
        <v>137</v>
      </c>
    </row>
    <row r="33" spans="1:11">
      <c r="A33" s="21">
        <v>31</v>
      </c>
      <c r="B33" s="5" t="s">
        <v>138</v>
      </c>
      <c r="C33" s="23" t="s">
        <v>3438</v>
      </c>
      <c r="D33" s="23" t="s">
        <v>77</v>
      </c>
      <c r="E33" s="5" t="s">
        <v>139</v>
      </c>
      <c r="F33" s="71" t="s">
        <v>6101</v>
      </c>
      <c r="G33" s="22" t="s">
        <v>160</v>
      </c>
      <c r="H33" s="5" t="s">
        <v>3932</v>
      </c>
      <c r="I33" s="5" t="s">
        <v>42</v>
      </c>
      <c r="J33" s="5" t="s">
        <v>5100</v>
      </c>
      <c r="K33" s="5" t="s">
        <v>141</v>
      </c>
    </row>
    <row r="34" spans="1:11">
      <c r="A34" s="21">
        <v>32</v>
      </c>
      <c r="B34" s="5" t="s">
        <v>142</v>
      </c>
      <c r="C34" s="23" t="s">
        <v>3815</v>
      </c>
      <c r="D34" s="23" t="s">
        <v>59</v>
      </c>
      <c r="E34" s="5" t="s">
        <v>143</v>
      </c>
      <c r="F34" s="71" t="s">
        <v>6101</v>
      </c>
      <c r="G34" s="22" t="s">
        <v>144</v>
      </c>
      <c r="H34" s="5" t="s">
        <v>25</v>
      </c>
      <c r="I34" s="5" t="s">
        <v>42</v>
      </c>
      <c r="J34" s="5" t="s">
        <v>5251</v>
      </c>
      <c r="K34" s="5" t="s">
        <v>145</v>
      </c>
    </row>
    <row r="35" spans="1:11">
      <c r="A35" s="21">
        <v>33</v>
      </c>
      <c r="B35" s="5" t="s">
        <v>146</v>
      </c>
      <c r="C35" s="23" t="s">
        <v>3439</v>
      </c>
      <c r="D35" s="23" t="s">
        <v>77</v>
      </c>
      <c r="E35" s="5" t="s">
        <v>147</v>
      </c>
      <c r="F35" s="71" t="s">
        <v>6101</v>
      </c>
      <c r="G35" s="22" t="s">
        <v>160</v>
      </c>
      <c r="H35" s="5" t="s">
        <v>3932</v>
      </c>
      <c r="I35" s="5" t="s">
        <v>26</v>
      </c>
      <c r="J35" s="5" t="s">
        <v>5475</v>
      </c>
      <c r="K35" s="5" t="s">
        <v>148</v>
      </c>
    </row>
    <row r="36" spans="1:11">
      <c r="A36" s="21">
        <v>34</v>
      </c>
      <c r="B36" s="5" t="s">
        <v>149</v>
      </c>
      <c r="C36" s="23" t="s">
        <v>3077</v>
      </c>
      <c r="D36" s="23" t="s">
        <v>77</v>
      </c>
      <c r="E36" s="5" t="s">
        <v>150</v>
      </c>
      <c r="F36" s="71" t="s">
        <v>6101</v>
      </c>
      <c r="G36" s="22" t="s">
        <v>179</v>
      </c>
      <c r="H36" s="22" t="s">
        <v>179</v>
      </c>
      <c r="I36" s="5" t="s">
        <v>21</v>
      </c>
      <c r="J36" s="5" t="s">
        <v>5192</v>
      </c>
      <c r="K36" s="5" t="s">
        <v>151</v>
      </c>
    </row>
    <row r="37" spans="1:11">
      <c r="A37" s="21">
        <v>35</v>
      </c>
      <c r="B37" s="5" t="s">
        <v>152</v>
      </c>
      <c r="C37" s="23" t="s">
        <v>2983</v>
      </c>
      <c r="D37" s="23" t="s">
        <v>34</v>
      </c>
      <c r="E37" s="5" t="s">
        <v>153</v>
      </c>
      <c r="F37" s="71" t="s">
        <v>6101</v>
      </c>
      <c r="G37" s="22" t="s">
        <v>179</v>
      </c>
      <c r="H37" s="5" t="s">
        <v>3932</v>
      </c>
      <c r="I37" s="5" t="s">
        <v>67</v>
      </c>
      <c r="J37" s="5" t="s">
        <v>5007</v>
      </c>
      <c r="K37" s="5" t="s">
        <v>154</v>
      </c>
    </row>
    <row r="38" spans="1:11">
      <c r="A38" s="21">
        <v>36</v>
      </c>
      <c r="B38" s="5" t="s">
        <v>155</v>
      </c>
      <c r="C38" s="23" t="s">
        <v>3196</v>
      </c>
      <c r="D38" s="23" t="s">
        <v>34</v>
      </c>
      <c r="E38" s="5" t="s">
        <v>156</v>
      </c>
      <c r="F38" s="71" t="s">
        <v>6101</v>
      </c>
      <c r="G38" s="22" t="s">
        <v>82</v>
      </c>
      <c r="H38" s="5" t="s">
        <v>98</v>
      </c>
      <c r="I38" s="5" t="s">
        <v>21</v>
      </c>
      <c r="J38" s="5" t="s">
        <v>5483</v>
      </c>
      <c r="K38" s="5" t="s">
        <v>157</v>
      </c>
    </row>
    <row r="39" spans="1:11">
      <c r="A39" s="21">
        <v>37</v>
      </c>
      <c r="B39" s="5" t="s">
        <v>158</v>
      </c>
      <c r="C39" s="23" t="s">
        <v>3575</v>
      </c>
      <c r="D39" s="23" t="s">
        <v>59</v>
      </c>
      <c r="E39" s="5" t="s">
        <v>159</v>
      </c>
      <c r="F39" s="71" t="s">
        <v>6101</v>
      </c>
      <c r="G39" s="22" t="s">
        <v>160</v>
      </c>
      <c r="H39" s="5" t="s">
        <v>13</v>
      </c>
      <c r="I39" s="5" t="s">
        <v>42</v>
      </c>
      <c r="J39" s="5" t="s">
        <v>5200</v>
      </c>
      <c r="K39" s="5" t="s">
        <v>161</v>
      </c>
    </row>
    <row r="40" spans="1:11">
      <c r="A40" s="21">
        <v>38</v>
      </c>
      <c r="B40" s="5" t="s">
        <v>162</v>
      </c>
      <c r="C40" s="23" t="s">
        <v>3544</v>
      </c>
      <c r="D40" s="23" t="s">
        <v>17</v>
      </c>
      <c r="E40" s="5" t="s">
        <v>163</v>
      </c>
      <c r="F40" s="71" t="s">
        <v>6101</v>
      </c>
      <c r="G40" s="22" t="s">
        <v>12</v>
      </c>
      <c r="H40" s="5" t="s">
        <v>36</v>
      </c>
      <c r="I40" s="5" t="s">
        <v>50</v>
      </c>
      <c r="J40" s="5" t="s">
        <v>5604</v>
      </c>
      <c r="K40" s="5">
        <v>846922616</v>
      </c>
    </row>
    <row r="41" spans="1:11">
      <c r="A41" s="21">
        <v>39</v>
      </c>
      <c r="B41" s="5" t="s">
        <v>164</v>
      </c>
      <c r="C41" s="23" t="s">
        <v>3197</v>
      </c>
      <c r="D41" s="23" t="s">
        <v>77</v>
      </c>
      <c r="E41" s="5" t="s">
        <v>165</v>
      </c>
      <c r="F41" s="71" t="s">
        <v>6101</v>
      </c>
      <c r="G41" s="22" t="s">
        <v>82</v>
      </c>
      <c r="H41" s="5" t="s">
        <v>98</v>
      </c>
      <c r="I41" s="5" t="s">
        <v>50</v>
      </c>
      <c r="J41" s="5" t="s">
        <v>5386</v>
      </c>
      <c r="K41" s="5" t="s">
        <v>166</v>
      </c>
    </row>
    <row r="42" spans="1:11">
      <c r="A42" s="21">
        <v>40</v>
      </c>
      <c r="B42" s="5" t="s">
        <v>167</v>
      </c>
      <c r="C42" s="23" t="s">
        <v>3659</v>
      </c>
      <c r="D42" s="23" t="s">
        <v>17</v>
      </c>
      <c r="E42" s="5" t="s">
        <v>168</v>
      </c>
      <c r="F42" s="71" t="s">
        <v>6101</v>
      </c>
      <c r="G42" s="22" t="s">
        <v>3934</v>
      </c>
      <c r="H42" s="5" t="s">
        <v>13</v>
      </c>
      <c r="I42" s="5" t="s">
        <v>26</v>
      </c>
      <c r="J42" s="5" t="s">
        <v>5516</v>
      </c>
      <c r="K42" s="5" t="s">
        <v>169</v>
      </c>
    </row>
    <row r="43" spans="1:11">
      <c r="A43" s="21">
        <v>41</v>
      </c>
      <c r="B43" s="5" t="s">
        <v>170</v>
      </c>
      <c r="C43" s="23" t="s">
        <v>3198</v>
      </c>
      <c r="D43" s="23" t="s">
        <v>77</v>
      </c>
      <c r="E43" s="5" t="s">
        <v>171</v>
      </c>
      <c r="F43" s="71" t="s">
        <v>6101</v>
      </c>
      <c r="G43" s="22" t="s">
        <v>179</v>
      </c>
      <c r="H43" s="5" t="s">
        <v>3932</v>
      </c>
      <c r="I43" s="5" t="s">
        <v>56</v>
      </c>
      <c r="J43" s="5" t="s">
        <v>5749</v>
      </c>
      <c r="K43" s="5" t="s">
        <v>173</v>
      </c>
    </row>
    <row r="44" spans="1:11">
      <c r="A44" s="21">
        <v>42</v>
      </c>
      <c r="B44" s="5" t="s">
        <v>174</v>
      </c>
      <c r="C44" s="23" t="s">
        <v>3660</v>
      </c>
      <c r="D44" s="23" t="s">
        <v>17</v>
      </c>
      <c r="E44" s="5" t="s">
        <v>175</v>
      </c>
      <c r="F44" s="71" t="s">
        <v>6101</v>
      </c>
      <c r="G44" s="22" t="s">
        <v>30</v>
      </c>
      <c r="H44" s="5" t="s">
        <v>31</v>
      </c>
      <c r="I44" s="5" t="s">
        <v>21</v>
      </c>
      <c r="J44" s="5" t="s">
        <v>5599</v>
      </c>
      <c r="K44" s="5" t="s">
        <v>176</v>
      </c>
    </row>
    <row r="45" spans="1:11">
      <c r="A45" s="21">
        <v>43</v>
      </c>
      <c r="B45" s="5" t="s">
        <v>177</v>
      </c>
      <c r="C45" s="23" t="s">
        <v>3576</v>
      </c>
      <c r="D45" s="23" t="s">
        <v>17</v>
      </c>
      <c r="E45" s="5" t="s">
        <v>178</v>
      </c>
      <c r="F45" s="71" t="s">
        <v>6101</v>
      </c>
      <c r="G45" s="22" t="s">
        <v>179</v>
      </c>
      <c r="H45" s="5" t="s">
        <v>13</v>
      </c>
      <c r="I45" s="5" t="s">
        <v>14</v>
      </c>
      <c r="J45" s="5" t="s">
        <v>5213</v>
      </c>
      <c r="K45" s="5" t="s">
        <v>180</v>
      </c>
    </row>
    <row r="46" spans="1:11">
      <c r="A46" s="21">
        <v>44</v>
      </c>
      <c r="B46" s="5" t="s">
        <v>181</v>
      </c>
      <c r="C46" s="23" t="s">
        <v>3325</v>
      </c>
      <c r="D46" s="23" t="s">
        <v>34</v>
      </c>
      <c r="E46" s="5" t="s">
        <v>182</v>
      </c>
      <c r="F46" s="71" t="s">
        <v>6101</v>
      </c>
      <c r="G46" s="22" t="s">
        <v>3933</v>
      </c>
      <c r="H46" s="5" t="s">
        <v>3932</v>
      </c>
      <c r="I46" s="5" t="s">
        <v>56</v>
      </c>
      <c r="J46" s="5" t="s">
        <v>5665</v>
      </c>
      <c r="K46" s="5" t="s">
        <v>183</v>
      </c>
    </row>
    <row r="47" spans="1:11">
      <c r="A47" s="21">
        <v>45</v>
      </c>
      <c r="B47" s="5" t="s">
        <v>184</v>
      </c>
      <c r="C47" s="23" t="s">
        <v>3577</v>
      </c>
      <c r="D47" s="23" t="s">
        <v>59</v>
      </c>
      <c r="E47" s="5" t="s">
        <v>185</v>
      </c>
      <c r="F47" s="71" t="s">
        <v>6101</v>
      </c>
      <c r="G47" s="22" t="s">
        <v>160</v>
      </c>
      <c r="H47" s="5" t="s">
        <v>36</v>
      </c>
      <c r="I47" s="5" t="s">
        <v>21</v>
      </c>
      <c r="J47" s="5" t="s">
        <v>5383</v>
      </c>
      <c r="K47" s="5" t="s">
        <v>186</v>
      </c>
    </row>
    <row r="48" spans="1:11">
      <c r="A48" s="21">
        <v>46</v>
      </c>
      <c r="B48" s="5" t="s">
        <v>187</v>
      </c>
      <c r="C48" s="23" t="s">
        <v>3284</v>
      </c>
      <c r="D48" s="23" t="s">
        <v>77</v>
      </c>
      <c r="E48" s="5" t="s">
        <v>188</v>
      </c>
      <c r="F48" s="71" t="s">
        <v>6101</v>
      </c>
      <c r="G48" s="22" t="s">
        <v>179</v>
      </c>
      <c r="H48" s="5" t="s">
        <v>3932</v>
      </c>
      <c r="I48" s="5" t="s">
        <v>21</v>
      </c>
      <c r="J48" s="5" t="s">
        <v>4803</v>
      </c>
      <c r="K48" s="5" t="s">
        <v>189</v>
      </c>
    </row>
    <row r="49" spans="1:11">
      <c r="A49" s="21">
        <v>47</v>
      </c>
      <c r="B49" s="5" t="s">
        <v>190</v>
      </c>
      <c r="C49" s="23" t="s">
        <v>3578</v>
      </c>
      <c r="D49" s="23" t="s">
        <v>59</v>
      </c>
      <c r="E49" s="5" t="s">
        <v>191</v>
      </c>
      <c r="F49" s="71" t="s">
        <v>6101</v>
      </c>
      <c r="G49" s="22" t="s">
        <v>160</v>
      </c>
      <c r="H49" s="5" t="s">
        <v>36</v>
      </c>
      <c r="I49" s="5" t="s">
        <v>67</v>
      </c>
      <c r="J49" s="5" t="s">
        <v>5592</v>
      </c>
      <c r="K49" s="5" t="s">
        <v>192</v>
      </c>
    </row>
    <row r="50" spans="1:11">
      <c r="A50" s="21">
        <v>48</v>
      </c>
      <c r="B50" s="5" t="s">
        <v>193</v>
      </c>
      <c r="C50" s="23" t="s">
        <v>3865</v>
      </c>
      <c r="D50" s="23" t="s">
        <v>17</v>
      </c>
      <c r="E50" s="5" t="s">
        <v>194</v>
      </c>
      <c r="F50" s="71" t="s">
        <v>6101</v>
      </c>
      <c r="G50" s="22" t="s">
        <v>85</v>
      </c>
      <c r="H50" s="5" t="s">
        <v>120</v>
      </c>
      <c r="I50" s="5" t="s">
        <v>50</v>
      </c>
      <c r="J50" s="5" t="s">
        <v>4810</v>
      </c>
      <c r="K50" s="5" t="s">
        <v>195</v>
      </c>
    </row>
    <row r="51" spans="1:11">
      <c r="A51" s="21">
        <v>49</v>
      </c>
      <c r="B51" s="5" t="s">
        <v>196</v>
      </c>
      <c r="C51" s="23" t="s">
        <v>3113</v>
      </c>
      <c r="D51" s="23" t="s">
        <v>77</v>
      </c>
      <c r="E51" s="5" t="s">
        <v>197</v>
      </c>
      <c r="F51" s="71" t="s">
        <v>6101</v>
      </c>
      <c r="G51" s="22" t="s">
        <v>179</v>
      </c>
      <c r="H51" s="22" t="s">
        <v>179</v>
      </c>
      <c r="I51" s="5" t="s">
        <v>14</v>
      </c>
      <c r="J51" s="5" t="s">
        <v>5099</v>
      </c>
      <c r="K51" s="5" t="s">
        <v>199</v>
      </c>
    </row>
    <row r="52" spans="1:11">
      <c r="A52" s="21">
        <v>50</v>
      </c>
      <c r="B52" s="5" t="s">
        <v>200</v>
      </c>
      <c r="C52" s="23" t="s">
        <v>3199</v>
      </c>
      <c r="D52" s="23" t="s">
        <v>77</v>
      </c>
      <c r="E52" s="5" t="s">
        <v>201</v>
      </c>
      <c r="F52" s="71" t="s">
        <v>6101</v>
      </c>
      <c r="G52" s="22" t="s">
        <v>179</v>
      </c>
      <c r="H52" s="5" t="s">
        <v>3932</v>
      </c>
      <c r="I52" s="5" t="s">
        <v>67</v>
      </c>
      <c r="J52" s="5" t="s">
        <v>5188</v>
      </c>
      <c r="K52" s="5" t="s">
        <v>202</v>
      </c>
    </row>
    <row r="53" spans="1:11">
      <c r="A53" s="21">
        <v>51</v>
      </c>
      <c r="B53" s="5" t="s">
        <v>203</v>
      </c>
      <c r="C53" s="23" t="s">
        <v>2984</v>
      </c>
      <c r="D53" s="23" t="s">
        <v>34</v>
      </c>
      <c r="E53" s="5" t="s">
        <v>204</v>
      </c>
      <c r="F53" s="71" t="s">
        <v>6101</v>
      </c>
      <c r="G53" s="22" t="s">
        <v>179</v>
      </c>
      <c r="H53" s="5" t="s">
        <v>3932</v>
      </c>
      <c r="I53" s="5" t="s">
        <v>56</v>
      </c>
      <c r="J53" s="5" t="s">
        <v>5233</v>
      </c>
      <c r="K53" s="5" t="s">
        <v>205</v>
      </c>
    </row>
    <row r="54" spans="1:11">
      <c r="A54" s="21">
        <v>52</v>
      </c>
      <c r="B54" s="5" t="s">
        <v>3935</v>
      </c>
      <c r="C54" s="23" t="s">
        <v>3661</v>
      </c>
      <c r="D54" s="23" t="s">
        <v>59</v>
      </c>
      <c r="E54" s="5" t="s">
        <v>206</v>
      </c>
      <c r="F54" s="71" t="s">
        <v>6101</v>
      </c>
      <c r="G54" s="22" t="s">
        <v>207</v>
      </c>
      <c r="H54" s="5" t="s">
        <v>115</v>
      </c>
      <c r="I54" s="5" t="s">
        <v>21</v>
      </c>
      <c r="J54" s="5" t="s">
        <v>5573</v>
      </c>
      <c r="K54" s="5" t="s">
        <v>208</v>
      </c>
    </row>
    <row r="55" spans="1:11">
      <c r="A55" s="21">
        <v>53</v>
      </c>
      <c r="B55" s="5" t="s">
        <v>209</v>
      </c>
      <c r="C55" s="23" t="s">
        <v>3866</v>
      </c>
      <c r="D55" s="23" t="s">
        <v>17</v>
      </c>
      <c r="E55" s="5" t="s">
        <v>210</v>
      </c>
      <c r="F55" s="71" t="s">
        <v>6101</v>
      </c>
      <c r="G55" s="22" t="s">
        <v>85</v>
      </c>
      <c r="H55" s="5" t="s">
        <v>86</v>
      </c>
      <c r="I55" s="5" t="s">
        <v>56</v>
      </c>
      <c r="J55" s="5" t="s">
        <v>5201</v>
      </c>
      <c r="K55" s="5" t="s">
        <v>211</v>
      </c>
    </row>
    <row r="56" spans="1:11">
      <c r="A56" s="21">
        <v>54</v>
      </c>
      <c r="B56" s="5" t="s">
        <v>3936</v>
      </c>
      <c r="C56" s="23" t="s">
        <v>3662</v>
      </c>
      <c r="D56" s="23" t="s">
        <v>59</v>
      </c>
      <c r="E56" s="5" t="s">
        <v>212</v>
      </c>
      <c r="F56" s="71" t="s">
        <v>6101</v>
      </c>
      <c r="G56" s="22" t="s">
        <v>30</v>
      </c>
      <c r="H56" s="5" t="s">
        <v>115</v>
      </c>
      <c r="I56" s="5" t="s">
        <v>21</v>
      </c>
      <c r="J56" s="5" t="s">
        <v>5108</v>
      </c>
      <c r="K56" s="5" t="s">
        <v>213</v>
      </c>
    </row>
    <row r="57" spans="1:11">
      <c r="A57" s="21">
        <v>55</v>
      </c>
      <c r="B57" s="5" t="s">
        <v>214</v>
      </c>
      <c r="C57" s="23" t="s">
        <v>3326</v>
      </c>
      <c r="D57" s="23" t="s">
        <v>34</v>
      </c>
      <c r="E57" s="5" t="s">
        <v>215</v>
      </c>
      <c r="F57" s="71" t="s">
        <v>6101</v>
      </c>
      <c r="G57" s="22" t="s">
        <v>216</v>
      </c>
      <c r="H57" s="5" t="s">
        <v>217</v>
      </c>
      <c r="I57" s="5" t="s">
        <v>50</v>
      </c>
      <c r="J57" s="5" t="s">
        <v>5694</v>
      </c>
      <c r="K57" s="5" t="s">
        <v>218</v>
      </c>
    </row>
    <row r="58" spans="1:11">
      <c r="A58" s="21">
        <v>56</v>
      </c>
      <c r="B58" s="5" t="s">
        <v>3937</v>
      </c>
      <c r="C58" s="23" t="s">
        <v>3078</v>
      </c>
      <c r="D58" s="23" t="s">
        <v>77</v>
      </c>
      <c r="E58" s="5" t="s">
        <v>219</v>
      </c>
      <c r="F58" s="71" t="s">
        <v>6101</v>
      </c>
      <c r="G58" s="22" t="s">
        <v>179</v>
      </c>
      <c r="H58" s="5" t="s">
        <v>3932</v>
      </c>
      <c r="I58" s="5" t="s">
        <v>21</v>
      </c>
      <c r="J58" s="5" t="s">
        <v>5098</v>
      </c>
      <c r="K58" s="5" t="s">
        <v>220</v>
      </c>
    </row>
    <row r="59" spans="1:11">
      <c r="A59" s="21">
        <v>57</v>
      </c>
      <c r="B59" s="5" t="s">
        <v>221</v>
      </c>
      <c r="C59" s="23" t="s">
        <v>3200</v>
      </c>
      <c r="D59" s="23" t="s">
        <v>77</v>
      </c>
      <c r="E59" s="5" t="s">
        <v>222</v>
      </c>
      <c r="F59" s="71" t="s">
        <v>6101</v>
      </c>
      <c r="G59" s="22" t="s">
        <v>179</v>
      </c>
      <c r="H59" s="5" t="s">
        <v>3932</v>
      </c>
      <c r="I59" s="5" t="s">
        <v>56</v>
      </c>
      <c r="J59" s="5" t="s">
        <v>5487</v>
      </c>
      <c r="K59" s="5" t="s">
        <v>223</v>
      </c>
    </row>
    <row r="60" spans="1:11">
      <c r="A60" s="21">
        <v>58</v>
      </c>
      <c r="B60" s="5" t="s">
        <v>224</v>
      </c>
      <c r="C60" s="23" t="s">
        <v>3440</v>
      </c>
      <c r="D60" s="23" t="s">
        <v>77</v>
      </c>
      <c r="E60" s="5" t="s">
        <v>225</v>
      </c>
      <c r="F60" s="71" t="s">
        <v>6101</v>
      </c>
      <c r="G60" s="22" t="s">
        <v>160</v>
      </c>
      <c r="H60" s="5" t="s">
        <v>3932</v>
      </c>
      <c r="I60" s="5" t="s">
        <v>26</v>
      </c>
      <c r="J60" s="5" t="s">
        <v>5410</v>
      </c>
      <c r="K60" s="5" t="s">
        <v>226</v>
      </c>
    </row>
    <row r="61" spans="1:11">
      <c r="A61" s="21">
        <v>59</v>
      </c>
      <c r="B61" s="5" t="s">
        <v>227</v>
      </c>
      <c r="C61" s="23" t="s">
        <v>2985</v>
      </c>
      <c r="D61" s="23" t="s">
        <v>34</v>
      </c>
      <c r="E61" s="5" t="s">
        <v>228</v>
      </c>
      <c r="F61" s="71" t="s">
        <v>6101</v>
      </c>
      <c r="G61" s="22" t="s">
        <v>179</v>
      </c>
      <c r="H61" s="5" t="s">
        <v>3932</v>
      </c>
      <c r="I61" s="5" t="s">
        <v>56</v>
      </c>
      <c r="J61" s="5" t="s">
        <v>5088</v>
      </c>
      <c r="K61" s="5" t="s">
        <v>229</v>
      </c>
    </row>
    <row r="62" spans="1:11">
      <c r="A62" s="21">
        <v>60</v>
      </c>
      <c r="B62" s="5" t="s">
        <v>230</v>
      </c>
      <c r="C62" s="23" t="s">
        <v>3867</v>
      </c>
      <c r="D62" s="23" t="s">
        <v>17</v>
      </c>
      <c r="E62" s="5" t="s">
        <v>231</v>
      </c>
      <c r="F62" s="71" t="s">
        <v>6101</v>
      </c>
      <c r="G62" s="22" t="s">
        <v>119</v>
      </c>
      <c r="H62" s="5" t="s">
        <v>86</v>
      </c>
      <c r="I62" s="5" t="s">
        <v>50</v>
      </c>
      <c r="J62" s="5" t="s">
        <v>5578</v>
      </c>
      <c r="K62" s="5" t="s">
        <v>232</v>
      </c>
    </row>
    <row r="63" spans="1:11">
      <c r="A63" s="21">
        <v>61</v>
      </c>
      <c r="B63" s="5" t="s">
        <v>233</v>
      </c>
      <c r="C63" s="23" t="s">
        <v>3114</v>
      </c>
      <c r="D63" s="23" t="s">
        <v>77</v>
      </c>
      <c r="E63" s="5" t="s">
        <v>234</v>
      </c>
      <c r="F63" s="71" t="s">
        <v>6101</v>
      </c>
      <c r="G63" s="22" t="s">
        <v>66</v>
      </c>
      <c r="H63" s="5" t="s">
        <v>20</v>
      </c>
      <c r="I63" s="5" t="s">
        <v>56</v>
      </c>
      <c r="J63" s="5" t="s">
        <v>5374</v>
      </c>
      <c r="K63" s="5" t="s">
        <v>235</v>
      </c>
    </row>
    <row r="64" spans="1:11">
      <c r="A64" s="21">
        <v>62</v>
      </c>
      <c r="B64" s="5" t="s">
        <v>236</v>
      </c>
      <c r="C64" s="23" t="s">
        <v>3579</v>
      </c>
      <c r="D64" s="23" t="s">
        <v>59</v>
      </c>
      <c r="E64" s="5" t="s">
        <v>237</v>
      </c>
      <c r="F64" s="71" t="s">
        <v>6101</v>
      </c>
      <c r="G64" s="22" t="s">
        <v>160</v>
      </c>
      <c r="H64" s="5" t="s">
        <v>36</v>
      </c>
      <c r="I64" s="5" t="s">
        <v>42</v>
      </c>
      <c r="J64" s="5" t="s">
        <v>4924</v>
      </c>
      <c r="K64" s="5" t="s">
        <v>238</v>
      </c>
    </row>
    <row r="65" spans="1:11">
      <c r="A65" s="21">
        <v>63</v>
      </c>
      <c r="B65" s="5" t="s">
        <v>239</v>
      </c>
      <c r="C65" s="23" t="s">
        <v>3441</v>
      </c>
      <c r="D65" s="23" t="s">
        <v>17</v>
      </c>
      <c r="E65" s="5" t="s">
        <v>240</v>
      </c>
      <c r="F65" s="71" t="s">
        <v>6101</v>
      </c>
      <c r="G65" s="22" t="s">
        <v>160</v>
      </c>
      <c r="H65" s="5" t="s">
        <v>3932</v>
      </c>
      <c r="I65" s="5" t="s">
        <v>42</v>
      </c>
      <c r="J65" s="5" t="s">
        <v>5603</v>
      </c>
      <c r="K65" s="5" t="s">
        <v>241</v>
      </c>
    </row>
    <row r="66" spans="1:11">
      <c r="A66" s="21">
        <v>64</v>
      </c>
      <c r="B66" s="5" t="s">
        <v>242</v>
      </c>
      <c r="C66" s="23" t="s">
        <v>2944</v>
      </c>
      <c r="D66" s="23" t="s">
        <v>34</v>
      </c>
      <c r="E66" s="5" t="s">
        <v>243</v>
      </c>
      <c r="F66" s="71" t="s">
        <v>6101</v>
      </c>
      <c r="G66" s="22" t="s">
        <v>93</v>
      </c>
      <c r="H66" s="5" t="s">
        <v>94</v>
      </c>
      <c r="I66" s="5" t="s">
        <v>50</v>
      </c>
      <c r="J66" s="5" t="s">
        <v>5016</v>
      </c>
      <c r="K66" s="5" t="s">
        <v>244</v>
      </c>
    </row>
    <row r="67" spans="1:11">
      <c r="A67" s="21">
        <v>65</v>
      </c>
      <c r="B67" s="5" t="s">
        <v>245</v>
      </c>
      <c r="C67" s="23" t="s">
        <v>3868</v>
      </c>
      <c r="D67" s="23" t="s">
        <v>17</v>
      </c>
      <c r="E67" s="5" t="s">
        <v>246</v>
      </c>
      <c r="F67" s="71" t="s">
        <v>6101</v>
      </c>
      <c r="G67" s="22" t="s">
        <v>85</v>
      </c>
      <c r="H67" s="5" t="s">
        <v>120</v>
      </c>
      <c r="I67" s="5" t="s">
        <v>26</v>
      </c>
      <c r="J67" s="5" t="s">
        <v>5622</v>
      </c>
      <c r="K67" s="5" t="s">
        <v>247</v>
      </c>
    </row>
    <row r="68" spans="1:11">
      <c r="A68" s="21">
        <v>66</v>
      </c>
      <c r="B68" s="5" t="s">
        <v>248</v>
      </c>
      <c r="C68" s="23" t="s">
        <v>3115</v>
      </c>
      <c r="D68" s="23" t="s">
        <v>77</v>
      </c>
      <c r="E68" s="5" t="s">
        <v>249</v>
      </c>
      <c r="F68" s="71" t="s">
        <v>6101</v>
      </c>
      <c r="G68" s="22" t="s">
        <v>179</v>
      </c>
      <c r="H68" s="5" t="s">
        <v>3932</v>
      </c>
      <c r="I68" s="5" t="s">
        <v>21</v>
      </c>
      <c r="J68" s="5" t="s">
        <v>5427</v>
      </c>
      <c r="K68" s="5" t="s">
        <v>250</v>
      </c>
    </row>
    <row r="69" spans="1:11">
      <c r="A69" s="21">
        <v>67</v>
      </c>
      <c r="B69" s="5" t="s">
        <v>251</v>
      </c>
      <c r="C69" s="23" t="s">
        <v>3116</v>
      </c>
      <c r="D69" s="23" t="s">
        <v>77</v>
      </c>
      <c r="E69" s="5" t="s">
        <v>252</v>
      </c>
      <c r="F69" s="71" t="s">
        <v>6101</v>
      </c>
      <c r="G69" s="22" t="s">
        <v>198</v>
      </c>
      <c r="H69" s="5" t="s">
        <v>20</v>
      </c>
      <c r="I69" s="5" t="s">
        <v>67</v>
      </c>
      <c r="J69" s="5" t="s">
        <v>4873</v>
      </c>
      <c r="K69" s="5" t="s">
        <v>253</v>
      </c>
    </row>
    <row r="70" spans="1:11">
      <c r="A70" s="21">
        <v>68</v>
      </c>
      <c r="B70" s="5" t="s">
        <v>254</v>
      </c>
      <c r="C70" s="23" t="s">
        <v>3442</v>
      </c>
      <c r="D70" s="23" t="s">
        <v>77</v>
      </c>
      <c r="E70" s="5" t="s">
        <v>255</v>
      </c>
      <c r="F70" s="71" t="s">
        <v>6101</v>
      </c>
      <c r="G70" s="22" t="s">
        <v>160</v>
      </c>
      <c r="H70" s="5" t="s">
        <v>3932</v>
      </c>
      <c r="I70" s="5" t="s">
        <v>56</v>
      </c>
      <c r="J70" s="5" t="s">
        <v>4843</v>
      </c>
      <c r="K70" s="5" t="s">
        <v>256</v>
      </c>
    </row>
    <row r="71" spans="1:11">
      <c r="A71" s="21">
        <v>69</v>
      </c>
      <c r="B71" s="5" t="s">
        <v>257</v>
      </c>
      <c r="C71" s="23" t="s">
        <v>3764</v>
      </c>
      <c r="D71" s="23" t="s">
        <v>17</v>
      </c>
      <c r="E71" s="5" t="s">
        <v>258</v>
      </c>
      <c r="F71" s="71" t="s">
        <v>6101</v>
      </c>
      <c r="G71" s="22" t="s">
        <v>24</v>
      </c>
      <c r="H71" s="5" t="s">
        <v>25</v>
      </c>
      <c r="I71" s="5" t="s">
        <v>21</v>
      </c>
      <c r="J71" s="5" t="s">
        <v>5621</v>
      </c>
      <c r="K71" s="5" t="s">
        <v>259</v>
      </c>
    </row>
    <row r="72" spans="1:11">
      <c r="A72" s="21">
        <v>70</v>
      </c>
      <c r="B72" s="5" t="s">
        <v>260</v>
      </c>
      <c r="C72" s="23" t="s">
        <v>3765</v>
      </c>
      <c r="D72" s="23" t="s">
        <v>59</v>
      </c>
      <c r="E72" s="5" t="s">
        <v>261</v>
      </c>
      <c r="F72" s="71" t="s">
        <v>6101</v>
      </c>
      <c r="G72" s="22" t="s">
        <v>24</v>
      </c>
      <c r="H72" s="5" t="s">
        <v>25</v>
      </c>
      <c r="I72" s="5" t="s">
        <v>50</v>
      </c>
      <c r="J72" s="5" t="s">
        <v>5241</v>
      </c>
      <c r="K72" s="5" t="s">
        <v>262</v>
      </c>
    </row>
    <row r="73" spans="1:11">
      <c r="A73" s="21">
        <v>71</v>
      </c>
      <c r="B73" s="5" t="s">
        <v>263</v>
      </c>
      <c r="C73" s="23" t="s">
        <v>3327</v>
      </c>
      <c r="D73" s="23" t="s">
        <v>34</v>
      </c>
      <c r="E73" s="5" t="s">
        <v>264</v>
      </c>
      <c r="F73" s="71" t="s">
        <v>6101</v>
      </c>
      <c r="G73" s="22" t="s">
        <v>216</v>
      </c>
      <c r="H73" s="5" t="s">
        <v>94</v>
      </c>
      <c r="I73" s="5" t="s">
        <v>21</v>
      </c>
      <c r="J73" s="5" t="s">
        <v>5700</v>
      </c>
      <c r="K73" s="5">
        <v>887061541</v>
      </c>
    </row>
    <row r="74" spans="1:11">
      <c r="A74" s="21">
        <v>72</v>
      </c>
      <c r="B74" s="5" t="s">
        <v>265</v>
      </c>
      <c r="C74" s="23" t="s">
        <v>3117</v>
      </c>
      <c r="D74" s="23" t="s">
        <v>34</v>
      </c>
      <c r="E74" s="5" t="s">
        <v>266</v>
      </c>
      <c r="F74" s="71" t="s">
        <v>6101</v>
      </c>
      <c r="G74" s="22" t="s">
        <v>179</v>
      </c>
      <c r="H74" s="22" t="s">
        <v>179</v>
      </c>
      <c r="I74" s="5" t="s">
        <v>14</v>
      </c>
      <c r="J74" s="5" t="s">
        <v>5614</v>
      </c>
      <c r="K74" s="5" t="s">
        <v>267</v>
      </c>
    </row>
    <row r="75" spans="1:11">
      <c r="A75" s="21">
        <v>73</v>
      </c>
      <c r="B75" s="5" t="s">
        <v>268</v>
      </c>
      <c r="C75" s="23" t="s">
        <v>3663</v>
      </c>
      <c r="D75" s="23" t="s">
        <v>17</v>
      </c>
      <c r="E75" s="5" t="s">
        <v>269</v>
      </c>
      <c r="F75" s="71" t="s">
        <v>6101</v>
      </c>
      <c r="G75" s="22" t="s">
        <v>3934</v>
      </c>
      <c r="H75" s="5" t="s">
        <v>13</v>
      </c>
      <c r="I75" s="5" t="s">
        <v>26</v>
      </c>
      <c r="J75" s="5" t="s">
        <v>5627</v>
      </c>
      <c r="K75" s="5" t="s">
        <v>270</v>
      </c>
    </row>
    <row r="76" spans="1:11">
      <c r="A76" s="21">
        <v>74</v>
      </c>
      <c r="B76" s="5" t="s">
        <v>271</v>
      </c>
      <c r="C76" s="23" t="s">
        <v>2986</v>
      </c>
      <c r="D76" s="23" t="s">
        <v>34</v>
      </c>
      <c r="E76" s="5" t="s">
        <v>272</v>
      </c>
      <c r="F76" s="71" t="s">
        <v>6101</v>
      </c>
      <c r="G76" s="22" t="s">
        <v>179</v>
      </c>
      <c r="H76" s="5" t="s">
        <v>3932</v>
      </c>
      <c r="I76" s="5" t="s">
        <v>56</v>
      </c>
      <c r="J76" s="5" t="s">
        <v>5320</v>
      </c>
      <c r="K76" s="5" t="s">
        <v>273</v>
      </c>
    </row>
    <row r="77" spans="1:11">
      <c r="A77" s="21">
        <v>75</v>
      </c>
      <c r="B77" s="5" t="s">
        <v>274</v>
      </c>
      <c r="C77" s="23" t="s">
        <v>3443</v>
      </c>
      <c r="D77" s="23" t="s">
        <v>17</v>
      </c>
      <c r="E77" s="5" t="s">
        <v>275</v>
      </c>
      <c r="F77" s="71" t="s">
        <v>6101</v>
      </c>
      <c r="G77" s="22" t="s">
        <v>102</v>
      </c>
      <c r="H77" s="5" t="s">
        <v>55</v>
      </c>
      <c r="I77" s="5" t="s">
        <v>50</v>
      </c>
      <c r="J77" s="5" t="s">
        <v>5706</v>
      </c>
      <c r="K77" s="5" t="s">
        <v>276</v>
      </c>
    </row>
    <row r="78" spans="1:11">
      <c r="A78" s="21">
        <v>76</v>
      </c>
      <c r="B78" s="5" t="s">
        <v>277</v>
      </c>
      <c r="C78" s="23" t="s">
        <v>3580</v>
      </c>
      <c r="D78" s="23" t="s">
        <v>59</v>
      </c>
      <c r="E78" s="5" t="s">
        <v>278</v>
      </c>
      <c r="F78" s="71" t="s">
        <v>6101</v>
      </c>
      <c r="G78" s="22" t="s">
        <v>179</v>
      </c>
      <c r="H78" s="5" t="s">
        <v>13</v>
      </c>
      <c r="I78" s="5" t="s">
        <v>26</v>
      </c>
      <c r="J78" s="5" t="s">
        <v>4912</v>
      </c>
      <c r="K78" s="5" t="s">
        <v>279</v>
      </c>
    </row>
    <row r="79" spans="1:11">
      <c r="A79" s="21">
        <v>77</v>
      </c>
      <c r="B79" s="5" t="s">
        <v>280</v>
      </c>
      <c r="C79" s="23" t="s">
        <v>3664</v>
      </c>
      <c r="D79" s="23" t="s">
        <v>59</v>
      </c>
      <c r="E79" s="5" t="s">
        <v>281</v>
      </c>
      <c r="F79" s="71" t="s">
        <v>6101</v>
      </c>
      <c r="G79" s="22" t="s">
        <v>3934</v>
      </c>
      <c r="H79" s="5" t="s">
        <v>13</v>
      </c>
      <c r="I79" s="5" t="s">
        <v>56</v>
      </c>
      <c r="J79" s="5" t="s">
        <v>4913</v>
      </c>
      <c r="K79" s="5" t="s">
        <v>282</v>
      </c>
    </row>
    <row r="80" spans="1:11">
      <c r="A80" s="21">
        <v>78</v>
      </c>
      <c r="B80" s="5" t="s">
        <v>283</v>
      </c>
      <c r="C80" s="23" t="s">
        <v>2938</v>
      </c>
      <c r="D80" s="23" t="s">
        <v>34</v>
      </c>
      <c r="E80" s="5" t="s">
        <v>284</v>
      </c>
      <c r="F80" s="71" t="s">
        <v>6101</v>
      </c>
      <c r="G80" s="22" t="s">
        <v>3933</v>
      </c>
      <c r="H80" s="5" t="s">
        <v>3932</v>
      </c>
      <c r="I80" s="5" t="s">
        <v>42</v>
      </c>
      <c r="J80" s="5" t="s">
        <v>5140</v>
      </c>
      <c r="K80" s="5">
        <v>88492207411</v>
      </c>
    </row>
    <row r="81" spans="1:11">
      <c r="A81" s="21">
        <v>79</v>
      </c>
      <c r="B81" s="5" t="s">
        <v>285</v>
      </c>
      <c r="C81" s="23" t="s">
        <v>2987</v>
      </c>
      <c r="D81" s="23" t="s">
        <v>34</v>
      </c>
      <c r="E81" s="5" t="s">
        <v>286</v>
      </c>
      <c r="F81" s="71" t="s">
        <v>6101</v>
      </c>
      <c r="G81" s="22" t="s">
        <v>179</v>
      </c>
      <c r="H81" s="5" t="s">
        <v>3932</v>
      </c>
      <c r="I81" s="5" t="s">
        <v>56</v>
      </c>
      <c r="J81" s="5" t="s">
        <v>5350</v>
      </c>
      <c r="K81" s="5" t="s">
        <v>287</v>
      </c>
    </row>
    <row r="82" spans="1:11">
      <c r="A82" s="21">
        <v>80</v>
      </c>
      <c r="B82" s="5" t="s">
        <v>1994</v>
      </c>
      <c r="C82" s="23" t="s">
        <v>3328</v>
      </c>
      <c r="D82" s="23" t="s">
        <v>34</v>
      </c>
      <c r="E82" s="5" t="s">
        <v>288</v>
      </c>
      <c r="F82" s="71" t="s">
        <v>6101</v>
      </c>
      <c r="G82" s="22" t="s">
        <v>3933</v>
      </c>
      <c r="H82" s="5" t="s">
        <v>3932</v>
      </c>
      <c r="I82" s="5" t="s">
        <v>26</v>
      </c>
      <c r="J82" s="5" t="s">
        <v>5576</v>
      </c>
      <c r="K82" s="5" t="s">
        <v>289</v>
      </c>
    </row>
    <row r="83" spans="1:11">
      <c r="A83" s="21">
        <v>81</v>
      </c>
      <c r="B83" s="5" t="s">
        <v>290</v>
      </c>
      <c r="C83" s="23" t="s">
        <v>2988</v>
      </c>
      <c r="D83" s="23" t="s">
        <v>34</v>
      </c>
      <c r="E83" s="5" t="s">
        <v>291</v>
      </c>
      <c r="F83" s="71" t="s">
        <v>6101</v>
      </c>
      <c r="G83" s="22" t="s">
        <v>40</v>
      </c>
      <c r="H83" s="5" t="s">
        <v>71</v>
      </c>
      <c r="I83" s="5" t="s">
        <v>21</v>
      </c>
      <c r="J83" s="5" t="s">
        <v>5170</v>
      </c>
      <c r="K83" s="5" t="s">
        <v>292</v>
      </c>
    </row>
    <row r="84" spans="1:11">
      <c r="A84" s="21">
        <v>82</v>
      </c>
      <c r="B84" s="5" t="s">
        <v>293</v>
      </c>
      <c r="C84" s="23" t="s">
        <v>3581</v>
      </c>
      <c r="D84" s="23" t="s">
        <v>59</v>
      </c>
      <c r="E84" s="5" t="s">
        <v>294</v>
      </c>
      <c r="F84" s="71" t="s">
        <v>6101</v>
      </c>
      <c r="G84" s="22" t="s">
        <v>160</v>
      </c>
      <c r="H84" s="5" t="s">
        <v>36</v>
      </c>
      <c r="I84" s="5" t="s">
        <v>26</v>
      </c>
      <c r="J84" s="5" t="s">
        <v>5476</v>
      </c>
      <c r="K84" s="5" t="s">
        <v>295</v>
      </c>
    </row>
    <row r="85" spans="1:11">
      <c r="A85" s="21">
        <v>83</v>
      </c>
      <c r="B85" s="5" t="s">
        <v>296</v>
      </c>
      <c r="C85" s="23" t="s">
        <v>3766</v>
      </c>
      <c r="D85" s="23" t="s">
        <v>17</v>
      </c>
      <c r="E85" s="5" t="s">
        <v>297</v>
      </c>
      <c r="F85" s="71" t="s">
        <v>6101</v>
      </c>
      <c r="G85" s="22" t="s">
        <v>24</v>
      </c>
      <c r="H85" s="5" t="s">
        <v>25</v>
      </c>
      <c r="I85" s="5" t="s">
        <v>14</v>
      </c>
      <c r="J85" s="5" t="s">
        <v>4786</v>
      </c>
      <c r="K85" s="5" t="s">
        <v>298</v>
      </c>
    </row>
    <row r="86" spans="1:11">
      <c r="A86" s="21">
        <v>84</v>
      </c>
      <c r="B86" s="5" t="s">
        <v>299</v>
      </c>
      <c r="C86" s="23" t="s">
        <v>3665</v>
      </c>
      <c r="D86" s="23" t="s">
        <v>59</v>
      </c>
      <c r="E86" s="5" t="s">
        <v>300</v>
      </c>
      <c r="F86" s="71" t="s">
        <v>6101</v>
      </c>
      <c r="G86" s="22" t="s">
        <v>30</v>
      </c>
      <c r="H86" s="5" t="s">
        <v>31</v>
      </c>
      <c r="I86" s="5" t="s">
        <v>21</v>
      </c>
      <c r="J86" s="5" t="s">
        <v>4814</v>
      </c>
      <c r="K86" s="5" t="s">
        <v>301</v>
      </c>
    </row>
    <row r="87" spans="1:11">
      <c r="A87" s="21">
        <v>85</v>
      </c>
      <c r="B87" s="5" t="s">
        <v>302</v>
      </c>
      <c r="C87" s="23" t="s">
        <v>3582</v>
      </c>
      <c r="D87" s="23" t="s">
        <v>59</v>
      </c>
      <c r="E87" s="5" t="s">
        <v>303</v>
      </c>
      <c r="F87" s="71" t="s">
        <v>6101</v>
      </c>
      <c r="G87" s="22" t="s">
        <v>179</v>
      </c>
      <c r="H87" s="5" t="s">
        <v>13</v>
      </c>
      <c r="I87" s="5" t="s">
        <v>21</v>
      </c>
      <c r="J87" s="5" t="s">
        <v>5256</v>
      </c>
      <c r="K87" s="5">
        <v>887161188</v>
      </c>
    </row>
    <row r="88" spans="1:11">
      <c r="A88" s="21">
        <v>86</v>
      </c>
      <c r="B88" s="5" t="s">
        <v>304</v>
      </c>
      <c r="C88" s="23" t="s">
        <v>3583</v>
      </c>
      <c r="D88" s="23" t="s">
        <v>59</v>
      </c>
      <c r="E88" s="5" t="s">
        <v>305</v>
      </c>
      <c r="F88" s="71" t="s">
        <v>6101</v>
      </c>
      <c r="G88" s="22" t="s">
        <v>160</v>
      </c>
      <c r="H88" s="5" t="s">
        <v>36</v>
      </c>
      <c r="I88" s="5" t="s">
        <v>56</v>
      </c>
      <c r="J88" s="5" t="s">
        <v>5204</v>
      </c>
      <c r="K88" s="5" t="s">
        <v>306</v>
      </c>
    </row>
    <row r="89" spans="1:11">
      <c r="A89" s="21">
        <v>87</v>
      </c>
      <c r="B89" s="5" t="s">
        <v>307</v>
      </c>
      <c r="C89" s="23" t="s">
        <v>3329</v>
      </c>
      <c r="D89" s="23" t="s">
        <v>34</v>
      </c>
      <c r="E89" s="5" t="s">
        <v>308</v>
      </c>
      <c r="F89" s="71" t="s">
        <v>6101</v>
      </c>
      <c r="G89" s="22" t="s">
        <v>3933</v>
      </c>
      <c r="H89" s="5" t="s">
        <v>3932</v>
      </c>
      <c r="I89" s="5" t="s">
        <v>56</v>
      </c>
      <c r="J89" s="5" t="s">
        <v>5758</v>
      </c>
      <c r="K89" s="5" t="s">
        <v>309</v>
      </c>
    </row>
    <row r="90" spans="1:11">
      <c r="A90" s="21">
        <v>88</v>
      </c>
      <c r="B90" s="5" t="s">
        <v>310</v>
      </c>
      <c r="C90" s="23" t="s">
        <v>3666</v>
      </c>
      <c r="D90" s="23" t="s">
        <v>59</v>
      </c>
      <c r="E90" s="5" t="s">
        <v>311</v>
      </c>
      <c r="F90" s="71" t="s">
        <v>6101</v>
      </c>
      <c r="G90" s="22" t="s">
        <v>3934</v>
      </c>
      <c r="H90" s="5" t="s">
        <v>13</v>
      </c>
      <c r="I90" s="5" t="s">
        <v>67</v>
      </c>
      <c r="J90" s="5" t="s">
        <v>5514</v>
      </c>
      <c r="K90" s="5" t="s">
        <v>312</v>
      </c>
    </row>
    <row r="91" spans="1:11">
      <c r="A91" s="21">
        <v>89</v>
      </c>
      <c r="B91" s="5" t="s">
        <v>3938</v>
      </c>
      <c r="C91" s="23" t="s">
        <v>3767</v>
      </c>
      <c r="D91" s="23" t="s">
        <v>59</v>
      </c>
      <c r="E91" s="5" t="s">
        <v>313</v>
      </c>
      <c r="F91" s="71" t="s">
        <v>6101</v>
      </c>
      <c r="G91" s="22" t="s">
        <v>24</v>
      </c>
      <c r="H91" s="5" t="s">
        <v>25</v>
      </c>
      <c r="I91" s="5" t="s">
        <v>67</v>
      </c>
      <c r="J91" s="5" t="s">
        <v>4826</v>
      </c>
      <c r="K91" s="5">
        <v>80361557955</v>
      </c>
    </row>
    <row r="92" spans="1:11">
      <c r="A92" s="21">
        <v>90</v>
      </c>
      <c r="B92" s="5" t="s">
        <v>314</v>
      </c>
      <c r="C92" s="23" t="s">
        <v>3816</v>
      </c>
      <c r="D92" s="23" t="s">
        <v>59</v>
      </c>
      <c r="E92" s="5" t="s">
        <v>315</v>
      </c>
      <c r="F92" s="71" t="s">
        <v>6101</v>
      </c>
      <c r="G92" s="22" t="s">
        <v>144</v>
      </c>
      <c r="H92" s="5" t="s">
        <v>25</v>
      </c>
      <c r="I92" s="5" t="s">
        <v>50</v>
      </c>
      <c r="J92" s="5" t="s">
        <v>5485</v>
      </c>
      <c r="K92" s="5" t="s">
        <v>316</v>
      </c>
    </row>
    <row r="93" spans="1:11">
      <c r="A93" s="21">
        <v>91</v>
      </c>
      <c r="B93" s="5" t="s">
        <v>317</v>
      </c>
      <c r="C93" s="23" t="s">
        <v>3768</v>
      </c>
      <c r="D93" s="23" t="s">
        <v>59</v>
      </c>
      <c r="E93" s="5" t="s">
        <v>318</v>
      </c>
      <c r="F93" s="71" t="s">
        <v>6101</v>
      </c>
      <c r="G93" s="22" t="s">
        <v>24</v>
      </c>
      <c r="H93" s="5" t="s">
        <v>25</v>
      </c>
      <c r="I93" s="5" t="s">
        <v>26</v>
      </c>
      <c r="J93" s="5" t="s">
        <v>5527</v>
      </c>
      <c r="K93" s="5" t="s">
        <v>319</v>
      </c>
    </row>
    <row r="94" spans="1:11">
      <c r="A94" s="21">
        <v>92</v>
      </c>
      <c r="B94" s="5" t="s">
        <v>320</v>
      </c>
      <c r="C94" s="23" t="s">
        <v>3118</v>
      </c>
      <c r="D94" s="23" t="s">
        <v>34</v>
      </c>
      <c r="E94" s="5" t="s">
        <v>321</v>
      </c>
      <c r="F94" s="71" t="s">
        <v>6101</v>
      </c>
      <c r="G94" s="22" t="s">
        <v>179</v>
      </c>
      <c r="H94" s="22" t="s">
        <v>179</v>
      </c>
      <c r="I94" s="5" t="s">
        <v>14</v>
      </c>
      <c r="J94" s="5" t="s">
        <v>4798</v>
      </c>
      <c r="K94" s="5" t="s">
        <v>322</v>
      </c>
    </row>
    <row r="95" spans="1:11">
      <c r="A95" s="21">
        <v>93</v>
      </c>
      <c r="B95" s="5" t="s">
        <v>323</v>
      </c>
      <c r="C95" s="23" t="s">
        <v>3869</v>
      </c>
      <c r="D95" s="23" t="s">
        <v>17</v>
      </c>
      <c r="E95" s="5" t="s">
        <v>324</v>
      </c>
      <c r="F95" s="71" t="s">
        <v>6101</v>
      </c>
      <c r="G95" s="22" t="s">
        <v>119</v>
      </c>
      <c r="H95" s="5" t="s">
        <v>120</v>
      </c>
      <c r="I95" s="5" t="s">
        <v>42</v>
      </c>
      <c r="J95" s="5" t="s">
        <v>5479</v>
      </c>
      <c r="K95" s="5" t="s">
        <v>325</v>
      </c>
    </row>
    <row r="96" spans="1:11">
      <c r="A96" s="21">
        <v>94</v>
      </c>
      <c r="B96" s="5" t="s">
        <v>326</v>
      </c>
      <c r="C96" s="23" t="s">
        <v>2989</v>
      </c>
      <c r="D96" s="23" t="s">
        <v>34</v>
      </c>
      <c r="E96" s="5" t="s">
        <v>327</v>
      </c>
      <c r="F96" s="71" t="s">
        <v>6101</v>
      </c>
      <c r="G96" s="22" t="s">
        <v>74</v>
      </c>
      <c r="H96" s="5" t="s">
        <v>71</v>
      </c>
      <c r="I96" s="5" t="s">
        <v>50</v>
      </c>
      <c r="J96" s="5" t="s">
        <v>5478</v>
      </c>
      <c r="K96" s="5" t="s">
        <v>328</v>
      </c>
    </row>
    <row r="97" spans="1:11">
      <c r="A97" s="21">
        <v>95</v>
      </c>
      <c r="B97" s="5" t="s">
        <v>329</v>
      </c>
      <c r="C97" s="23" t="s">
        <v>3330</v>
      </c>
      <c r="D97" s="23" t="s">
        <v>34</v>
      </c>
      <c r="E97" s="5" t="s">
        <v>330</v>
      </c>
      <c r="F97" s="71" t="s">
        <v>6101</v>
      </c>
      <c r="G97" s="22" t="s">
        <v>3933</v>
      </c>
      <c r="H97" s="5" t="s">
        <v>3932</v>
      </c>
      <c r="I97" s="5" t="s">
        <v>56</v>
      </c>
      <c r="J97" s="5" t="s">
        <v>5081</v>
      </c>
      <c r="K97" s="5" t="s">
        <v>331</v>
      </c>
    </row>
    <row r="98" spans="1:11">
      <c r="A98" s="21">
        <v>96</v>
      </c>
      <c r="B98" s="5" t="s">
        <v>332</v>
      </c>
      <c r="C98" s="23" t="s">
        <v>3201</v>
      </c>
      <c r="D98" s="23" t="s">
        <v>77</v>
      </c>
      <c r="E98" s="5" t="s">
        <v>333</v>
      </c>
      <c r="F98" s="71" t="s">
        <v>6101</v>
      </c>
      <c r="G98" s="22" t="s">
        <v>179</v>
      </c>
      <c r="H98" s="5" t="s">
        <v>3932</v>
      </c>
      <c r="I98" s="5" t="s">
        <v>56</v>
      </c>
      <c r="J98" s="5" t="s">
        <v>5228</v>
      </c>
      <c r="K98" s="5" t="s">
        <v>334</v>
      </c>
    </row>
    <row r="99" spans="1:11">
      <c r="A99" s="21">
        <v>97</v>
      </c>
      <c r="B99" s="5" t="s">
        <v>335</v>
      </c>
      <c r="C99" s="23" t="s">
        <v>3119</v>
      </c>
      <c r="D99" s="23" t="s">
        <v>77</v>
      </c>
      <c r="E99" s="5" t="s">
        <v>336</v>
      </c>
      <c r="F99" s="71" t="s">
        <v>6101</v>
      </c>
      <c r="G99" s="22" t="s">
        <v>179</v>
      </c>
      <c r="H99" s="22" t="s">
        <v>3932</v>
      </c>
      <c r="I99" s="5" t="s">
        <v>67</v>
      </c>
      <c r="J99" s="5" t="s">
        <v>5370</v>
      </c>
      <c r="K99" s="5" t="s">
        <v>337</v>
      </c>
    </row>
    <row r="100" spans="1:11">
      <c r="A100" s="21">
        <v>98</v>
      </c>
      <c r="B100" s="5" t="s">
        <v>338</v>
      </c>
      <c r="C100" s="23" t="s">
        <v>3769</v>
      </c>
      <c r="D100" s="23" t="s">
        <v>59</v>
      </c>
      <c r="E100" s="5" t="s">
        <v>339</v>
      </c>
      <c r="F100" s="71" t="s">
        <v>6101</v>
      </c>
      <c r="G100" s="22" t="s">
        <v>24</v>
      </c>
      <c r="H100" s="5" t="s">
        <v>25</v>
      </c>
      <c r="I100" s="5" t="s">
        <v>21</v>
      </c>
      <c r="J100" s="5" t="s">
        <v>4812</v>
      </c>
      <c r="K100" s="5" t="s">
        <v>340</v>
      </c>
    </row>
    <row r="101" spans="1:11">
      <c r="A101" s="21">
        <v>99</v>
      </c>
      <c r="B101" s="5" t="s">
        <v>341</v>
      </c>
      <c r="C101" s="23" t="s">
        <v>3444</v>
      </c>
      <c r="D101" s="23" t="s">
        <v>77</v>
      </c>
      <c r="E101" s="5" t="s">
        <v>342</v>
      </c>
      <c r="F101" s="71" t="s">
        <v>6101</v>
      </c>
      <c r="G101" s="22" t="s">
        <v>160</v>
      </c>
      <c r="H101" s="5" t="s">
        <v>3932</v>
      </c>
      <c r="I101" s="5" t="s">
        <v>67</v>
      </c>
      <c r="J101" s="5" t="s">
        <v>5103</v>
      </c>
      <c r="K101" s="5" t="s">
        <v>343</v>
      </c>
    </row>
    <row r="102" spans="1:11">
      <c r="A102" s="21">
        <v>100</v>
      </c>
      <c r="B102" s="5" t="s">
        <v>344</v>
      </c>
      <c r="C102" s="23" t="s">
        <v>3331</v>
      </c>
      <c r="D102" s="23" t="s">
        <v>34</v>
      </c>
      <c r="E102" s="5" t="s">
        <v>345</v>
      </c>
      <c r="F102" s="71" t="s">
        <v>6101</v>
      </c>
      <c r="G102" s="22" t="s">
        <v>3933</v>
      </c>
      <c r="H102" s="5" t="s">
        <v>3932</v>
      </c>
      <c r="I102" s="5" t="s">
        <v>67</v>
      </c>
      <c r="J102" s="5" t="s">
        <v>4969</v>
      </c>
      <c r="K102" s="5" t="s">
        <v>346</v>
      </c>
    </row>
    <row r="103" spans="1:11">
      <c r="A103" s="21">
        <v>101</v>
      </c>
      <c r="B103" s="5" t="s">
        <v>347</v>
      </c>
      <c r="C103" s="23" t="s">
        <v>2990</v>
      </c>
      <c r="D103" s="23" t="s">
        <v>34</v>
      </c>
      <c r="E103" s="5" t="s">
        <v>348</v>
      </c>
      <c r="F103" s="71" t="s">
        <v>6101</v>
      </c>
      <c r="G103" s="22" t="s">
        <v>74</v>
      </c>
      <c r="H103" s="5" t="s">
        <v>41</v>
      </c>
      <c r="I103" s="5" t="s">
        <v>21</v>
      </c>
      <c r="J103" s="5" t="s">
        <v>5393</v>
      </c>
      <c r="K103" s="5" t="s">
        <v>349</v>
      </c>
    </row>
    <row r="104" spans="1:11">
      <c r="A104" s="21">
        <v>102</v>
      </c>
      <c r="B104" s="5" t="s">
        <v>350</v>
      </c>
      <c r="C104" s="23" t="s">
        <v>3332</v>
      </c>
      <c r="D104" s="23" t="s">
        <v>34</v>
      </c>
      <c r="E104" s="5" t="s">
        <v>351</v>
      </c>
      <c r="F104" s="71" t="s">
        <v>6101</v>
      </c>
      <c r="G104" s="22" t="s">
        <v>216</v>
      </c>
      <c r="H104" s="5" t="s">
        <v>217</v>
      </c>
      <c r="I104" s="5" t="s">
        <v>21</v>
      </c>
      <c r="J104" s="5" t="s">
        <v>4985</v>
      </c>
      <c r="K104" s="5" t="s">
        <v>352</v>
      </c>
    </row>
    <row r="105" spans="1:11">
      <c r="A105" s="21">
        <v>103</v>
      </c>
      <c r="B105" s="5" t="s">
        <v>353</v>
      </c>
      <c r="C105" s="23" t="s">
        <v>3667</v>
      </c>
      <c r="D105" s="23" t="s">
        <v>59</v>
      </c>
      <c r="E105" s="5" t="s">
        <v>354</v>
      </c>
      <c r="F105" s="71" t="s">
        <v>6101</v>
      </c>
      <c r="G105" s="22" t="s">
        <v>3934</v>
      </c>
      <c r="H105" s="5" t="s">
        <v>13</v>
      </c>
      <c r="I105" s="5" t="s">
        <v>56</v>
      </c>
      <c r="J105" s="5" t="s">
        <v>5266</v>
      </c>
      <c r="K105" s="5" t="s">
        <v>355</v>
      </c>
    </row>
    <row r="106" spans="1:11">
      <c r="A106" s="21">
        <v>104</v>
      </c>
      <c r="B106" s="5" t="s">
        <v>356</v>
      </c>
      <c r="C106" s="23" t="s">
        <v>3584</v>
      </c>
      <c r="D106" s="23" t="s">
        <v>59</v>
      </c>
      <c r="E106" s="5" t="s">
        <v>357</v>
      </c>
      <c r="F106" s="71" t="s">
        <v>6101</v>
      </c>
      <c r="G106" s="22" t="s">
        <v>179</v>
      </c>
      <c r="H106" s="5" t="s">
        <v>36</v>
      </c>
      <c r="I106" s="5" t="s">
        <v>50</v>
      </c>
      <c r="J106" s="5" t="s">
        <v>5725</v>
      </c>
      <c r="K106" s="5" t="s">
        <v>358</v>
      </c>
    </row>
    <row r="107" spans="1:11">
      <c r="A107" s="21">
        <v>105</v>
      </c>
      <c r="B107" s="5" t="s">
        <v>359</v>
      </c>
      <c r="C107" s="23" t="s">
        <v>3079</v>
      </c>
      <c r="D107" s="23" t="s">
        <v>77</v>
      </c>
      <c r="E107" s="5" t="s">
        <v>354</v>
      </c>
      <c r="F107" s="71" t="s">
        <v>6101</v>
      </c>
      <c r="G107" s="22" t="s">
        <v>179</v>
      </c>
      <c r="H107" s="5" t="s">
        <v>3932</v>
      </c>
      <c r="I107" s="5" t="s">
        <v>21</v>
      </c>
      <c r="J107" s="5" t="s">
        <v>5401</v>
      </c>
      <c r="K107" s="5" t="s">
        <v>360</v>
      </c>
    </row>
    <row r="108" spans="1:11">
      <c r="A108" s="21">
        <v>106</v>
      </c>
      <c r="B108" s="5" t="s">
        <v>361</v>
      </c>
      <c r="C108" s="23" t="s">
        <v>3545</v>
      </c>
      <c r="D108" s="23" t="s">
        <v>77</v>
      </c>
      <c r="E108" s="5" t="s">
        <v>168</v>
      </c>
      <c r="F108" s="71" t="s">
        <v>6101</v>
      </c>
      <c r="G108" s="22" t="s">
        <v>12</v>
      </c>
      <c r="H108" s="5" t="s">
        <v>36</v>
      </c>
      <c r="I108" s="5" t="s">
        <v>26</v>
      </c>
      <c r="J108" s="5" t="s">
        <v>5679</v>
      </c>
      <c r="K108" s="5" t="s">
        <v>362</v>
      </c>
    </row>
    <row r="109" spans="1:11">
      <c r="A109" s="21">
        <v>107</v>
      </c>
      <c r="B109" s="5" t="s">
        <v>363</v>
      </c>
      <c r="C109" s="23" t="s">
        <v>3445</v>
      </c>
      <c r="D109" s="23" t="s">
        <v>77</v>
      </c>
      <c r="E109" s="5" t="s">
        <v>364</v>
      </c>
      <c r="F109" s="71" t="s">
        <v>6101</v>
      </c>
      <c r="G109" s="22" t="s">
        <v>54</v>
      </c>
      <c r="H109" s="5" t="s">
        <v>55</v>
      </c>
      <c r="I109" s="5" t="s">
        <v>14</v>
      </c>
      <c r="J109" s="5" t="s">
        <v>5163</v>
      </c>
      <c r="K109" s="5" t="s">
        <v>365</v>
      </c>
    </row>
    <row r="110" spans="1:11">
      <c r="A110" s="21">
        <v>108</v>
      </c>
      <c r="B110" s="5" t="s">
        <v>366</v>
      </c>
      <c r="C110" s="23" t="s">
        <v>3546</v>
      </c>
      <c r="D110" s="23" t="s">
        <v>77</v>
      </c>
      <c r="E110" s="5" t="s">
        <v>367</v>
      </c>
      <c r="F110" s="71" t="s">
        <v>6101</v>
      </c>
      <c r="G110" s="22" t="s">
        <v>12</v>
      </c>
      <c r="H110" s="5" t="s">
        <v>36</v>
      </c>
      <c r="I110" s="5" t="s">
        <v>50</v>
      </c>
      <c r="J110" s="5" t="s">
        <v>5057</v>
      </c>
      <c r="K110" s="5" t="s">
        <v>368</v>
      </c>
    </row>
    <row r="111" spans="1:11">
      <c r="A111" s="21">
        <v>109</v>
      </c>
      <c r="B111" s="5" t="s">
        <v>369</v>
      </c>
      <c r="C111" s="23" t="s">
        <v>2991</v>
      </c>
      <c r="D111" s="23" t="s">
        <v>34</v>
      </c>
      <c r="E111" s="5" t="s">
        <v>370</v>
      </c>
      <c r="F111" s="71" t="s">
        <v>6101</v>
      </c>
      <c r="G111" s="22" t="s">
        <v>179</v>
      </c>
      <c r="H111" s="5" t="s">
        <v>3932</v>
      </c>
      <c r="I111" s="5" t="s">
        <v>56</v>
      </c>
      <c r="J111" s="5" t="s">
        <v>4811</v>
      </c>
      <c r="K111" s="5" t="s">
        <v>371</v>
      </c>
    </row>
    <row r="112" spans="1:11">
      <c r="A112" s="21">
        <v>110</v>
      </c>
      <c r="B112" s="5" t="s">
        <v>372</v>
      </c>
      <c r="C112" s="23" t="s">
        <v>3870</v>
      </c>
      <c r="D112" s="23" t="s">
        <v>17</v>
      </c>
      <c r="E112" s="5" t="s">
        <v>373</v>
      </c>
      <c r="F112" s="71" t="s">
        <v>6101</v>
      </c>
      <c r="G112" s="22" t="s">
        <v>85</v>
      </c>
      <c r="H112" s="5" t="s">
        <v>120</v>
      </c>
      <c r="I112" s="5" t="s">
        <v>42</v>
      </c>
      <c r="J112" s="5" t="s">
        <v>5292</v>
      </c>
      <c r="K112" s="5" t="s">
        <v>374</v>
      </c>
    </row>
    <row r="113" spans="1:11">
      <c r="A113" s="21">
        <v>111</v>
      </c>
      <c r="B113" s="5" t="s">
        <v>375</v>
      </c>
      <c r="C113" s="23" t="s">
        <v>3585</v>
      </c>
      <c r="D113" s="23" t="s">
        <v>59</v>
      </c>
      <c r="E113" s="5" t="s">
        <v>376</v>
      </c>
      <c r="F113" s="71" t="s">
        <v>6101</v>
      </c>
      <c r="G113" s="22" t="s">
        <v>160</v>
      </c>
      <c r="H113" s="5" t="s">
        <v>13</v>
      </c>
      <c r="I113" s="5" t="s">
        <v>67</v>
      </c>
      <c r="J113" s="5" t="s">
        <v>5281</v>
      </c>
      <c r="K113" s="5" t="s">
        <v>377</v>
      </c>
    </row>
    <row r="114" spans="1:11">
      <c r="A114" s="21">
        <v>112</v>
      </c>
      <c r="B114" s="5" t="s">
        <v>378</v>
      </c>
      <c r="C114" s="23" t="s">
        <v>3668</v>
      </c>
      <c r="D114" s="23" t="s">
        <v>59</v>
      </c>
      <c r="E114" s="5" t="s">
        <v>379</v>
      </c>
      <c r="F114" s="71" t="s">
        <v>6101</v>
      </c>
      <c r="G114" s="22" t="s">
        <v>207</v>
      </c>
      <c r="H114" s="5" t="s">
        <v>31</v>
      </c>
      <c r="I114" s="5" t="s">
        <v>21</v>
      </c>
      <c r="J114" s="5" t="s">
        <v>5043</v>
      </c>
      <c r="K114" s="5" t="s">
        <v>380</v>
      </c>
    </row>
    <row r="115" spans="1:11">
      <c r="A115" s="21">
        <v>113</v>
      </c>
      <c r="B115" s="5" t="s">
        <v>381</v>
      </c>
      <c r="C115" s="23" t="s">
        <v>3202</v>
      </c>
      <c r="D115" s="23" t="s">
        <v>77</v>
      </c>
      <c r="E115" s="5" t="s">
        <v>382</v>
      </c>
      <c r="F115" s="71" t="s">
        <v>6101</v>
      </c>
      <c r="G115" s="22" t="s">
        <v>179</v>
      </c>
      <c r="H115" s="5" t="s">
        <v>3932</v>
      </c>
      <c r="I115" s="5" t="s">
        <v>67</v>
      </c>
      <c r="J115" s="5" t="s">
        <v>4789</v>
      </c>
      <c r="K115" s="5" t="s">
        <v>383</v>
      </c>
    </row>
    <row r="116" spans="1:11">
      <c r="A116" s="21">
        <v>114</v>
      </c>
      <c r="B116" s="5" t="s">
        <v>384</v>
      </c>
      <c r="C116" s="23" t="s">
        <v>3586</v>
      </c>
      <c r="D116" s="23" t="s">
        <v>59</v>
      </c>
      <c r="E116" s="5" t="s">
        <v>385</v>
      </c>
      <c r="F116" s="71" t="s">
        <v>6101</v>
      </c>
      <c r="G116" s="22" t="s">
        <v>179</v>
      </c>
      <c r="H116" s="5" t="s">
        <v>36</v>
      </c>
      <c r="I116" s="5" t="s">
        <v>56</v>
      </c>
      <c r="J116" s="5" t="s">
        <v>5113</v>
      </c>
      <c r="K116" s="5">
        <v>85018323941</v>
      </c>
    </row>
    <row r="117" spans="1:11">
      <c r="A117" s="21">
        <v>115</v>
      </c>
      <c r="B117" s="5" t="s">
        <v>387</v>
      </c>
      <c r="C117" s="23" t="s">
        <v>3669</v>
      </c>
      <c r="D117" s="23" t="s">
        <v>59</v>
      </c>
      <c r="E117" s="5" t="s">
        <v>388</v>
      </c>
      <c r="F117" s="71" t="s">
        <v>6101</v>
      </c>
      <c r="G117" s="22" t="s">
        <v>3934</v>
      </c>
      <c r="H117" s="5" t="s">
        <v>13</v>
      </c>
      <c r="I117" s="5" t="s">
        <v>56</v>
      </c>
      <c r="J117" s="5" t="s">
        <v>5135</v>
      </c>
      <c r="K117" s="5" t="s">
        <v>386</v>
      </c>
    </row>
    <row r="118" spans="1:11">
      <c r="A118" s="21">
        <v>116</v>
      </c>
      <c r="B118" s="5" t="s">
        <v>3939</v>
      </c>
      <c r="C118" s="23" t="s">
        <v>3587</v>
      </c>
      <c r="D118" s="23" t="s">
        <v>17</v>
      </c>
      <c r="E118" s="5" t="s">
        <v>389</v>
      </c>
      <c r="F118" s="71" t="s">
        <v>6101</v>
      </c>
      <c r="G118" s="22" t="s">
        <v>179</v>
      </c>
      <c r="H118" s="5" t="s">
        <v>13</v>
      </c>
      <c r="I118" s="5" t="s">
        <v>50</v>
      </c>
      <c r="J118" s="5" t="s">
        <v>4956</v>
      </c>
      <c r="K118" s="5" t="s">
        <v>390</v>
      </c>
    </row>
    <row r="119" spans="1:11">
      <c r="A119" s="21">
        <v>117</v>
      </c>
      <c r="B119" s="5" t="s">
        <v>391</v>
      </c>
      <c r="C119" s="23" t="s">
        <v>3871</v>
      </c>
      <c r="D119" s="23" t="s">
        <v>17</v>
      </c>
      <c r="E119" s="5" t="s">
        <v>392</v>
      </c>
      <c r="F119" s="71" t="s">
        <v>6101</v>
      </c>
      <c r="G119" s="22" t="s">
        <v>119</v>
      </c>
      <c r="H119" s="5" t="s">
        <v>86</v>
      </c>
      <c r="I119" s="5" t="s">
        <v>50</v>
      </c>
      <c r="J119" s="5" t="s">
        <v>5013</v>
      </c>
      <c r="K119" s="5" t="s">
        <v>393</v>
      </c>
    </row>
    <row r="120" spans="1:11">
      <c r="A120" s="21">
        <v>118</v>
      </c>
      <c r="B120" s="5" t="s">
        <v>394</v>
      </c>
      <c r="C120" s="23" t="s">
        <v>3333</v>
      </c>
      <c r="D120" s="23" t="s">
        <v>34</v>
      </c>
      <c r="E120" s="5" t="s">
        <v>395</v>
      </c>
      <c r="F120" s="71" t="s">
        <v>6101</v>
      </c>
      <c r="G120" s="22" t="s">
        <v>3933</v>
      </c>
      <c r="H120" s="5" t="s">
        <v>3932</v>
      </c>
      <c r="I120" s="5" t="s">
        <v>42</v>
      </c>
      <c r="J120" s="5" t="s">
        <v>5667</v>
      </c>
      <c r="K120" s="5" t="s">
        <v>396</v>
      </c>
    </row>
    <row r="121" spans="1:11">
      <c r="A121" s="21">
        <v>119</v>
      </c>
      <c r="B121" s="5" t="s">
        <v>397</v>
      </c>
      <c r="C121" s="23" t="s">
        <v>3670</v>
      </c>
      <c r="D121" s="23" t="s">
        <v>59</v>
      </c>
      <c r="E121" s="5" t="s">
        <v>398</v>
      </c>
      <c r="F121" s="71" t="s">
        <v>6101</v>
      </c>
      <c r="G121" s="22" t="s">
        <v>3934</v>
      </c>
      <c r="H121" s="5" t="s">
        <v>13</v>
      </c>
      <c r="I121" s="5" t="s">
        <v>56</v>
      </c>
      <c r="J121" s="5" t="s">
        <v>4866</v>
      </c>
      <c r="K121" s="5" t="s">
        <v>399</v>
      </c>
    </row>
    <row r="122" spans="1:11">
      <c r="A122" s="21">
        <v>120</v>
      </c>
      <c r="B122" s="5" t="s">
        <v>400</v>
      </c>
      <c r="C122" s="23" t="s">
        <v>3588</v>
      </c>
      <c r="D122" s="23" t="s">
        <v>59</v>
      </c>
      <c r="E122" s="5" t="s">
        <v>401</v>
      </c>
      <c r="F122" s="71" t="s">
        <v>6101</v>
      </c>
      <c r="G122" s="22" t="s">
        <v>160</v>
      </c>
      <c r="H122" s="5" t="s">
        <v>36</v>
      </c>
      <c r="I122" s="5" t="s">
        <v>26</v>
      </c>
      <c r="J122" s="5" t="s">
        <v>5658</v>
      </c>
      <c r="K122" s="5" t="s">
        <v>402</v>
      </c>
    </row>
    <row r="123" spans="1:11">
      <c r="A123" s="21">
        <v>121</v>
      </c>
      <c r="B123" s="5" t="s">
        <v>403</v>
      </c>
      <c r="C123" s="23" t="s">
        <v>3203</v>
      </c>
      <c r="D123" s="23" t="s">
        <v>77</v>
      </c>
      <c r="E123" s="5" t="s">
        <v>404</v>
      </c>
      <c r="F123" s="71" t="s">
        <v>6101</v>
      </c>
      <c r="G123" s="22" t="s">
        <v>172</v>
      </c>
      <c r="H123" s="5" t="s">
        <v>98</v>
      </c>
      <c r="I123" s="5" t="s">
        <v>14</v>
      </c>
      <c r="J123" s="5" t="s">
        <v>5760</v>
      </c>
      <c r="K123" s="5" t="s">
        <v>405</v>
      </c>
    </row>
    <row r="124" spans="1:11">
      <c r="A124" s="21">
        <v>122</v>
      </c>
      <c r="B124" s="5" t="s">
        <v>406</v>
      </c>
      <c r="C124" s="23" t="s">
        <v>3334</v>
      </c>
      <c r="D124" s="23" t="s">
        <v>34</v>
      </c>
      <c r="E124" s="5" t="s">
        <v>407</v>
      </c>
      <c r="F124" s="71" t="s">
        <v>6101</v>
      </c>
      <c r="G124" s="22" t="s">
        <v>3933</v>
      </c>
      <c r="H124" s="5" t="s">
        <v>3932</v>
      </c>
      <c r="I124" s="5" t="s">
        <v>26</v>
      </c>
      <c r="J124" s="5" t="s">
        <v>5480</v>
      </c>
      <c r="K124" s="5" t="s">
        <v>408</v>
      </c>
    </row>
    <row r="125" spans="1:11">
      <c r="A125" s="21">
        <v>123</v>
      </c>
      <c r="B125" s="5" t="s">
        <v>409</v>
      </c>
      <c r="C125" s="23" t="s">
        <v>3285</v>
      </c>
      <c r="D125" s="23" t="s">
        <v>34</v>
      </c>
      <c r="E125" s="5" t="s">
        <v>410</v>
      </c>
      <c r="F125" s="71" t="s">
        <v>6101</v>
      </c>
      <c r="G125" s="22" t="s">
        <v>179</v>
      </c>
      <c r="H125" s="5" t="s">
        <v>3932</v>
      </c>
      <c r="I125" s="5" t="s">
        <v>50</v>
      </c>
      <c r="J125" s="5" t="s">
        <v>4869</v>
      </c>
      <c r="K125" s="5">
        <v>868658328</v>
      </c>
    </row>
    <row r="126" spans="1:11">
      <c r="A126" s="21">
        <v>124</v>
      </c>
      <c r="B126" s="5" t="s">
        <v>411</v>
      </c>
      <c r="C126" s="23" t="s">
        <v>3204</v>
      </c>
      <c r="D126" s="23" t="s">
        <v>77</v>
      </c>
      <c r="E126" s="5" t="s">
        <v>412</v>
      </c>
      <c r="F126" s="71" t="s">
        <v>6101</v>
      </c>
      <c r="G126" s="22" t="s">
        <v>82</v>
      </c>
      <c r="H126" s="5" t="s">
        <v>98</v>
      </c>
      <c r="I126" s="5" t="s">
        <v>42</v>
      </c>
      <c r="J126" s="5" t="s">
        <v>5051</v>
      </c>
      <c r="K126" s="5" t="s">
        <v>413</v>
      </c>
    </row>
    <row r="127" spans="1:11">
      <c r="A127" s="21">
        <v>125</v>
      </c>
      <c r="B127" s="5" t="s">
        <v>414</v>
      </c>
      <c r="C127" s="23" t="s">
        <v>3335</v>
      </c>
      <c r="D127" s="23" t="s">
        <v>34</v>
      </c>
      <c r="E127" s="5" t="s">
        <v>415</v>
      </c>
      <c r="F127" s="71" t="s">
        <v>6101</v>
      </c>
      <c r="G127" s="22" t="s">
        <v>3933</v>
      </c>
      <c r="H127" s="5" t="s">
        <v>3932</v>
      </c>
      <c r="I127" s="5" t="s">
        <v>26</v>
      </c>
      <c r="J127" s="5" t="s">
        <v>5116</v>
      </c>
      <c r="K127" s="5" t="s">
        <v>416</v>
      </c>
    </row>
    <row r="128" spans="1:11">
      <c r="A128" s="21">
        <v>126</v>
      </c>
      <c r="B128" s="5" t="s">
        <v>417</v>
      </c>
      <c r="C128" s="23" t="s">
        <v>3336</v>
      </c>
      <c r="D128" s="23" t="s">
        <v>34</v>
      </c>
      <c r="E128" s="5" t="s">
        <v>418</v>
      </c>
      <c r="F128" s="71" t="s">
        <v>6101</v>
      </c>
      <c r="G128" s="22" t="s">
        <v>216</v>
      </c>
      <c r="H128" s="5" t="s">
        <v>94</v>
      </c>
      <c r="I128" s="5" t="s">
        <v>50</v>
      </c>
      <c r="J128" s="5" t="s">
        <v>4987</v>
      </c>
      <c r="K128" s="5" t="s">
        <v>419</v>
      </c>
    </row>
    <row r="129" spans="1:11">
      <c r="A129" s="21">
        <v>127</v>
      </c>
      <c r="B129" s="5" t="s">
        <v>3940</v>
      </c>
      <c r="C129" s="23" t="s">
        <v>3446</v>
      </c>
      <c r="D129" s="23" t="s">
        <v>17</v>
      </c>
      <c r="E129" s="5" t="s">
        <v>420</v>
      </c>
      <c r="F129" s="71" t="s">
        <v>6101</v>
      </c>
      <c r="G129" s="22" t="s">
        <v>160</v>
      </c>
      <c r="H129" s="5" t="s">
        <v>3932</v>
      </c>
      <c r="I129" s="5" t="s">
        <v>56</v>
      </c>
      <c r="J129" s="5" t="s">
        <v>5173</v>
      </c>
      <c r="K129" s="5">
        <v>854279230</v>
      </c>
    </row>
    <row r="130" spans="1:11">
      <c r="A130" s="21">
        <v>128</v>
      </c>
      <c r="B130" s="5" t="s">
        <v>421</v>
      </c>
      <c r="C130" s="23" t="s">
        <v>3872</v>
      </c>
      <c r="D130" s="23" t="s">
        <v>17</v>
      </c>
      <c r="E130" s="5" t="s">
        <v>422</v>
      </c>
      <c r="F130" s="71" t="s">
        <v>6101</v>
      </c>
      <c r="G130" s="22" t="s">
        <v>119</v>
      </c>
      <c r="H130" s="5" t="s">
        <v>120</v>
      </c>
      <c r="I130" s="5" t="s">
        <v>50</v>
      </c>
      <c r="J130" s="5" t="s">
        <v>5239</v>
      </c>
      <c r="K130" s="5" t="s">
        <v>423</v>
      </c>
    </row>
    <row r="131" spans="1:11">
      <c r="A131" s="21">
        <v>129</v>
      </c>
      <c r="B131" s="5" t="s">
        <v>3941</v>
      </c>
      <c r="C131" s="23" t="s">
        <v>3671</v>
      </c>
      <c r="D131" s="23" t="s">
        <v>59</v>
      </c>
      <c r="E131" s="5" t="s">
        <v>424</v>
      </c>
      <c r="F131" s="71" t="s">
        <v>6101</v>
      </c>
      <c r="G131" s="22" t="s">
        <v>30</v>
      </c>
      <c r="H131" s="5" t="s">
        <v>115</v>
      </c>
      <c r="I131" s="5" t="s">
        <v>14</v>
      </c>
      <c r="J131" s="5" t="s">
        <v>4837</v>
      </c>
      <c r="K131" s="5" t="s">
        <v>425</v>
      </c>
    </row>
    <row r="132" spans="1:11">
      <c r="A132" s="21">
        <v>130</v>
      </c>
      <c r="B132" s="5" t="s">
        <v>426</v>
      </c>
      <c r="C132" s="23" t="s">
        <v>3120</v>
      </c>
      <c r="D132" s="23" t="s">
        <v>34</v>
      </c>
      <c r="E132" s="5" t="s">
        <v>427</v>
      </c>
      <c r="F132" s="71" t="s">
        <v>6101</v>
      </c>
      <c r="G132" s="22" t="s">
        <v>179</v>
      </c>
      <c r="H132" s="5" t="s">
        <v>3932</v>
      </c>
      <c r="I132" s="5" t="s">
        <v>21</v>
      </c>
      <c r="J132" s="5" t="s">
        <v>4882</v>
      </c>
      <c r="K132" s="5" t="s">
        <v>428</v>
      </c>
    </row>
    <row r="133" spans="1:11">
      <c r="A133" s="21">
        <v>131</v>
      </c>
      <c r="B133" s="5" t="s">
        <v>429</v>
      </c>
      <c r="C133" s="23" t="s">
        <v>3447</v>
      </c>
      <c r="D133" s="23" t="s">
        <v>77</v>
      </c>
      <c r="E133" s="5" t="s">
        <v>430</v>
      </c>
      <c r="F133" s="71" t="s">
        <v>6101</v>
      </c>
      <c r="G133" s="22" t="s">
        <v>160</v>
      </c>
      <c r="H133" s="5" t="s">
        <v>3932</v>
      </c>
      <c r="I133" s="5" t="s">
        <v>26</v>
      </c>
      <c r="J133" s="5" t="s">
        <v>5597</v>
      </c>
      <c r="K133" s="5" t="s">
        <v>431</v>
      </c>
    </row>
    <row r="134" spans="1:11">
      <c r="A134" s="21">
        <v>132</v>
      </c>
      <c r="B134" s="5" t="s">
        <v>432</v>
      </c>
      <c r="C134" s="23" t="s">
        <v>3672</v>
      </c>
      <c r="D134" s="23" t="s">
        <v>59</v>
      </c>
      <c r="E134" s="5" t="s">
        <v>433</v>
      </c>
      <c r="F134" s="71" t="s">
        <v>6101</v>
      </c>
      <c r="G134" s="22" t="s">
        <v>3934</v>
      </c>
      <c r="H134" s="5" t="s">
        <v>13</v>
      </c>
      <c r="I134" s="5" t="s">
        <v>67</v>
      </c>
      <c r="J134" s="5" t="s">
        <v>5288</v>
      </c>
      <c r="K134" s="5" t="s">
        <v>434</v>
      </c>
    </row>
    <row r="135" spans="1:11">
      <c r="A135" s="21">
        <v>133</v>
      </c>
      <c r="B135" s="5" t="s">
        <v>435</v>
      </c>
      <c r="C135" s="23" t="s">
        <v>3205</v>
      </c>
      <c r="D135" s="23" t="s">
        <v>77</v>
      </c>
      <c r="E135" s="5" t="s">
        <v>436</v>
      </c>
      <c r="F135" s="71" t="s">
        <v>6101</v>
      </c>
      <c r="G135" s="22" t="s">
        <v>82</v>
      </c>
      <c r="H135" s="5" t="s">
        <v>98</v>
      </c>
      <c r="I135" s="5" t="s">
        <v>14</v>
      </c>
      <c r="J135" s="5" t="s">
        <v>5618</v>
      </c>
      <c r="K135" s="5" t="s">
        <v>437</v>
      </c>
    </row>
    <row r="136" spans="1:11">
      <c r="A136" s="21">
        <v>134</v>
      </c>
      <c r="B136" s="5" t="s">
        <v>438</v>
      </c>
      <c r="C136" s="23" t="s">
        <v>3589</v>
      </c>
      <c r="D136" s="23" t="s">
        <v>59</v>
      </c>
      <c r="E136" s="5" t="s">
        <v>439</v>
      </c>
      <c r="F136" s="71" t="s">
        <v>6101</v>
      </c>
      <c r="G136" s="22" t="s">
        <v>179</v>
      </c>
      <c r="H136" s="5" t="s">
        <v>36</v>
      </c>
      <c r="I136" s="5" t="s">
        <v>26</v>
      </c>
      <c r="J136" s="5" t="s">
        <v>5424</v>
      </c>
      <c r="K136" s="5">
        <v>801337301</v>
      </c>
    </row>
    <row r="137" spans="1:11">
      <c r="A137" s="21">
        <v>135</v>
      </c>
      <c r="B137" s="5" t="s">
        <v>440</v>
      </c>
      <c r="C137" s="23" t="s">
        <v>3121</v>
      </c>
      <c r="D137" s="23" t="s">
        <v>77</v>
      </c>
      <c r="E137" s="5" t="s">
        <v>441</v>
      </c>
      <c r="F137" s="71" t="s">
        <v>6101</v>
      </c>
      <c r="G137" s="22" t="s">
        <v>179</v>
      </c>
      <c r="H137" s="22" t="s">
        <v>179</v>
      </c>
      <c r="I137" s="5" t="s">
        <v>14</v>
      </c>
      <c r="J137" s="5" t="s">
        <v>5663</v>
      </c>
      <c r="K137" s="5" t="s">
        <v>442</v>
      </c>
    </row>
    <row r="138" spans="1:11">
      <c r="A138" s="21">
        <v>136</v>
      </c>
      <c r="B138" s="5" t="s">
        <v>443</v>
      </c>
      <c r="C138" s="23" t="s">
        <v>3286</v>
      </c>
      <c r="D138" s="23" t="s">
        <v>34</v>
      </c>
      <c r="E138" s="5" t="s">
        <v>444</v>
      </c>
      <c r="F138" s="71" t="s">
        <v>6101</v>
      </c>
      <c r="G138" s="22" t="s">
        <v>179</v>
      </c>
      <c r="H138" s="5" t="s">
        <v>3932</v>
      </c>
      <c r="I138" s="5" t="s">
        <v>26</v>
      </c>
      <c r="J138" s="5" t="s">
        <v>4955</v>
      </c>
      <c r="K138" s="5" t="s">
        <v>445</v>
      </c>
    </row>
    <row r="139" spans="1:11">
      <c r="A139" s="21">
        <v>137</v>
      </c>
      <c r="B139" s="5" t="s">
        <v>446</v>
      </c>
      <c r="C139" s="23" t="s">
        <v>3817</v>
      </c>
      <c r="D139" s="23" t="s">
        <v>59</v>
      </c>
      <c r="E139" s="5" t="s">
        <v>447</v>
      </c>
      <c r="F139" s="71" t="s">
        <v>6101</v>
      </c>
      <c r="G139" s="22" t="s">
        <v>144</v>
      </c>
      <c r="H139" s="5" t="s">
        <v>46</v>
      </c>
      <c r="I139" s="5" t="s">
        <v>26</v>
      </c>
      <c r="J139" s="5" t="s">
        <v>5152</v>
      </c>
      <c r="K139" s="5" t="s">
        <v>448</v>
      </c>
    </row>
    <row r="140" spans="1:11">
      <c r="A140" s="21">
        <v>138</v>
      </c>
      <c r="B140" s="5" t="s">
        <v>449</v>
      </c>
      <c r="C140" s="23" t="s">
        <v>3673</v>
      </c>
      <c r="D140" s="23" t="s">
        <v>59</v>
      </c>
      <c r="E140" s="5" t="s">
        <v>450</v>
      </c>
      <c r="F140" s="71" t="s">
        <v>6101</v>
      </c>
      <c r="G140" s="22" t="s">
        <v>3934</v>
      </c>
      <c r="H140" s="5" t="s">
        <v>13</v>
      </c>
      <c r="I140" s="5" t="s">
        <v>26</v>
      </c>
      <c r="J140" s="5" t="s">
        <v>5439</v>
      </c>
      <c r="K140" s="5" t="s">
        <v>451</v>
      </c>
    </row>
    <row r="141" spans="1:11">
      <c r="A141" s="21">
        <v>139</v>
      </c>
      <c r="B141" s="5" t="s">
        <v>452</v>
      </c>
      <c r="C141" s="23" t="s">
        <v>2992</v>
      </c>
      <c r="D141" s="23" t="s">
        <v>34</v>
      </c>
      <c r="E141" s="5" t="s">
        <v>453</v>
      </c>
      <c r="F141" s="71" t="s">
        <v>6101</v>
      </c>
      <c r="G141" s="22" t="s">
        <v>179</v>
      </c>
      <c r="H141" s="5" t="s">
        <v>3932</v>
      </c>
      <c r="I141" s="5" t="s">
        <v>56</v>
      </c>
      <c r="J141" s="5" t="s">
        <v>5509</v>
      </c>
      <c r="K141" s="5" t="s">
        <v>454</v>
      </c>
    </row>
    <row r="142" spans="1:11">
      <c r="A142" s="21">
        <v>140</v>
      </c>
      <c r="B142" s="5" t="s">
        <v>455</v>
      </c>
      <c r="C142" s="23" t="s">
        <v>3590</v>
      </c>
      <c r="D142" s="23" t="s">
        <v>59</v>
      </c>
      <c r="E142" s="5" t="s">
        <v>456</v>
      </c>
      <c r="F142" s="71" t="s">
        <v>6101</v>
      </c>
      <c r="G142" s="22" t="s">
        <v>160</v>
      </c>
      <c r="H142" s="5" t="s">
        <v>13</v>
      </c>
      <c r="I142" s="5" t="s">
        <v>42</v>
      </c>
      <c r="J142" s="5" t="s">
        <v>4853</v>
      </c>
      <c r="K142" s="5" t="s">
        <v>457</v>
      </c>
    </row>
    <row r="143" spans="1:11">
      <c r="A143" s="21">
        <v>141</v>
      </c>
      <c r="B143" s="5" t="s">
        <v>458</v>
      </c>
      <c r="C143" s="23" t="s">
        <v>3873</v>
      </c>
      <c r="D143" s="23" t="s">
        <v>17</v>
      </c>
      <c r="E143" s="5" t="s">
        <v>459</v>
      </c>
      <c r="F143" s="71" t="s">
        <v>6101</v>
      </c>
      <c r="G143" s="22" t="s">
        <v>85</v>
      </c>
      <c r="H143" s="5" t="s">
        <v>120</v>
      </c>
      <c r="I143" s="5" t="s">
        <v>42</v>
      </c>
      <c r="J143" s="5" t="s">
        <v>5005</v>
      </c>
      <c r="K143" s="5" t="s">
        <v>460</v>
      </c>
    </row>
    <row r="144" spans="1:11">
      <c r="A144" s="21">
        <v>142</v>
      </c>
      <c r="B144" s="5" t="s">
        <v>461</v>
      </c>
      <c r="C144" s="23" t="s">
        <v>3080</v>
      </c>
      <c r="D144" s="23" t="s">
        <v>77</v>
      </c>
      <c r="E144" s="5" t="s">
        <v>462</v>
      </c>
      <c r="F144" s="71" t="s">
        <v>6101</v>
      </c>
      <c r="G144" s="22" t="s">
        <v>179</v>
      </c>
      <c r="H144" s="22" t="s">
        <v>179</v>
      </c>
      <c r="I144" s="5" t="s">
        <v>50</v>
      </c>
      <c r="J144" s="5" t="s">
        <v>5630</v>
      </c>
      <c r="K144" s="5" t="s">
        <v>463</v>
      </c>
    </row>
    <row r="145" spans="1:11">
      <c r="A145" s="21">
        <v>143</v>
      </c>
      <c r="B145" s="5" t="s">
        <v>464</v>
      </c>
      <c r="C145" s="23" t="s">
        <v>3206</v>
      </c>
      <c r="D145" s="23" t="s">
        <v>77</v>
      </c>
      <c r="E145" s="5" t="s">
        <v>465</v>
      </c>
      <c r="F145" s="71" t="s">
        <v>6101</v>
      </c>
      <c r="G145" s="22" t="s">
        <v>82</v>
      </c>
      <c r="H145" s="5" t="s">
        <v>98</v>
      </c>
      <c r="I145" s="5" t="s">
        <v>14</v>
      </c>
      <c r="J145" s="5" t="s">
        <v>5581</v>
      </c>
      <c r="K145" s="5" t="s">
        <v>466</v>
      </c>
    </row>
    <row r="146" spans="1:11">
      <c r="A146" s="21">
        <v>144</v>
      </c>
      <c r="B146" s="5" t="s">
        <v>467</v>
      </c>
      <c r="C146" s="23" t="s">
        <v>3337</v>
      </c>
      <c r="D146" s="23" t="s">
        <v>34</v>
      </c>
      <c r="E146" s="5" t="s">
        <v>468</v>
      </c>
      <c r="F146" s="71" t="s">
        <v>6101</v>
      </c>
      <c r="G146" s="22" t="s">
        <v>3933</v>
      </c>
      <c r="H146" s="5" t="s">
        <v>3932</v>
      </c>
      <c r="I146" s="5" t="s">
        <v>42</v>
      </c>
      <c r="J146" s="5" t="s">
        <v>5494</v>
      </c>
      <c r="K146" s="5" t="s">
        <v>469</v>
      </c>
    </row>
    <row r="147" spans="1:11">
      <c r="A147" s="21">
        <v>145</v>
      </c>
      <c r="B147" s="5" t="s">
        <v>470</v>
      </c>
      <c r="C147" s="23" t="s">
        <v>3874</v>
      </c>
      <c r="D147" s="23" t="s">
        <v>17</v>
      </c>
      <c r="E147" s="5" t="s">
        <v>471</v>
      </c>
      <c r="F147" s="71" t="s">
        <v>6101</v>
      </c>
      <c r="G147" s="22" t="s">
        <v>119</v>
      </c>
      <c r="H147" s="5" t="s">
        <v>86</v>
      </c>
      <c r="I147" s="5" t="s">
        <v>26</v>
      </c>
      <c r="J147" s="5" t="s">
        <v>5408</v>
      </c>
      <c r="K147" s="5" t="s">
        <v>472</v>
      </c>
    </row>
    <row r="148" spans="1:11">
      <c r="A148" s="21">
        <v>146</v>
      </c>
      <c r="B148" s="5" t="s">
        <v>473</v>
      </c>
      <c r="C148" s="23" t="s">
        <v>3591</v>
      </c>
      <c r="D148" s="23" t="s">
        <v>59</v>
      </c>
      <c r="E148" s="5" t="s">
        <v>474</v>
      </c>
      <c r="F148" s="71" t="s">
        <v>6101</v>
      </c>
      <c r="G148" s="22" t="s">
        <v>160</v>
      </c>
      <c r="H148" s="5" t="s">
        <v>36</v>
      </c>
      <c r="I148" s="5" t="s">
        <v>50</v>
      </c>
      <c r="J148" s="5" t="s">
        <v>5141</v>
      </c>
      <c r="K148" s="5" t="s">
        <v>475</v>
      </c>
    </row>
    <row r="149" spans="1:11">
      <c r="A149" s="21">
        <v>147</v>
      </c>
      <c r="B149" s="5" t="s">
        <v>476</v>
      </c>
      <c r="C149" s="23" t="s">
        <v>3674</v>
      </c>
      <c r="D149" s="23" t="s">
        <v>59</v>
      </c>
      <c r="E149" s="5" t="s">
        <v>477</v>
      </c>
      <c r="F149" s="71" t="s">
        <v>6101</v>
      </c>
      <c r="G149" s="22" t="s">
        <v>30</v>
      </c>
      <c r="H149" s="5" t="s">
        <v>31</v>
      </c>
      <c r="I149" s="5" t="s">
        <v>14</v>
      </c>
      <c r="J149" s="5" t="s">
        <v>5295</v>
      </c>
      <c r="K149" s="5" t="s">
        <v>478</v>
      </c>
    </row>
    <row r="150" spans="1:11">
      <c r="A150" s="21">
        <v>148</v>
      </c>
      <c r="B150" s="5" t="s">
        <v>479</v>
      </c>
      <c r="C150" s="23" t="s">
        <v>3875</v>
      </c>
      <c r="D150" s="23" t="s">
        <v>17</v>
      </c>
      <c r="E150" s="5" t="s">
        <v>480</v>
      </c>
      <c r="F150" s="71" t="s">
        <v>6101</v>
      </c>
      <c r="G150" s="22" t="s">
        <v>85</v>
      </c>
      <c r="H150" s="5" t="s">
        <v>86</v>
      </c>
      <c r="I150" s="5" t="s">
        <v>21</v>
      </c>
      <c r="J150" s="5" t="s">
        <v>5326</v>
      </c>
      <c r="K150" s="5" t="s">
        <v>481</v>
      </c>
    </row>
    <row r="151" spans="1:11">
      <c r="A151" s="21">
        <v>149</v>
      </c>
      <c r="B151" s="5" t="s">
        <v>482</v>
      </c>
      <c r="C151" s="23" t="s">
        <v>3448</v>
      </c>
      <c r="D151" s="23" t="s">
        <v>77</v>
      </c>
      <c r="E151" s="5" t="s">
        <v>483</v>
      </c>
      <c r="F151" s="71" t="s">
        <v>6101</v>
      </c>
      <c r="G151" s="22" t="s">
        <v>160</v>
      </c>
      <c r="H151" s="5" t="s">
        <v>3932</v>
      </c>
      <c r="I151" s="5" t="s">
        <v>67</v>
      </c>
      <c r="J151" s="5" t="s">
        <v>5055</v>
      </c>
      <c r="K151" s="5" t="s">
        <v>484</v>
      </c>
    </row>
    <row r="152" spans="1:11">
      <c r="A152" s="21">
        <v>150</v>
      </c>
      <c r="B152" s="5" t="s">
        <v>485</v>
      </c>
      <c r="C152" s="23" t="s">
        <v>3207</v>
      </c>
      <c r="D152" s="23" t="s">
        <v>77</v>
      </c>
      <c r="E152" s="5" t="s">
        <v>486</v>
      </c>
      <c r="F152" s="71" t="s">
        <v>6101</v>
      </c>
      <c r="G152" s="22" t="s">
        <v>179</v>
      </c>
      <c r="H152" s="5" t="s">
        <v>3932</v>
      </c>
      <c r="I152" s="5" t="s">
        <v>56</v>
      </c>
      <c r="J152" s="5" t="s">
        <v>4830</v>
      </c>
      <c r="K152" s="5" t="s">
        <v>487</v>
      </c>
    </row>
    <row r="153" spans="1:11">
      <c r="A153" s="21">
        <v>151</v>
      </c>
      <c r="B153" s="5" t="s">
        <v>488</v>
      </c>
      <c r="C153" s="23" t="s">
        <v>2993</v>
      </c>
      <c r="D153" s="23" t="s">
        <v>34</v>
      </c>
      <c r="E153" s="5" t="s">
        <v>489</v>
      </c>
      <c r="F153" s="71" t="s">
        <v>6101</v>
      </c>
      <c r="G153" s="22" t="s">
        <v>74</v>
      </c>
      <c r="H153" s="5" t="s">
        <v>41</v>
      </c>
      <c r="I153" s="5" t="s">
        <v>26</v>
      </c>
      <c r="J153" s="5" t="s">
        <v>5628</v>
      </c>
      <c r="K153" s="5" t="s">
        <v>490</v>
      </c>
    </row>
    <row r="154" spans="1:11">
      <c r="A154" s="21">
        <v>152</v>
      </c>
      <c r="B154" s="5" t="s">
        <v>491</v>
      </c>
      <c r="C154" s="23" t="s">
        <v>3338</v>
      </c>
      <c r="D154" s="23" t="s">
        <v>34</v>
      </c>
      <c r="E154" s="5" t="s">
        <v>492</v>
      </c>
      <c r="F154" s="71" t="s">
        <v>6101</v>
      </c>
      <c r="G154" s="22" t="s">
        <v>3933</v>
      </c>
      <c r="H154" s="5" t="s">
        <v>3932</v>
      </c>
      <c r="I154" s="5" t="s">
        <v>67</v>
      </c>
      <c r="J154" s="5" t="s">
        <v>5132</v>
      </c>
      <c r="K154" s="5" t="s">
        <v>493</v>
      </c>
    </row>
    <row r="155" spans="1:11">
      <c r="A155" s="21">
        <v>153</v>
      </c>
      <c r="B155" s="5" t="s">
        <v>494</v>
      </c>
      <c r="C155" s="23" t="s">
        <v>3208</v>
      </c>
      <c r="D155" s="23" t="s">
        <v>34</v>
      </c>
      <c r="E155" s="5" t="s">
        <v>495</v>
      </c>
      <c r="F155" s="71" t="s">
        <v>6101</v>
      </c>
      <c r="G155" s="22" t="s">
        <v>179</v>
      </c>
      <c r="H155" s="5" t="s">
        <v>3932</v>
      </c>
      <c r="I155" s="5" t="s">
        <v>67</v>
      </c>
      <c r="J155" s="5" t="s">
        <v>4948</v>
      </c>
      <c r="K155" s="5" t="s">
        <v>496</v>
      </c>
    </row>
    <row r="156" spans="1:11">
      <c r="A156" s="21">
        <v>154</v>
      </c>
      <c r="B156" s="5" t="s">
        <v>497</v>
      </c>
      <c r="C156" s="23" t="s">
        <v>3122</v>
      </c>
      <c r="D156" s="23" t="s">
        <v>77</v>
      </c>
      <c r="E156" s="5" t="s">
        <v>498</v>
      </c>
      <c r="F156" s="71" t="s">
        <v>6101</v>
      </c>
      <c r="G156" s="22" t="s">
        <v>179</v>
      </c>
      <c r="H156" s="5" t="s">
        <v>3932</v>
      </c>
      <c r="I156" s="5" t="s">
        <v>21</v>
      </c>
      <c r="J156" s="5" t="s">
        <v>5280</v>
      </c>
      <c r="K156" s="5" t="s">
        <v>499</v>
      </c>
    </row>
    <row r="157" spans="1:11">
      <c r="A157" s="21">
        <v>155</v>
      </c>
      <c r="B157" s="5" t="s">
        <v>500</v>
      </c>
      <c r="C157" s="23" t="s">
        <v>3818</v>
      </c>
      <c r="D157" s="23" t="s">
        <v>17</v>
      </c>
      <c r="E157" s="5" t="s">
        <v>501</v>
      </c>
      <c r="F157" s="71" t="s">
        <v>6101</v>
      </c>
      <c r="G157" s="22" t="s">
        <v>144</v>
      </c>
      <c r="H157" s="5" t="s">
        <v>46</v>
      </c>
      <c r="I157" s="5" t="s">
        <v>67</v>
      </c>
      <c r="J157" s="5" t="s">
        <v>5768</v>
      </c>
      <c r="K157" s="5" t="s">
        <v>502</v>
      </c>
    </row>
    <row r="158" spans="1:11">
      <c r="A158" s="21">
        <v>156</v>
      </c>
      <c r="B158" s="5" t="s">
        <v>503</v>
      </c>
      <c r="C158" s="23" t="s">
        <v>3675</v>
      </c>
      <c r="D158" s="23" t="s">
        <v>59</v>
      </c>
      <c r="E158" s="5" t="s">
        <v>504</v>
      </c>
      <c r="F158" s="71" t="s">
        <v>6101</v>
      </c>
      <c r="G158" s="22" t="s">
        <v>3934</v>
      </c>
      <c r="H158" s="5" t="s">
        <v>13</v>
      </c>
      <c r="I158" s="5" t="s">
        <v>56</v>
      </c>
      <c r="J158" s="5" t="s">
        <v>5276</v>
      </c>
      <c r="K158" s="5" t="s">
        <v>505</v>
      </c>
    </row>
    <row r="159" spans="1:11">
      <c r="A159" s="21">
        <v>157</v>
      </c>
      <c r="B159" s="5" t="s">
        <v>506</v>
      </c>
      <c r="C159" s="23" t="s">
        <v>3676</v>
      </c>
      <c r="D159" s="23" t="s">
        <v>17</v>
      </c>
      <c r="E159" s="5" t="s">
        <v>507</v>
      </c>
      <c r="F159" s="71" t="s">
        <v>6102</v>
      </c>
      <c r="G159" s="22" t="s">
        <v>3934</v>
      </c>
      <c r="H159" s="5" t="s">
        <v>13</v>
      </c>
      <c r="I159" s="5" t="s">
        <v>67</v>
      </c>
      <c r="J159" s="5" t="s">
        <v>5097</v>
      </c>
      <c r="K159" s="5">
        <v>89881253111</v>
      </c>
    </row>
    <row r="160" spans="1:11">
      <c r="A160" s="21">
        <v>158</v>
      </c>
      <c r="B160" s="5" t="s">
        <v>508</v>
      </c>
      <c r="C160" s="23" t="s">
        <v>3123</v>
      </c>
      <c r="D160" s="23" t="s">
        <v>34</v>
      </c>
      <c r="E160" s="5" t="s">
        <v>509</v>
      </c>
      <c r="F160" s="71" t="s">
        <v>6102</v>
      </c>
      <c r="G160" s="22" t="s">
        <v>179</v>
      </c>
      <c r="H160" s="22" t="s">
        <v>179</v>
      </c>
      <c r="I160" s="5" t="s">
        <v>21</v>
      </c>
      <c r="J160" s="5" t="s">
        <v>5316</v>
      </c>
      <c r="K160" s="5" t="s">
        <v>510</v>
      </c>
    </row>
    <row r="161" spans="1:11">
      <c r="A161" s="21">
        <v>159</v>
      </c>
      <c r="B161" s="5" t="s">
        <v>511</v>
      </c>
      <c r="C161" s="23" t="s">
        <v>3677</v>
      </c>
      <c r="D161" s="23" t="s">
        <v>59</v>
      </c>
      <c r="E161" s="5" t="s">
        <v>512</v>
      </c>
      <c r="F161" s="71" t="s">
        <v>6102</v>
      </c>
      <c r="G161" s="22" t="s">
        <v>3934</v>
      </c>
      <c r="H161" s="5" t="s">
        <v>13</v>
      </c>
      <c r="I161" s="5" t="s">
        <v>26</v>
      </c>
      <c r="J161" s="5" t="s">
        <v>5127</v>
      </c>
      <c r="K161" s="5" t="s">
        <v>513</v>
      </c>
    </row>
    <row r="162" spans="1:11">
      <c r="A162" s="21">
        <v>160</v>
      </c>
      <c r="B162" s="5" t="s">
        <v>514</v>
      </c>
      <c r="C162" s="23" t="s">
        <v>3678</v>
      </c>
      <c r="D162" s="23" t="s">
        <v>17</v>
      </c>
      <c r="E162" s="5" t="s">
        <v>515</v>
      </c>
      <c r="F162" s="71" t="s">
        <v>6102</v>
      </c>
      <c r="G162" s="22" t="s">
        <v>3934</v>
      </c>
      <c r="H162" s="5" t="s">
        <v>13</v>
      </c>
      <c r="I162" s="5" t="s">
        <v>50</v>
      </c>
      <c r="J162" s="5" t="s">
        <v>5059</v>
      </c>
      <c r="K162" s="5" t="s">
        <v>516</v>
      </c>
    </row>
    <row r="163" spans="1:11">
      <c r="A163" s="21">
        <v>161</v>
      </c>
      <c r="B163" s="5" t="s">
        <v>517</v>
      </c>
      <c r="C163" s="23" t="s">
        <v>3339</v>
      </c>
      <c r="D163" s="23" t="s">
        <v>34</v>
      </c>
      <c r="E163" s="5" t="s">
        <v>518</v>
      </c>
      <c r="F163" s="71" t="s">
        <v>6102</v>
      </c>
      <c r="G163" s="22" t="s">
        <v>3933</v>
      </c>
      <c r="H163" s="5" t="s">
        <v>3932</v>
      </c>
      <c r="I163" s="5" t="s">
        <v>67</v>
      </c>
      <c r="J163" s="5" t="s">
        <v>4805</v>
      </c>
      <c r="K163" s="5">
        <v>805677688</v>
      </c>
    </row>
    <row r="164" spans="1:11">
      <c r="A164" s="21">
        <v>162</v>
      </c>
      <c r="B164" s="5" t="s">
        <v>519</v>
      </c>
      <c r="C164" s="23" t="s">
        <v>3209</v>
      </c>
      <c r="D164" s="23" t="s">
        <v>34</v>
      </c>
      <c r="E164" s="5" t="s">
        <v>520</v>
      </c>
      <c r="F164" s="71" t="s">
        <v>6102</v>
      </c>
      <c r="G164" s="22" t="s">
        <v>179</v>
      </c>
      <c r="H164" s="5" t="s">
        <v>3932</v>
      </c>
      <c r="I164" s="5" t="s">
        <v>21</v>
      </c>
      <c r="J164" s="5" t="s">
        <v>5115</v>
      </c>
      <c r="K164" s="5" t="s">
        <v>521</v>
      </c>
    </row>
    <row r="165" spans="1:11">
      <c r="A165" s="21">
        <v>163</v>
      </c>
      <c r="B165" s="5" t="s">
        <v>522</v>
      </c>
      <c r="C165" s="23" t="s">
        <v>3287</v>
      </c>
      <c r="D165" s="23" t="s">
        <v>77</v>
      </c>
      <c r="E165" s="5" t="s">
        <v>523</v>
      </c>
      <c r="F165" s="71" t="s">
        <v>6102</v>
      </c>
      <c r="G165" s="22" t="s">
        <v>179</v>
      </c>
      <c r="H165" s="5" t="s">
        <v>3932</v>
      </c>
      <c r="I165" s="5" t="s">
        <v>67</v>
      </c>
      <c r="J165" s="5" t="s">
        <v>4851</v>
      </c>
      <c r="K165" s="5" t="s">
        <v>524</v>
      </c>
    </row>
    <row r="166" spans="1:11">
      <c r="A166" s="21">
        <v>164</v>
      </c>
      <c r="B166" s="5" t="s">
        <v>525</v>
      </c>
      <c r="C166" s="23" t="s">
        <v>2994</v>
      </c>
      <c r="D166" s="23" t="s">
        <v>34</v>
      </c>
      <c r="E166" s="5" t="s">
        <v>526</v>
      </c>
      <c r="F166" s="71" t="s">
        <v>6102</v>
      </c>
      <c r="G166" s="22" t="s">
        <v>179</v>
      </c>
      <c r="H166" s="5" t="s">
        <v>3932</v>
      </c>
      <c r="I166" s="5" t="s">
        <v>67</v>
      </c>
      <c r="J166" s="5" t="s">
        <v>5197</v>
      </c>
      <c r="K166" s="5" t="s">
        <v>527</v>
      </c>
    </row>
    <row r="167" spans="1:11">
      <c r="A167" s="21">
        <v>165</v>
      </c>
      <c r="B167" s="5" t="s">
        <v>528</v>
      </c>
      <c r="C167" s="23" t="s">
        <v>3288</v>
      </c>
      <c r="D167" s="23" t="s">
        <v>77</v>
      </c>
      <c r="E167" s="5" t="s">
        <v>529</v>
      </c>
      <c r="F167" s="71" t="s">
        <v>6102</v>
      </c>
      <c r="G167" s="22" t="s">
        <v>179</v>
      </c>
      <c r="H167" s="5" t="s">
        <v>3932</v>
      </c>
      <c r="I167" s="5" t="s">
        <v>50</v>
      </c>
      <c r="J167" s="5" t="s">
        <v>5363</v>
      </c>
      <c r="K167" s="5" t="s">
        <v>530</v>
      </c>
    </row>
    <row r="168" spans="1:11">
      <c r="A168" s="21">
        <v>166</v>
      </c>
      <c r="B168" s="5" t="s">
        <v>531</v>
      </c>
      <c r="C168" s="23" t="s">
        <v>3876</v>
      </c>
      <c r="D168" s="23" t="s">
        <v>17</v>
      </c>
      <c r="E168" s="5" t="s">
        <v>532</v>
      </c>
      <c r="F168" s="71" t="s">
        <v>6102</v>
      </c>
      <c r="G168" s="22" t="s">
        <v>119</v>
      </c>
      <c r="H168" s="5" t="s">
        <v>86</v>
      </c>
      <c r="I168" s="5" t="s">
        <v>14</v>
      </c>
      <c r="J168" s="5" t="s">
        <v>4844</v>
      </c>
      <c r="K168" s="5" t="s">
        <v>533</v>
      </c>
    </row>
    <row r="169" spans="1:11">
      <c r="A169" s="21">
        <v>167</v>
      </c>
      <c r="B169" s="5" t="s">
        <v>534</v>
      </c>
      <c r="C169" s="23" t="s">
        <v>3592</v>
      </c>
      <c r="D169" s="23" t="s">
        <v>59</v>
      </c>
      <c r="E169" s="5" t="s">
        <v>535</v>
      </c>
      <c r="F169" s="71" t="s">
        <v>6102</v>
      </c>
      <c r="G169" s="22" t="s">
        <v>160</v>
      </c>
      <c r="H169" s="5" t="s">
        <v>13</v>
      </c>
      <c r="I169" s="5" t="s">
        <v>67</v>
      </c>
      <c r="J169" s="5" t="s">
        <v>5555</v>
      </c>
      <c r="K169" s="5" t="s">
        <v>536</v>
      </c>
    </row>
    <row r="170" spans="1:11">
      <c r="A170" s="21">
        <v>168</v>
      </c>
      <c r="B170" s="5" t="s">
        <v>537</v>
      </c>
      <c r="C170" s="23" t="s">
        <v>3547</v>
      </c>
      <c r="D170" s="23" t="s">
        <v>77</v>
      </c>
      <c r="E170" s="5" t="s">
        <v>538</v>
      </c>
      <c r="F170" s="71" t="s">
        <v>6102</v>
      </c>
      <c r="G170" s="22" t="s">
        <v>12</v>
      </c>
      <c r="H170" s="5" t="s">
        <v>36</v>
      </c>
      <c r="I170" s="5" t="s">
        <v>56</v>
      </c>
      <c r="J170" s="5" t="s">
        <v>4846</v>
      </c>
      <c r="K170" s="5">
        <v>83968334433</v>
      </c>
    </row>
    <row r="171" spans="1:11">
      <c r="A171" s="21">
        <v>169</v>
      </c>
      <c r="B171" s="5" t="s">
        <v>539</v>
      </c>
      <c r="C171" s="23" t="s">
        <v>3593</v>
      </c>
      <c r="D171" s="23" t="s">
        <v>59</v>
      </c>
      <c r="E171" s="5" t="s">
        <v>540</v>
      </c>
      <c r="F171" s="71" t="s">
        <v>6102</v>
      </c>
      <c r="G171" s="22" t="s">
        <v>160</v>
      </c>
      <c r="H171" s="5" t="s">
        <v>36</v>
      </c>
      <c r="I171" s="5" t="s">
        <v>26</v>
      </c>
      <c r="J171" s="5" t="s">
        <v>4865</v>
      </c>
      <c r="K171" s="5" t="s">
        <v>541</v>
      </c>
    </row>
    <row r="172" spans="1:11">
      <c r="A172" s="21">
        <v>170</v>
      </c>
      <c r="B172" s="5" t="s">
        <v>542</v>
      </c>
      <c r="C172" s="23" t="s">
        <v>3548</v>
      </c>
      <c r="D172" s="23" t="s">
        <v>77</v>
      </c>
      <c r="E172" s="5" t="s">
        <v>543</v>
      </c>
      <c r="F172" s="71" t="s">
        <v>6102</v>
      </c>
      <c r="G172" s="22" t="s">
        <v>12</v>
      </c>
      <c r="H172" s="5" t="s">
        <v>36</v>
      </c>
      <c r="I172" s="5" t="s">
        <v>67</v>
      </c>
      <c r="J172" s="5" t="s">
        <v>5124</v>
      </c>
      <c r="K172" s="5" t="s">
        <v>544</v>
      </c>
    </row>
    <row r="173" spans="1:11">
      <c r="A173" s="21">
        <v>171</v>
      </c>
      <c r="B173" s="5" t="s">
        <v>545</v>
      </c>
      <c r="C173" s="23" t="s">
        <v>3549</v>
      </c>
      <c r="D173" s="23" t="s">
        <v>77</v>
      </c>
      <c r="E173" s="5" t="s">
        <v>546</v>
      </c>
      <c r="F173" s="71" t="s">
        <v>6102</v>
      </c>
      <c r="G173" s="22" t="s">
        <v>12</v>
      </c>
      <c r="H173" s="5" t="s">
        <v>13</v>
      </c>
      <c r="I173" s="5" t="s">
        <v>50</v>
      </c>
      <c r="J173" s="5" t="s">
        <v>5422</v>
      </c>
      <c r="K173" s="5" t="s">
        <v>547</v>
      </c>
    </row>
    <row r="174" spans="1:11">
      <c r="A174" s="21">
        <v>172</v>
      </c>
      <c r="B174" s="5" t="s">
        <v>548</v>
      </c>
      <c r="C174" s="23" t="s">
        <v>3210</v>
      </c>
      <c r="D174" s="23" t="s">
        <v>34</v>
      </c>
      <c r="E174" s="5" t="s">
        <v>549</v>
      </c>
      <c r="F174" s="71" t="s">
        <v>6102</v>
      </c>
      <c r="G174" s="22" t="s">
        <v>179</v>
      </c>
      <c r="H174" s="5" t="s">
        <v>3932</v>
      </c>
      <c r="I174" s="5" t="s">
        <v>21</v>
      </c>
      <c r="J174" s="5" t="s">
        <v>5136</v>
      </c>
      <c r="K174" s="5" t="s">
        <v>550</v>
      </c>
    </row>
    <row r="175" spans="1:11">
      <c r="A175" s="21">
        <v>173</v>
      </c>
      <c r="B175" s="5" t="s">
        <v>551</v>
      </c>
      <c r="C175" s="23" t="s">
        <v>3081</v>
      </c>
      <c r="D175" s="23" t="s">
        <v>77</v>
      </c>
      <c r="E175" s="5" t="s">
        <v>552</v>
      </c>
      <c r="F175" s="71" t="s">
        <v>6102</v>
      </c>
      <c r="G175" s="22" t="s">
        <v>179</v>
      </c>
      <c r="H175" s="22" t="s">
        <v>3932</v>
      </c>
      <c r="I175" s="5" t="s">
        <v>67</v>
      </c>
      <c r="J175" s="5" t="s">
        <v>5720</v>
      </c>
      <c r="K175" s="5" t="s">
        <v>553</v>
      </c>
    </row>
    <row r="176" spans="1:11">
      <c r="A176" s="21">
        <v>174</v>
      </c>
      <c r="B176" s="5" t="s">
        <v>554</v>
      </c>
      <c r="C176" s="23" t="s">
        <v>3770</v>
      </c>
      <c r="D176" s="23" t="s">
        <v>17</v>
      </c>
      <c r="E176" s="5" t="s">
        <v>555</v>
      </c>
      <c r="F176" s="71" t="s">
        <v>6102</v>
      </c>
      <c r="G176" s="22" t="s">
        <v>24</v>
      </c>
      <c r="H176" s="5" t="s">
        <v>25</v>
      </c>
      <c r="I176" s="5" t="s">
        <v>56</v>
      </c>
      <c r="J176" s="5" t="s">
        <v>5138</v>
      </c>
      <c r="K176" s="5" t="s">
        <v>556</v>
      </c>
    </row>
    <row r="177" spans="1:11">
      <c r="A177" s="21">
        <v>175</v>
      </c>
      <c r="B177" s="5" t="s">
        <v>557</v>
      </c>
      <c r="C177" s="23" t="s">
        <v>3211</v>
      </c>
      <c r="D177" s="23" t="s">
        <v>77</v>
      </c>
      <c r="E177" s="5" t="s">
        <v>558</v>
      </c>
      <c r="F177" s="71" t="s">
        <v>6102</v>
      </c>
      <c r="G177" s="22" t="s">
        <v>179</v>
      </c>
      <c r="H177" s="5" t="s">
        <v>3932</v>
      </c>
      <c r="I177" s="5" t="s">
        <v>50</v>
      </c>
      <c r="J177" s="5" t="s">
        <v>5488</v>
      </c>
      <c r="K177" s="5">
        <v>89756465511</v>
      </c>
    </row>
    <row r="178" spans="1:11">
      <c r="A178" s="21">
        <v>176</v>
      </c>
      <c r="B178" s="5" t="s">
        <v>3942</v>
      </c>
      <c r="C178" s="23" t="s">
        <v>3124</v>
      </c>
      <c r="D178" s="23" t="s">
        <v>34</v>
      </c>
      <c r="E178" s="5" t="s">
        <v>559</v>
      </c>
      <c r="F178" s="71" t="s">
        <v>6102</v>
      </c>
      <c r="G178" s="22" t="s">
        <v>179</v>
      </c>
      <c r="H178" s="22" t="s">
        <v>179</v>
      </c>
      <c r="I178" s="5" t="s">
        <v>14</v>
      </c>
      <c r="J178" s="5" t="s">
        <v>5176</v>
      </c>
      <c r="K178" s="5" t="s">
        <v>560</v>
      </c>
    </row>
    <row r="179" spans="1:11">
      <c r="A179" s="21">
        <v>177</v>
      </c>
      <c r="B179" s="5" t="s">
        <v>561</v>
      </c>
      <c r="C179" s="23" t="s">
        <v>3340</v>
      </c>
      <c r="D179" s="23" t="s">
        <v>34</v>
      </c>
      <c r="E179" s="5" t="s">
        <v>562</v>
      </c>
      <c r="F179" s="71" t="s">
        <v>6102</v>
      </c>
      <c r="G179" s="22" t="s">
        <v>3933</v>
      </c>
      <c r="H179" s="5" t="s">
        <v>3932</v>
      </c>
      <c r="I179" s="5" t="s">
        <v>56</v>
      </c>
      <c r="J179" s="5" t="s">
        <v>5074</v>
      </c>
      <c r="K179" s="5" t="s">
        <v>563</v>
      </c>
    </row>
    <row r="180" spans="1:11">
      <c r="A180" s="21">
        <v>178</v>
      </c>
      <c r="B180" s="5" t="s">
        <v>564</v>
      </c>
      <c r="C180" s="23" t="s">
        <v>3877</v>
      </c>
      <c r="D180" s="23" t="s">
        <v>17</v>
      </c>
      <c r="E180" s="5" t="s">
        <v>565</v>
      </c>
      <c r="F180" s="71" t="s">
        <v>6102</v>
      </c>
      <c r="G180" s="22" t="s">
        <v>85</v>
      </c>
      <c r="H180" s="5" t="s">
        <v>120</v>
      </c>
      <c r="I180" s="5" t="s">
        <v>50</v>
      </c>
      <c r="J180" s="5" t="s">
        <v>5437</v>
      </c>
      <c r="K180" s="5" t="s">
        <v>566</v>
      </c>
    </row>
    <row r="181" spans="1:11">
      <c r="A181" s="21">
        <v>179</v>
      </c>
      <c r="B181" s="5" t="s">
        <v>567</v>
      </c>
      <c r="C181" s="23" t="s">
        <v>2995</v>
      </c>
      <c r="D181" s="23" t="s">
        <v>34</v>
      </c>
      <c r="E181" s="5" t="s">
        <v>568</v>
      </c>
      <c r="F181" s="71" t="s">
        <v>6102</v>
      </c>
      <c r="G181" s="22" t="s">
        <v>179</v>
      </c>
      <c r="H181" s="5" t="s">
        <v>3932</v>
      </c>
      <c r="I181" s="5" t="s">
        <v>67</v>
      </c>
      <c r="J181" s="5" t="s">
        <v>5396</v>
      </c>
      <c r="K181" s="5" t="s">
        <v>569</v>
      </c>
    </row>
    <row r="182" spans="1:11">
      <c r="A182" s="21">
        <v>180</v>
      </c>
      <c r="B182" s="5" t="s">
        <v>570</v>
      </c>
      <c r="C182" s="23" t="s">
        <v>3594</v>
      </c>
      <c r="D182" s="23" t="s">
        <v>59</v>
      </c>
      <c r="E182" s="5" t="s">
        <v>571</v>
      </c>
      <c r="F182" s="71" t="s">
        <v>6102</v>
      </c>
      <c r="G182" s="22" t="s">
        <v>160</v>
      </c>
      <c r="H182" s="5" t="s">
        <v>36</v>
      </c>
      <c r="I182" s="5" t="s">
        <v>50</v>
      </c>
      <c r="J182" s="5" t="s">
        <v>5444</v>
      </c>
      <c r="K182" s="5" t="s">
        <v>572</v>
      </c>
    </row>
    <row r="183" spans="1:11">
      <c r="A183" s="21">
        <v>181</v>
      </c>
      <c r="B183" s="5" t="s">
        <v>573</v>
      </c>
      <c r="C183" s="23" t="s">
        <v>3125</v>
      </c>
      <c r="D183" s="23" t="s">
        <v>34</v>
      </c>
      <c r="E183" s="5" t="s">
        <v>574</v>
      </c>
      <c r="F183" s="71" t="s">
        <v>6102</v>
      </c>
      <c r="G183" s="22" t="s">
        <v>179</v>
      </c>
      <c r="H183" s="22" t="s">
        <v>3932</v>
      </c>
      <c r="I183" s="5" t="s">
        <v>56</v>
      </c>
      <c r="J183" s="5" t="s">
        <v>5484</v>
      </c>
      <c r="K183" s="5" t="s">
        <v>575</v>
      </c>
    </row>
    <row r="184" spans="1:11">
      <c r="A184" s="21">
        <v>182</v>
      </c>
      <c r="B184" s="5" t="s">
        <v>576</v>
      </c>
      <c r="C184" s="23" t="s">
        <v>2996</v>
      </c>
      <c r="D184" s="23" t="s">
        <v>34</v>
      </c>
      <c r="E184" s="5" t="s">
        <v>577</v>
      </c>
      <c r="F184" s="71" t="s">
        <v>6102</v>
      </c>
      <c r="G184" s="22" t="s">
        <v>179</v>
      </c>
      <c r="H184" s="5" t="s">
        <v>3932</v>
      </c>
      <c r="I184" s="5" t="s">
        <v>56</v>
      </c>
      <c r="J184" s="5" t="s">
        <v>5561</v>
      </c>
      <c r="K184" s="5" t="s">
        <v>578</v>
      </c>
    </row>
    <row r="185" spans="1:11">
      <c r="A185" s="21">
        <v>183</v>
      </c>
      <c r="B185" s="5" t="s">
        <v>579</v>
      </c>
      <c r="C185" s="23" t="s">
        <v>3341</v>
      </c>
      <c r="D185" s="23" t="s">
        <v>34</v>
      </c>
      <c r="E185" s="5" t="s">
        <v>580</v>
      </c>
      <c r="F185" s="71" t="s">
        <v>6102</v>
      </c>
      <c r="G185" s="22" t="s">
        <v>216</v>
      </c>
      <c r="H185" s="5" t="s">
        <v>217</v>
      </c>
      <c r="I185" s="5" t="s">
        <v>21</v>
      </c>
      <c r="J185" s="5" t="s">
        <v>5499</v>
      </c>
      <c r="K185" s="5" t="s">
        <v>581</v>
      </c>
    </row>
    <row r="186" spans="1:11">
      <c r="A186" s="21">
        <v>184</v>
      </c>
      <c r="B186" s="5" t="s">
        <v>582</v>
      </c>
      <c r="C186" s="23" t="s">
        <v>3595</v>
      </c>
      <c r="D186" s="23" t="s">
        <v>59</v>
      </c>
      <c r="E186" s="5" t="s">
        <v>583</v>
      </c>
      <c r="F186" s="71" t="s">
        <v>6102</v>
      </c>
      <c r="G186" s="22" t="s">
        <v>160</v>
      </c>
      <c r="H186" s="5" t="s">
        <v>36</v>
      </c>
      <c r="I186" s="5" t="s">
        <v>21</v>
      </c>
      <c r="J186" s="5" t="s">
        <v>4884</v>
      </c>
      <c r="K186" s="5" t="s">
        <v>584</v>
      </c>
    </row>
    <row r="187" spans="1:11">
      <c r="A187" s="21">
        <v>185</v>
      </c>
      <c r="B187" s="5" t="s">
        <v>585</v>
      </c>
      <c r="C187" s="23" t="s">
        <v>3082</v>
      </c>
      <c r="D187" s="23" t="s">
        <v>77</v>
      </c>
      <c r="E187" s="5" t="s">
        <v>586</v>
      </c>
      <c r="F187" s="71" t="s">
        <v>6102</v>
      </c>
      <c r="G187" s="22" t="s">
        <v>179</v>
      </c>
      <c r="H187" s="22" t="s">
        <v>3932</v>
      </c>
      <c r="I187" s="5" t="s">
        <v>56</v>
      </c>
      <c r="J187" s="5" t="s">
        <v>5753</v>
      </c>
      <c r="K187" s="5" t="s">
        <v>587</v>
      </c>
    </row>
    <row r="188" spans="1:11">
      <c r="A188" s="21">
        <v>186</v>
      </c>
      <c r="B188" s="5" t="s">
        <v>588</v>
      </c>
      <c r="C188" s="23" t="s">
        <v>3771</v>
      </c>
      <c r="D188" s="23" t="s">
        <v>59</v>
      </c>
      <c r="E188" s="5" t="s">
        <v>589</v>
      </c>
      <c r="F188" s="71" t="s">
        <v>6102</v>
      </c>
      <c r="G188" s="22" t="s">
        <v>24</v>
      </c>
      <c r="H188" s="5" t="s">
        <v>46</v>
      </c>
      <c r="I188" s="5" t="s">
        <v>56</v>
      </c>
      <c r="J188" s="5" t="s">
        <v>5418</v>
      </c>
      <c r="K188" s="5" t="s">
        <v>590</v>
      </c>
    </row>
    <row r="189" spans="1:11">
      <c r="A189" s="21">
        <v>187</v>
      </c>
      <c r="B189" s="5" t="s">
        <v>591</v>
      </c>
      <c r="C189" s="23" t="s">
        <v>3596</v>
      </c>
      <c r="D189" s="23" t="s">
        <v>59</v>
      </c>
      <c r="E189" s="5" t="s">
        <v>592</v>
      </c>
      <c r="F189" s="71" t="s">
        <v>6102</v>
      </c>
      <c r="G189" s="22" t="s">
        <v>160</v>
      </c>
      <c r="H189" s="5" t="s">
        <v>13</v>
      </c>
      <c r="I189" s="5" t="s">
        <v>67</v>
      </c>
      <c r="J189" s="5" t="s">
        <v>5250</v>
      </c>
      <c r="K189" s="5" t="s">
        <v>593</v>
      </c>
    </row>
    <row r="190" spans="1:11">
      <c r="A190" s="21">
        <v>188</v>
      </c>
      <c r="B190" s="5" t="s">
        <v>594</v>
      </c>
      <c r="C190" s="23" t="s">
        <v>3550</v>
      </c>
      <c r="D190" s="23" t="s">
        <v>77</v>
      </c>
      <c r="E190" s="5" t="s">
        <v>595</v>
      </c>
      <c r="F190" s="71" t="s">
        <v>6102</v>
      </c>
      <c r="G190" s="22" t="s">
        <v>12</v>
      </c>
      <c r="H190" s="5" t="s">
        <v>36</v>
      </c>
      <c r="I190" s="5" t="s">
        <v>50</v>
      </c>
      <c r="J190" s="5" t="s">
        <v>4800</v>
      </c>
      <c r="K190" s="5" t="s">
        <v>596</v>
      </c>
    </row>
    <row r="191" spans="1:11">
      <c r="A191" s="21">
        <v>189</v>
      </c>
      <c r="B191" s="5" t="s">
        <v>597</v>
      </c>
      <c r="C191" s="23" t="s">
        <v>3878</v>
      </c>
      <c r="D191" s="23" t="s">
        <v>17</v>
      </c>
      <c r="E191" s="5" t="s">
        <v>598</v>
      </c>
      <c r="F191" s="71" t="s">
        <v>6102</v>
      </c>
      <c r="G191" s="22" t="s">
        <v>119</v>
      </c>
      <c r="H191" s="5" t="s">
        <v>120</v>
      </c>
      <c r="I191" s="5" t="s">
        <v>50</v>
      </c>
      <c r="J191" s="5" t="s">
        <v>4979</v>
      </c>
      <c r="K191" s="5" t="s">
        <v>599</v>
      </c>
    </row>
    <row r="192" spans="1:11">
      <c r="A192" s="21">
        <v>190</v>
      </c>
      <c r="B192" s="5" t="s">
        <v>600</v>
      </c>
      <c r="C192" s="23" t="s">
        <v>3342</v>
      </c>
      <c r="D192" s="23" t="s">
        <v>34</v>
      </c>
      <c r="E192" s="5" t="s">
        <v>601</v>
      </c>
      <c r="F192" s="71" t="s">
        <v>6102</v>
      </c>
      <c r="G192" s="22" t="s">
        <v>3933</v>
      </c>
      <c r="H192" s="5" t="s">
        <v>3932</v>
      </c>
      <c r="I192" s="5" t="s">
        <v>56</v>
      </c>
      <c r="J192" s="5" t="s">
        <v>5075</v>
      </c>
      <c r="K192" s="5" t="s">
        <v>602</v>
      </c>
    </row>
    <row r="193" spans="1:11">
      <c r="A193" s="21">
        <v>191</v>
      </c>
      <c r="B193" s="5" t="s">
        <v>603</v>
      </c>
      <c r="C193" s="23" t="s">
        <v>3212</v>
      </c>
      <c r="D193" s="23" t="s">
        <v>77</v>
      </c>
      <c r="E193" s="5" t="s">
        <v>604</v>
      </c>
      <c r="F193" s="71" t="s">
        <v>6102</v>
      </c>
      <c r="G193" s="22" t="s">
        <v>179</v>
      </c>
      <c r="H193" s="5" t="s">
        <v>3932</v>
      </c>
      <c r="I193" s="5" t="s">
        <v>56</v>
      </c>
      <c r="J193" s="5" t="s">
        <v>5279</v>
      </c>
      <c r="K193" s="5" t="s">
        <v>605</v>
      </c>
    </row>
    <row r="194" spans="1:11">
      <c r="A194" s="21">
        <v>192</v>
      </c>
      <c r="B194" s="5" t="s">
        <v>606</v>
      </c>
      <c r="C194" s="23" t="s">
        <v>3343</v>
      </c>
      <c r="D194" s="23" t="s">
        <v>34</v>
      </c>
      <c r="E194" s="5" t="s">
        <v>607</v>
      </c>
      <c r="F194" s="71" t="s">
        <v>6102</v>
      </c>
      <c r="G194" s="22" t="s">
        <v>3933</v>
      </c>
      <c r="H194" s="5" t="s">
        <v>3932</v>
      </c>
      <c r="I194" s="5" t="s">
        <v>26</v>
      </c>
      <c r="J194" s="5" t="s">
        <v>5161</v>
      </c>
      <c r="K194" s="5" t="s">
        <v>608</v>
      </c>
    </row>
    <row r="195" spans="1:11">
      <c r="A195" s="21">
        <v>193</v>
      </c>
      <c r="B195" s="5" t="s">
        <v>609</v>
      </c>
      <c r="C195" s="23" t="s">
        <v>3213</v>
      </c>
      <c r="D195" s="23" t="s">
        <v>77</v>
      </c>
      <c r="E195" s="5" t="s">
        <v>610</v>
      </c>
      <c r="F195" s="71" t="s">
        <v>6102</v>
      </c>
      <c r="G195" s="22" t="s">
        <v>179</v>
      </c>
      <c r="H195" s="5" t="s">
        <v>3932</v>
      </c>
      <c r="I195" s="5" t="s">
        <v>56</v>
      </c>
      <c r="J195" s="5" t="s">
        <v>4855</v>
      </c>
      <c r="K195" s="5" t="s">
        <v>611</v>
      </c>
    </row>
    <row r="196" spans="1:11">
      <c r="A196" s="21">
        <v>194</v>
      </c>
      <c r="B196" s="5" t="s">
        <v>612</v>
      </c>
      <c r="C196" s="23" t="s">
        <v>3214</v>
      </c>
      <c r="D196" s="23" t="s">
        <v>77</v>
      </c>
      <c r="E196" s="5" t="s">
        <v>613</v>
      </c>
      <c r="F196" s="71" t="s">
        <v>6102</v>
      </c>
      <c r="G196" s="22" t="s">
        <v>82</v>
      </c>
      <c r="H196" s="5" t="s">
        <v>98</v>
      </c>
      <c r="I196" s="5" t="s">
        <v>42</v>
      </c>
      <c r="J196" s="5" t="s">
        <v>5759</v>
      </c>
      <c r="K196" s="5" t="s">
        <v>614</v>
      </c>
    </row>
    <row r="197" spans="1:11">
      <c r="A197" s="21">
        <v>195</v>
      </c>
      <c r="B197" s="5" t="s">
        <v>615</v>
      </c>
      <c r="C197" s="23" t="s">
        <v>3449</v>
      </c>
      <c r="D197" s="23" t="s">
        <v>77</v>
      </c>
      <c r="E197" s="5" t="s">
        <v>616</v>
      </c>
      <c r="F197" s="71" t="s">
        <v>6102</v>
      </c>
      <c r="G197" s="22" t="s">
        <v>160</v>
      </c>
      <c r="H197" s="5" t="s">
        <v>3932</v>
      </c>
      <c r="I197" s="5" t="s">
        <v>56</v>
      </c>
      <c r="J197" s="5" t="s">
        <v>5105</v>
      </c>
      <c r="K197" s="5" t="s">
        <v>617</v>
      </c>
    </row>
    <row r="198" spans="1:11">
      <c r="A198" s="21">
        <v>196</v>
      </c>
      <c r="B198" s="5" t="s">
        <v>618</v>
      </c>
      <c r="C198" s="23" t="s">
        <v>3344</v>
      </c>
      <c r="D198" s="23" t="s">
        <v>34</v>
      </c>
      <c r="E198" s="5" t="s">
        <v>619</v>
      </c>
      <c r="F198" s="71" t="s">
        <v>6102</v>
      </c>
      <c r="G198" s="22" t="s">
        <v>93</v>
      </c>
      <c r="H198" s="5" t="s">
        <v>217</v>
      </c>
      <c r="I198" s="5" t="s">
        <v>21</v>
      </c>
      <c r="J198" s="5" t="s">
        <v>5504</v>
      </c>
      <c r="K198" s="5" t="s">
        <v>620</v>
      </c>
    </row>
    <row r="199" spans="1:11">
      <c r="A199" s="21">
        <v>197</v>
      </c>
      <c r="B199" s="5" t="s">
        <v>621</v>
      </c>
      <c r="C199" s="23" t="s">
        <v>3597</v>
      </c>
      <c r="D199" s="23" t="s">
        <v>59</v>
      </c>
      <c r="E199" s="5" t="s">
        <v>622</v>
      </c>
      <c r="F199" s="71" t="s">
        <v>6102</v>
      </c>
      <c r="G199" s="22" t="s">
        <v>160</v>
      </c>
      <c r="H199" s="5" t="s">
        <v>36</v>
      </c>
      <c r="I199" s="5" t="s">
        <v>42</v>
      </c>
      <c r="J199" s="5" t="s">
        <v>5619</v>
      </c>
      <c r="K199" s="5" t="s">
        <v>623</v>
      </c>
    </row>
    <row r="200" spans="1:11">
      <c r="A200" s="21">
        <v>198</v>
      </c>
      <c r="B200" s="5" t="s">
        <v>624</v>
      </c>
      <c r="C200" s="23" t="s">
        <v>3598</v>
      </c>
      <c r="D200" s="23" t="s">
        <v>59</v>
      </c>
      <c r="E200" s="5" t="s">
        <v>625</v>
      </c>
      <c r="F200" s="71" t="s">
        <v>6102</v>
      </c>
      <c r="G200" s="22" t="s">
        <v>160</v>
      </c>
      <c r="H200" s="5" t="s">
        <v>36</v>
      </c>
      <c r="I200" s="5" t="s">
        <v>67</v>
      </c>
      <c r="J200" s="5" t="s">
        <v>5500</v>
      </c>
      <c r="K200" s="5" t="s">
        <v>626</v>
      </c>
    </row>
    <row r="201" spans="1:11">
      <c r="A201" s="21">
        <v>199</v>
      </c>
      <c r="B201" s="5" t="s">
        <v>627</v>
      </c>
      <c r="C201" s="23" t="s">
        <v>3289</v>
      </c>
      <c r="D201" s="23" t="s">
        <v>77</v>
      </c>
      <c r="E201" s="5" t="s">
        <v>628</v>
      </c>
      <c r="F201" s="71" t="s">
        <v>6102</v>
      </c>
      <c r="G201" s="22" t="s">
        <v>179</v>
      </c>
      <c r="H201" s="5" t="s">
        <v>3932</v>
      </c>
      <c r="I201" s="5" t="s">
        <v>21</v>
      </c>
      <c r="J201" s="5" t="s">
        <v>5207</v>
      </c>
      <c r="K201" s="5" t="s">
        <v>629</v>
      </c>
    </row>
    <row r="202" spans="1:11">
      <c r="A202" s="21">
        <v>200</v>
      </c>
      <c r="B202" s="5" t="s">
        <v>630</v>
      </c>
      <c r="C202" s="23" t="s">
        <v>3450</v>
      </c>
      <c r="D202" s="23" t="s">
        <v>77</v>
      </c>
      <c r="E202" s="5" t="s">
        <v>631</v>
      </c>
      <c r="F202" s="71" t="s">
        <v>6102</v>
      </c>
      <c r="G202" s="22" t="s">
        <v>160</v>
      </c>
      <c r="H202" s="5" t="s">
        <v>3932</v>
      </c>
      <c r="I202" s="5" t="s">
        <v>56</v>
      </c>
      <c r="J202" s="5" t="s">
        <v>5406</v>
      </c>
      <c r="K202" s="5" t="s">
        <v>632</v>
      </c>
    </row>
    <row r="203" spans="1:11">
      <c r="A203" s="21">
        <v>201</v>
      </c>
      <c r="B203" s="5" t="s">
        <v>633</v>
      </c>
      <c r="C203" s="23" t="s">
        <v>3290</v>
      </c>
      <c r="D203" s="23" t="s">
        <v>77</v>
      </c>
      <c r="E203" s="5" t="s">
        <v>634</v>
      </c>
      <c r="F203" s="71" t="s">
        <v>6102</v>
      </c>
      <c r="G203" s="22" t="s">
        <v>179</v>
      </c>
      <c r="H203" s="5" t="s">
        <v>3932</v>
      </c>
      <c r="I203" s="5" t="s">
        <v>21</v>
      </c>
      <c r="J203" s="5" t="s">
        <v>5340</v>
      </c>
      <c r="K203" s="5" t="s">
        <v>635</v>
      </c>
    </row>
    <row r="204" spans="1:11">
      <c r="A204" s="21">
        <v>202</v>
      </c>
      <c r="B204" s="5" t="s">
        <v>636</v>
      </c>
      <c r="C204" s="23" t="s">
        <v>3083</v>
      </c>
      <c r="D204" s="23" t="s">
        <v>77</v>
      </c>
      <c r="E204" s="5" t="s">
        <v>637</v>
      </c>
      <c r="F204" s="71" t="s">
        <v>6102</v>
      </c>
      <c r="G204" s="22" t="s">
        <v>179</v>
      </c>
      <c r="H204" s="22" t="s">
        <v>179</v>
      </c>
      <c r="I204" s="5" t="s">
        <v>21</v>
      </c>
      <c r="J204" s="5" t="s">
        <v>5738</v>
      </c>
      <c r="K204" s="5" t="s">
        <v>638</v>
      </c>
    </row>
    <row r="205" spans="1:11">
      <c r="A205" s="21">
        <v>203</v>
      </c>
      <c r="B205" s="5" t="s">
        <v>639</v>
      </c>
      <c r="C205" s="23" t="s">
        <v>3599</v>
      </c>
      <c r="D205" s="23" t="s">
        <v>17</v>
      </c>
      <c r="E205" s="5" t="s">
        <v>640</v>
      </c>
      <c r="F205" s="71" t="s">
        <v>6102</v>
      </c>
      <c r="G205" s="22" t="s">
        <v>179</v>
      </c>
      <c r="H205" s="5" t="s">
        <v>13</v>
      </c>
      <c r="I205" s="5" t="s">
        <v>56</v>
      </c>
      <c r="J205" s="5" t="s">
        <v>4949</v>
      </c>
      <c r="K205" s="5" t="s">
        <v>641</v>
      </c>
    </row>
    <row r="206" spans="1:11">
      <c r="A206" s="21">
        <v>204</v>
      </c>
      <c r="B206" s="5" t="s">
        <v>642</v>
      </c>
      <c r="C206" s="23" t="s">
        <v>3345</v>
      </c>
      <c r="D206" s="23" t="s">
        <v>34</v>
      </c>
      <c r="E206" s="5" t="s">
        <v>643</v>
      </c>
      <c r="F206" s="71" t="s">
        <v>6102</v>
      </c>
      <c r="G206" s="22" t="s">
        <v>3933</v>
      </c>
      <c r="H206" s="5" t="s">
        <v>3932</v>
      </c>
      <c r="I206" s="5" t="s">
        <v>67</v>
      </c>
      <c r="J206" s="5" t="s">
        <v>5671</v>
      </c>
      <c r="K206" s="5" t="s">
        <v>644</v>
      </c>
    </row>
    <row r="207" spans="1:11">
      <c r="A207" s="21">
        <v>205</v>
      </c>
      <c r="B207" s="5" t="s">
        <v>645</v>
      </c>
      <c r="C207" s="23" t="s">
        <v>3126</v>
      </c>
      <c r="D207" s="23" t="s">
        <v>77</v>
      </c>
      <c r="E207" s="5" t="s">
        <v>646</v>
      </c>
      <c r="F207" s="71" t="s">
        <v>6102</v>
      </c>
      <c r="G207" s="22" t="s">
        <v>179</v>
      </c>
      <c r="H207" s="22" t="s">
        <v>3932</v>
      </c>
      <c r="I207" s="5" t="s">
        <v>67</v>
      </c>
      <c r="J207" s="5" t="s">
        <v>4875</v>
      </c>
      <c r="K207" s="5" t="s">
        <v>647</v>
      </c>
    </row>
    <row r="208" spans="1:11">
      <c r="A208" s="21">
        <v>206</v>
      </c>
      <c r="B208" s="5" t="s">
        <v>648</v>
      </c>
      <c r="C208" s="23" t="s">
        <v>3451</v>
      </c>
      <c r="D208" s="23" t="s">
        <v>17</v>
      </c>
      <c r="E208" s="5" t="s">
        <v>649</v>
      </c>
      <c r="F208" s="71" t="s">
        <v>6102</v>
      </c>
      <c r="G208" s="22" t="s">
        <v>102</v>
      </c>
      <c r="H208" s="5" t="s">
        <v>55</v>
      </c>
      <c r="I208" s="5" t="s">
        <v>21</v>
      </c>
      <c r="J208" s="5" t="s">
        <v>5180</v>
      </c>
      <c r="K208" s="5" t="s">
        <v>650</v>
      </c>
    </row>
    <row r="209" spans="1:11">
      <c r="A209" s="21">
        <v>207</v>
      </c>
      <c r="B209" s="5" t="s">
        <v>651</v>
      </c>
      <c r="C209" s="23" t="s">
        <v>3452</v>
      </c>
      <c r="D209" s="23" t="s">
        <v>17</v>
      </c>
      <c r="E209" s="5" t="s">
        <v>652</v>
      </c>
      <c r="F209" s="71" t="s">
        <v>6102</v>
      </c>
      <c r="G209" s="22" t="s">
        <v>160</v>
      </c>
      <c r="H209" s="5" t="s">
        <v>3932</v>
      </c>
      <c r="I209" s="5" t="s">
        <v>67</v>
      </c>
      <c r="J209" s="5" t="s">
        <v>5189</v>
      </c>
      <c r="K209" s="5" t="s">
        <v>653</v>
      </c>
    </row>
    <row r="210" spans="1:11">
      <c r="A210" s="21">
        <v>208</v>
      </c>
      <c r="B210" s="5" t="s">
        <v>654</v>
      </c>
      <c r="C210" s="23" t="s">
        <v>3291</v>
      </c>
      <c r="D210" s="23" t="s">
        <v>77</v>
      </c>
      <c r="E210" s="5" t="s">
        <v>655</v>
      </c>
      <c r="F210" s="71" t="s">
        <v>6102</v>
      </c>
      <c r="G210" s="22" t="s">
        <v>179</v>
      </c>
      <c r="H210" s="5" t="s">
        <v>3932</v>
      </c>
      <c r="I210" s="5" t="s">
        <v>42</v>
      </c>
      <c r="J210" s="5" t="s">
        <v>5623</v>
      </c>
      <c r="K210" s="5" t="s">
        <v>656</v>
      </c>
    </row>
    <row r="211" spans="1:11">
      <c r="A211" s="21">
        <v>209</v>
      </c>
      <c r="B211" s="5" t="s">
        <v>657</v>
      </c>
      <c r="C211" s="23" t="s">
        <v>3215</v>
      </c>
      <c r="D211" s="23" t="s">
        <v>77</v>
      </c>
      <c r="E211" s="5" t="s">
        <v>658</v>
      </c>
      <c r="F211" s="71" t="s">
        <v>6102</v>
      </c>
      <c r="G211" s="22" t="s">
        <v>172</v>
      </c>
      <c r="H211" s="5" t="s">
        <v>98</v>
      </c>
      <c r="I211" s="5" t="s">
        <v>26</v>
      </c>
      <c r="J211" s="5" t="s">
        <v>5638</v>
      </c>
      <c r="K211" s="5" t="s">
        <v>659</v>
      </c>
    </row>
    <row r="212" spans="1:11">
      <c r="A212" s="21">
        <v>210</v>
      </c>
      <c r="B212" s="5" t="s">
        <v>660</v>
      </c>
      <c r="C212" s="23" t="s">
        <v>3346</v>
      </c>
      <c r="D212" s="23" t="s">
        <v>34</v>
      </c>
      <c r="E212" s="5" t="s">
        <v>661</v>
      </c>
      <c r="F212" s="71" t="s">
        <v>6102</v>
      </c>
      <c r="G212" s="22" t="s">
        <v>216</v>
      </c>
      <c r="H212" s="5" t="s">
        <v>217</v>
      </c>
      <c r="I212" s="5" t="s">
        <v>21</v>
      </c>
      <c r="J212" s="5" t="s">
        <v>5078</v>
      </c>
      <c r="K212" s="5" t="s">
        <v>662</v>
      </c>
    </row>
    <row r="213" spans="1:11">
      <c r="A213" s="21">
        <v>211</v>
      </c>
      <c r="B213" s="5" t="s">
        <v>663</v>
      </c>
      <c r="C213" s="23" t="s">
        <v>3347</v>
      </c>
      <c r="D213" s="23" t="s">
        <v>34</v>
      </c>
      <c r="E213" s="5" t="s">
        <v>664</v>
      </c>
      <c r="F213" s="71" t="s">
        <v>6102</v>
      </c>
      <c r="G213" s="22" t="s">
        <v>93</v>
      </c>
      <c r="H213" s="5" t="s">
        <v>217</v>
      </c>
      <c r="I213" s="5" t="s">
        <v>14</v>
      </c>
      <c r="J213" s="5" t="s">
        <v>5193</v>
      </c>
      <c r="K213" s="5" t="s">
        <v>665</v>
      </c>
    </row>
    <row r="214" spans="1:11">
      <c r="A214" s="21">
        <v>212</v>
      </c>
      <c r="B214" s="5" t="s">
        <v>666</v>
      </c>
      <c r="C214" s="23" t="s">
        <v>3551</v>
      </c>
      <c r="D214" s="23" t="s">
        <v>77</v>
      </c>
      <c r="E214" s="5" t="s">
        <v>667</v>
      </c>
      <c r="F214" s="71" t="s">
        <v>6102</v>
      </c>
      <c r="G214" s="22" t="s">
        <v>12</v>
      </c>
      <c r="H214" s="5" t="s">
        <v>36</v>
      </c>
      <c r="I214" s="5" t="s">
        <v>56</v>
      </c>
      <c r="J214" s="5" t="s">
        <v>5226</v>
      </c>
      <c r="K214" s="5" t="s">
        <v>668</v>
      </c>
    </row>
    <row r="215" spans="1:11">
      <c r="A215" s="21">
        <v>213</v>
      </c>
      <c r="B215" s="5" t="s">
        <v>669</v>
      </c>
      <c r="C215" s="23" t="s">
        <v>3879</v>
      </c>
      <c r="D215" s="23" t="s">
        <v>17</v>
      </c>
      <c r="E215" s="5" t="s">
        <v>670</v>
      </c>
      <c r="F215" s="71" t="s">
        <v>6102</v>
      </c>
      <c r="G215" s="22" t="s">
        <v>119</v>
      </c>
      <c r="H215" s="5" t="s">
        <v>120</v>
      </c>
      <c r="I215" s="5" t="s">
        <v>50</v>
      </c>
      <c r="J215" s="5" t="s">
        <v>5482</v>
      </c>
      <c r="K215" s="5" t="s">
        <v>671</v>
      </c>
    </row>
    <row r="216" spans="1:11">
      <c r="A216" s="21">
        <v>214</v>
      </c>
      <c r="B216" s="5" t="s">
        <v>672</v>
      </c>
      <c r="C216" s="23" t="s">
        <v>3600</v>
      </c>
      <c r="D216" s="23" t="s">
        <v>59</v>
      </c>
      <c r="E216" s="5" t="s">
        <v>673</v>
      </c>
      <c r="F216" s="71" t="s">
        <v>6102</v>
      </c>
      <c r="G216" s="22" t="s">
        <v>179</v>
      </c>
      <c r="H216" s="5" t="s">
        <v>13</v>
      </c>
      <c r="I216" s="5" t="s">
        <v>26</v>
      </c>
      <c r="J216" s="5" t="s">
        <v>5692</v>
      </c>
      <c r="K216" s="5" t="s">
        <v>674</v>
      </c>
    </row>
    <row r="217" spans="1:11">
      <c r="A217" s="21">
        <v>215</v>
      </c>
      <c r="B217" s="5" t="s">
        <v>675</v>
      </c>
      <c r="C217" s="23" t="s">
        <v>3601</v>
      </c>
      <c r="D217" s="23" t="s">
        <v>17</v>
      </c>
      <c r="E217" s="5" t="s">
        <v>676</v>
      </c>
      <c r="F217" s="71" t="s">
        <v>6102</v>
      </c>
      <c r="G217" s="22" t="s">
        <v>179</v>
      </c>
      <c r="H217" s="5" t="s">
        <v>13</v>
      </c>
      <c r="I217" s="5" t="s">
        <v>67</v>
      </c>
      <c r="J217" s="5" t="s">
        <v>5195</v>
      </c>
      <c r="K217" s="5" t="s">
        <v>677</v>
      </c>
    </row>
    <row r="218" spans="1:11">
      <c r="A218" s="21">
        <v>216</v>
      </c>
      <c r="B218" s="5" t="s">
        <v>678</v>
      </c>
      <c r="C218" s="23" t="s">
        <v>2997</v>
      </c>
      <c r="D218" s="23" t="s">
        <v>34</v>
      </c>
      <c r="E218" s="5" t="s">
        <v>679</v>
      </c>
      <c r="F218" s="71" t="s">
        <v>6102</v>
      </c>
      <c r="G218" s="22" t="s">
        <v>40</v>
      </c>
      <c r="H218" s="5" t="s">
        <v>71</v>
      </c>
      <c r="I218" s="5" t="s">
        <v>14</v>
      </c>
      <c r="J218" s="5" t="s">
        <v>5210</v>
      </c>
      <c r="K218" s="5" t="s">
        <v>680</v>
      </c>
    </row>
    <row r="219" spans="1:11">
      <c r="A219" s="21">
        <v>217</v>
      </c>
      <c r="B219" s="5" t="s">
        <v>681</v>
      </c>
      <c r="C219" s="23" t="s">
        <v>3679</v>
      </c>
      <c r="D219" s="23" t="s">
        <v>59</v>
      </c>
      <c r="E219" s="5" t="s">
        <v>682</v>
      </c>
      <c r="F219" s="71" t="s">
        <v>6102</v>
      </c>
      <c r="G219" s="22" t="s">
        <v>3934</v>
      </c>
      <c r="H219" s="5" t="s">
        <v>13</v>
      </c>
      <c r="I219" s="5" t="s">
        <v>26</v>
      </c>
      <c r="J219" s="5" t="s">
        <v>5373</v>
      </c>
      <c r="K219" s="5" t="s">
        <v>683</v>
      </c>
    </row>
    <row r="220" spans="1:11">
      <c r="A220" s="21">
        <v>218</v>
      </c>
      <c r="B220" s="5" t="s">
        <v>684</v>
      </c>
      <c r="C220" s="23" t="s">
        <v>3602</v>
      </c>
      <c r="D220" s="23" t="s">
        <v>59</v>
      </c>
      <c r="E220" s="5" t="s">
        <v>685</v>
      </c>
      <c r="F220" s="71" t="s">
        <v>6102</v>
      </c>
      <c r="G220" s="22" t="s">
        <v>160</v>
      </c>
      <c r="H220" s="5" t="s">
        <v>36</v>
      </c>
      <c r="I220" s="5" t="s">
        <v>14</v>
      </c>
      <c r="J220" s="5" t="s">
        <v>5185</v>
      </c>
      <c r="K220" s="5" t="s">
        <v>686</v>
      </c>
    </row>
    <row r="221" spans="1:11">
      <c r="A221" s="21">
        <v>219</v>
      </c>
      <c r="B221" s="5" t="s">
        <v>687</v>
      </c>
      <c r="C221" s="23" t="s">
        <v>3772</v>
      </c>
      <c r="D221" s="23" t="s">
        <v>17</v>
      </c>
      <c r="E221" s="5" t="s">
        <v>688</v>
      </c>
      <c r="F221" s="71" t="s">
        <v>6102</v>
      </c>
      <c r="G221" s="22" t="s">
        <v>24</v>
      </c>
      <c r="H221" s="5" t="s">
        <v>46</v>
      </c>
      <c r="I221" s="5" t="s">
        <v>26</v>
      </c>
      <c r="J221" s="5" t="s">
        <v>5020</v>
      </c>
      <c r="K221" s="5" t="s">
        <v>689</v>
      </c>
    </row>
    <row r="222" spans="1:11">
      <c r="A222" s="21">
        <v>220</v>
      </c>
      <c r="B222" s="5" t="s">
        <v>690</v>
      </c>
      <c r="C222" s="23" t="s">
        <v>3216</v>
      </c>
      <c r="D222" s="23" t="s">
        <v>34</v>
      </c>
      <c r="E222" s="5" t="s">
        <v>691</v>
      </c>
      <c r="F222" s="71" t="s">
        <v>6102</v>
      </c>
      <c r="G222" s="22" t="s">
        <v>172</v>
      </c>
      <c r="H222" s="5" t="s">
        <v>98</v>
      </c>
      <c r="I222" s="5" t="s">
        <v>42</v>
      </c>
      <c r="J222" s="5" t="s">
        <v>5199</v>
      </c>
      <c r="K222" s="5" t="s">
        <v>692</v>
      </c>
    </row>
    <row r="223" spans="1:11">
      <c r="A223" s="21">
        <v>221</v>
      </c>
      <c r="B223" s="5" t="s">
        <v>693</v>
      </c>
      <c r="C223" s="23" t="s">
        <v>2998</v>
      </c>
      <c r="D223" s="23" t="s">
        <v>34</v>
      </c>
      <c r="E223" s="5" t="s">
        <v>694</v>
      </c>
      <c r="F223" s="71" t="s">
        <v>6102</v>
      </c>
      <c r="G223" s="22" t="s">
        <v>179</v>
      </c>
      <c r="H223" s="5" t="s">
        <v>3932</v>
      </c>
      <c r="I223" s="5" t="s">
        <v>56</v>
      </c>
      <c r="J223" s="5" t="s">
        <v>5351</v>
      </c>
      <c r="K223" s="5" t="s">
        <v>695</v>
      </c>
    </row>
    <row r="224" spans="1:11">
      <c r="A224" s="21">
        <v>222</v>
      </c>
      <c r="B224" s="5" t="s">
        <v>3943</v>
      </c>
      <c r="C224" s="23" t="s">
        <v>3292</v>
      </c>
      <c r="D224" s="23" t="s">
        <v>77</v>
      </c>
      <c r="E224" s="5" t="s">
        <v>696</v>
      </c>
      <c r="F224" s="71" t="s">
        <v>6102</v>
      </c>
      <c r="G224" s="22" t="s">
        <v>179</v>
      </c>
      <c r="H224" s="5" t="s">
        <v>3932</v>
      </c>
      <c r="I224" s="5" t="s">
        <v>14</v>
      </c>
      <c r="J224" s="5" t="s">
        <v>5554</v>
      </c>
      <c r="K224" s="5" t="s">
        <v>697</v>
      </c>
    </row>
    <row r="225" spans="1:11">
      <c r="A225" s="21">
        <v>223</v>
      </c>
      <c r="B225" s="5" t="s">
        <v>698</v>
      </c>
      <c r="C225" s="23" t="s">
        <v>3127</v>
      </c>
      <c r="D225" s="23" t="s">
        <v>77</v>
      </c>
      <c r="E225" s="5" t="s">
        <v>699</v>
      </c>
      <c r="F225" s="71" t="s">
        <v>6102</v>
      </c>
      <c r="G225" s="22" t="s">
        <v>179</v>
      </c>
      <c r="H225" s="22" t="s">
        <v>3932</v>
      </c>
      <c r="I225" s="5" t="s">
        <v>67</v>
      </c>
      <c r="J225" s="5" t="s">
        <v>5762</v>
      </c>
      <c r="K225" s="5" t="s">
        <v>700</v>
      </c>
    </row>
    <row r="226" spans="1:11">
      <c r="A226" s="21">
        <v>224</v>
      </c>
      <c r="B226" s="5" t="s">
        <v>701</v>
      </c>
      <c r="C226" s="23" t="s">
        <v>3453</v>
      </c>
      <c r="D226" s="23" t="s">
        <v>17</v>
      </c>
      <c r="E226" s="5" t="s">
        <v>702</v>
      </c>
      <c r="F226" s="71" t="s">
        <v>6102</v>
      </c>
      <c r="G226" s="22" t="s">
        <v>160</v>
      </c>
      <c r="H226" s="5" t="s">
        <v>3932</v>
      </c>
      <c r="I226" s="5" t="s">
        <v>26</v>
      </c>
      <c r="J226" s="5" t="s">
        <v>5399</v>
      </c>
      <c r="K226" s="5" t="s">
        <v>703</v>
      </c>
    </row>
    <row r="227" spans="1:11">
      <c r="A227" s="21">
        <v>225</v>
      </c>
      <c r="B227" s="5" t="s">
        <v>704</v>
      </c>
      <c r="C227" s="23" t="s">
        <v>3773</v>
      </c>
      <c r="D227" s="23" t="s">
        <v>59</v>
      </c>
      <c r="E227" s="5" t="s">
        <v>705</v>
      </c>
      <c r="F227" s="71" t="s">
        <v>6102</v>
      </c>
      <c r="G227" s="22" t="s">
        <v>24</v>
      </c>
      <c r="H227" s="5" t="s">
        <v>25</v>
      </c>
      <c r="I227" s="5" t="s">
        <v>26</v>
      </c>
      <c r="J227" s="5" t="s">
        <v>5583</v>
      </c>
      <c r="K227" s="5" t="s">
        <v>706</v>
      </c>
    </row>
    <row r="228" spans="1:11">
      <c r="A228" s="21">
        <v>226</v>
      </c>
      <c r="B228" s="5" t="s">
        <v>707</v>
      </c>
      <c r="C228" s="23" t="s">
        <v>3348</v>
      </c>
      <c r="D228" s="23" t="s">
        <v>34</v>
      </c>
      <c r="E228" s="5" t="s">
        <v>708</v>
      </c>
      <c r="F228" s="71" t="s">
        <v>6102</v>
      </c>
      <c r="G228" s="22" t="s">
        <v>3933</v>
      </c>
      <c r="H228" s="5" t="s">
        <v>3932</v>
      </c>
      <c r="I228" s="5" t="s">
        <v>67</v>
      </c>
      <c r="J228" s="5" t="s">
        <v>5223</v>
      </c>
      <c r="K228" s="5" t="s">
        <v>709</v>
      </c>
    </row>
    <row r="229" spans="1:11">
      <c r="A229" s="21">
        <v>227</v>
      </c>
      <c r="B229" s="5" t="s">
        <v>710</v>
      </c>
      <c r="C229" s="23" t="s">
        <v>3293</v>
      </c>
      <c r="D229" s="23" t="s">
        <v>34</v>
      </c>
      <c r="E229" s="5" t="s">
        <v>711</v>
      </c>
      <c r="F229" s="71" t="s">
        <v>6102</v>
      </c>
      <c r="G229" s="22" t="s">
        <v>179</v>
      </c>
      <c r="H229" s="5" t="s">
        <v>3932</v>
      </c>
      <c r="I229" s="5" t="s">
        <v>14</v>
      </c>
      <c r="J229" s="5" t="s">
        <v>5303</v>
      </c>
      <c r="K229" s="5" t="s">
        <v>712</v>
      </c>
    </row>
    <row r="230" spans="1:11">
      <c r="A230" s="21">
        <v>228</v>
      </c>
      <c r="B230" s="5" t="s">
        <v>713</v>
      </c>
      <c r="C230" s="23" t="s">
        <v>3084</v>
      </c>
      <c r="D230" s="23" t="s">
        <v>77</v>
      </c>
      <c r="E230" s="5" t="s">
        <v>714</v>
      </c>
      <c r="F230" s="71" t="s">
        <v>6102</v>
      </c>
      <c r="G230" s="22" t="s">
        <v>179</v>
      </c>
      <c r="H230" s="5" t="s">
        <v>3932</v>
      </c>
      <c r="I230" s="5" t="s">
        <v>21</v>
      </c>
      <c r="J230" s="5" t="s">
        <v>5699</v>
      </c>
      <c r="K230" s="5">
        <v>89756465522</v>
      </c>
    </row>
    <row r="231" spans="1:11">
      <c r="A231" s="21">
        <v>229</v>
      </c>
      <c r="B231" s="5" t="s">
        <v>715</v>
      </c>
      <c r="C231" s="23" t="s">
        <v>3349</v>
      </c>
      <c r="D231" s="23" t="s">
        <v>34</v>
      </c>
      <c r="E231" s="5" t="s">
        <v>716</v>
      </c>
      <c r="F231" s="71" t="s">
        <v>6102</v>
      </c>
      <c r="G231" s="22" t="s">
        <v>3933</v>
      </c>
      <c r="H231" s="5" t="s">
        <v>3932</v>
      </c>
      <c r="I231" s="5" t="s">
        <v>67</v>
      </c>
      <c r="J231" s="5" t="s">
        <v>5212</v>
      </c>
      <c r="K231" s="5" t="s">
        <v>717</v>
      </c>
    </row>
    <row r="232" spans="1:11">
      <c r="A232" s="21">
        <v>230</v>
      </c>
      <c r="B232" s="5" t="s">
        <v>718</v>
      </c>
      <c r="C232" s="23" t="s">
        <v>3128</v>
      </c>
      <c r="D232" s="23" t="s">
        <v>77</v>
      </c>
      <c r="E232" s="5" t="s">
        <v>719</v>
      </c>
      <c r="F232" s="71" t="s">
        <v>6102</v>
      </c>
      <c r="G232" s="22" t="s">
        <v>179</v>
      </c>
      <c r="H232" s="22" t="s">
        <v>179</v>
      </c>
      <c r="I232" s="5" t="s">
        <v>14</v>
      </c>
      <c r="J232" s="5" t="s">
        <v>5106</v>
      </c>
      <c r="K232" s="5" t="s">
        <v>720</v>
      </c>
    </row>
    <row r="233" spans="1:11">
      <c r="A233" s="21">
        <v>231</v>
      </c>
      <c r="B233" s="5" t="s">
        <v>721</v>
      </c>
      <c r="C233" s="23" t="s">
        <v>3129</v>
      </c>
      <c r="D233" s="23" t="s">
        <v>77</v>
      </c>
      <c r="E233" s="5" t="s">
        <v>722</v>
      </c>
      <c r="F233" s="71" t="s">
        <v>6102</v>
      </c>
      <c r="G233" s="22" t="s">
        <v>179</v>
      </c>
      <c r="H233" s="22" t="s">
        <v>3932</v>
      </c>
      <c r="I233" s="5" t="s">
        <v>67</v>
      </c>
      <c r="J233" s="5" t="s">
        <v>4790</v>
      </c>
      <c r="K233" s="5">
        <v>89756465533</v>
      </c>
    </row>
    <row r="234" spans="1:11">
      <c r="A234" s="21">
        <v>232</v>
      </c>
      <c r="B234" s="5" t="s">
        <v>723</v>
      </c>
      <c r="C234" s="23" t="s">
        <v>2999</v>
      </c>
      <c r="D234" s="23" t="s">
        <v>34</v>
      </c>
      <c r="E234" s="5" t="s">
        <v>724</v>
      </c>
      <c r="F234" s="71" t="s">
        <v>6102</v>
      </c>
      <c r="G234" s="22" t="s">
        <v>40</v>
      </c>
      <c r="H234" s="5" t="s">
        <v>71</v>
      </c>
      <c r="I234" s="5" t="s">
        <v>21</v>
      </c>
      <c r="J234" s="5" t="s">
        <v>4989</v>
      </c>
      <c r="K234" s="5" t="s">
        <v>725</v>
      </c>
    </row>
    <row r="235" spans="1:11">
      <c r="A235" s="21">
        <v>233</v>
      </c>
      <c r="B235" s="5" t="s">
        <v>726</v>
      </c>
      <c r="C235" s="23" t="s">
        <v>3130</v>
      </c>
      <c r="D235" s="23" t="s">
        <v>77</v>
      </c>
      <c r="E235" s="5" t="s">
        <v>727</v>
      </c>
      <c r="F235" s="71" t="s">
        <v>6102</v>
      </c>
      <c r="G235" s="22" t="s">
        <v>179</v>
      </c>
      <c r="H235" s="22" t="s">
        <v>179</v>
      </c>
      <c r="I235" s="5" t="s">
        <v>14</v>
      </c>
      <c r="J235" s="5" t="s">
        <v>5236</v>
      </c>
      <c r="K235" s="5" t="s">
        <v>728</v>
      </c>
    </row>
    <row r="236" spans="1:11">
      <c r="A236" s="21">
        <v>234</v>
      </c>
      <c r="B236" s="5" t="s">
        <v>729</v>
      </c>
      <c r="C236" s="23" t="s">
        <v>3880</v>
      </c>
      <c r="D236" s="23" t="s">
        <v>17</v>
      </c>
      <c r="E236" s="5" t="s">
        <v>730</v>
      </c>
      <c r="F236" s="71" t="s">
        <v>6102</v>
      </c>
      <c r="G236" s="22" t="s">
        <v>119</v>
      </c>
      <c r="H236" s="5" t="s">
        <v>120</v>
      </c>
      <c r="I236" s="5" t="s">
        <v>14</v>
      </c>
      <c r="J236" s="5" t="s">
        <v>5464</v>
      </c>
      <c r="K236" s="5" t="s">
        <v>731</v>
      </c>
    </row>
    <row r="237" spans="1:11">
      <c r="A237" s="21">
        <v>235</v>
      </c>
      <c r="B237" s="5" t="s">
        <v>732</v>
      </c>
      <c r="C237" s="23" t="s">
        <v>3454</v>
      </c>
      <c r="D237" s="23" t="s">
        <v>77</v>
      </c>
      <c r="E237" s="5" t="s">
        <v>733</v>
      </c>
      <c r="F237" s="71" t="s">
        <v>6102</v>
      </c>
      <c r="G237" s="22" t="s">
        <v>54</v>
      </c>
      <c r="H237" s="5" t="s">
        <v>140</v>
      </c>
      <c r="I237" s="5" t="s">
        <v>14</v>
      </c>
      <c r="J237" s="5" t="s">
        <v>4815</v>
      </c>
      <c r="K237" s="5" t="s">
        <v>734</v>
      </c>
    </row>
    <row r="238" spans="1:11">
      <c r="A238" s="21">
        <v>236</v>
      </c>
      <c r="B238" s="5" t="s">
        <v>735</v>
      </c>
      <c r="C238" s="23" t="s">
        <v>3881</v>
      </c>
      <c r="D238" s="23" t="s">
        <v>17</v>
      </c>
      <c r="E238" s="5" t="s">
        <v>736</v>
      </c>
      <c r="F238" s="71" t="s">
        <v>6102</v>
      </c>
      <c r="G238" s="22" t="s">
        <v>85</v>
      </c>
      <c r="H238" s="5" t="s">
        <v>120</v>
      </c>
      <c r="I238" s="5" t="s">
        <v>67</v>
      </c>
      <c r="J238" s="5" t="s">
        <v>4970</v>
      </c>
      <c r="K238" s="5" t="s">
        <v>737</v>
      </c>
    </row>
    <row r="239" spans="1:11">
      <c r="A239" s="21">
        <v>237</v>
      </c>
      <c r="B239" s="5" t="s">
        <v>738</v>
      </c>
      <c r="C239" s="23" t="s">
        <v>3603</v>
      </c>
      <c r="D239" s="23" t="s">
        <v>59</v>
      </c>
      <c r="E239" s="5" t="s">
        <v>739</v>
      </c>
      <c r="F239" s="71" t="s">
        <v>6102</v>
      </c>
      <c r="G239" s="22" t="s">
        <v>179</v>
      </c>
      <c r="H239" s="5" t="s">
        <v>13</v>
      </c>
      <c r="I239" s="5" t="s">
        <v>67</v>
      </c>
      <c r="J239" s="5" t="s">
        <v>5771</v>
      </c>
      <c r="K239" s="5" t="s">
        <v>740</v>
      </c>
    </row>
    <row r="240" spans="1:11">
      <c r="A240" s="21">
        <v>238</v>
      </c>
      <c r="B240" s="5" t="s">
        <v>741</v>
      </c>
      <c r="C240" s="23" t="s">
        <v>2971</v>
      </c>
      <c r="D240" s="23" t="s">
        <v>34</v>
      </c>
      <c r="E240" s="5" t="s">
        <v>742</v>
      </c>
      <c r="F240" s="71" t="s">
        <v>6102</v>
      </c>
      <c r="G240" s="22" t="s">
        <v>93</v>
      </c>
      <c r="H240" s="5" t="s">
        <v>94</v>
      </c>
      <c r="I240" s="5" t="s">
        <v>50</v>
      </c>
      <c r="J240" s="5" t="s">
        <v>5493</v>
      </c>
      <c r="K240" s="5" t="s">
        <v>743</v>
      </c>
    </row>
    <row r="241" spans="1:11">
      <c r="A241" s="21">
        <v>239</v>
      </c>
      <c r="B241" s="5" t="s">
        <v>744</v>
      </c>
      <c r="C241" s="23" t="s">
        <v>3680</v>
      </c>
      <c r="D241" s="23" t="s">
        <v>59</v>
      </c>
      <c r="E241" s="5" t="s">
        <v>745</v>
      </c>
      <c r="F241" s="71" t="s">
        <v>6102</v>
      </c>
      <c r="G241" s="22" t="s">
        <v>3934</v>
      </c>
      <c r="H241" s="5" t="s">
        <v>13</v>
      </c>
      <c r="I241" s="5" t="s">
        <v>50</v>
      </c>
      <c r="J241" s="5" t="s">
        <v>5353</v>
      </c>
      <c r="K241" s="5" t="s">
        <v>746</v>
      </c>
    </row>
    <row r="242" spans="1:11">
      <c r="A242" s="21">
        <v>240</v>
      </c>
      <c r="B242" s="5" t="s">
        <v>3944</v>
      </c>
      <c r="C242" s="23" t="s">
        <v>3217</v>
      </c>
      <c r="D242" s="23" t="s">
        <v>77</v>
      </c>
      <c r="E242" s="5" t="s">
        <v>747</v>
      </c>
      <c r="F242" s="71" t="s">
        <v>6102</v>
      </c>
      <c r="G242" s="22" t="s">
        <v>82</v>
      </c>
      <c r="H242" s="5" t="s">
        <v>98</v>
      </c>
      <c r="I242" s="5" t="s">
        <v>42</v>
      </c>
      <c r="J242" s="5" t="s">
        <v>5415</v>
      </c>
      <c r="K242" s="5" t="s">
        <v>748</v>
      </c>
    </row>
    <row r="243" spans="1:11">
      <c r="A243" s="21">
        <v>241</v>
      </c>
      <c r="B243" s="5" t="s">
        <v>749</v>
      </c>
      <c r="C243" s="23" t="s">
        <v>3455</v>
      </c>
      <c r="D243" s="23" t="s">
        <v>17</v>
      </c>
      <c r="E243" s="5" t="s">
        <v>750</v>
      </c>
      <c r="F243" s="71" t="s">
        <v>6102</v>
      </c>
      <c r="G243" s="22" t="s">
        <v>160</v>
      </c>
      <c r="H243" s="5" t="s">
        <v>3932</v>
      </c>
      <c r="I243" s="5" t="s">
        <v>67</v>
      </c>
      <c r="J243" s="5" t="s">
        <v>5003</v>
      </c>
      <c r="K243" s="5">
        <v>898360387</v>
      </c>
    </row>
    <row r="244" spans="1:11">
      <c r="A244" s="21">
        <v>242</v>
      </c>
      <c r="B244" s="5" t="s">
        <v>751</v>
      </c>
      <c r="C244" s="23" t="s">
        <v>3604</v>
      </c>
      <c r="D244" s="23" t="s">
        <v>59</v>
      </c>
      <c r="E244" s="5" t="s">
        <v>752</v>
      </c>
      <c r="F244" s="71" t="s">
        <v>6102</v>
      </c>
      <c r="G244" s="22" t="s">
        <v>179</v>
      </c>
      <c r="H244" s="5" t="s">
        <v>36</v>
      </c>
      <c r="I244" s="5" t="s">
        <v>67</v>
      </c>
      <c r="J244" s="5" t="s">
        <v>5772</v>
      </c>
      <c r="K244" s="5" t="s">
        <v>753</v>
      </c>
    </row>
    <row r="245" spans="1:11">
      <c r="A245" s="21">
        <v>243</v>
      </c>
      <c r="B245" s="5" t="s">
        <v>754</v>
      </c>
      <c r="C245" s="23" t="s">
        <v>3456</v>
      </c>
      <c r="D245" s="23" t="s">
        <v>77</v>
      </c>
      <c r="E245" s="5" t="s">
        <v>755</v>
      </c>
      <c r="F245" s="71" t="s">
        <v>6102</v>
      </c>
      <c r="G245" s="22" t="s">
        <v>160</v>
      </c>
      <c r="H245" s="5" t="s">
        <v>3932</v>
      </c>
      <c r="I245" s="5" t="s">
        <v>26</v>
      </c>
      <c r="J245" s="5" t="s">
        <v>4887</v>
      </c>
      <c r="K245" s="5" t="s">
        <v>756</v>
      </c>
    </row>
    <row r="246" spans="1:11">
      <c r="A246" s="21">
        <v>244</v>
      </c>
      <c r="B246" s="5" t="s">
        <v>757</v>
      </c>
      <c r="C246" s="23" t="s">
        <v>3774</v>
      </c>
      <c r="D246" s="23" t="s">
        <v>59</v>
      </c>
      <c r="E246" s="5" t="s">
        <v>758</v>
      </c>
      <c r="F246" s="71" t="s">
        <v>6102</v>
      </c>
      <c r="G246" s="22" t="s">
        <v>24</v>
      </c>
      <c r="H246" s="5" t="s">
        <v>25</v>
      </c>
      <c r="I246" s="5" t="s">
        <v>56</v>
      </c>
      <c r="J246" s="5" t="s">
        <v>4890</v>
      </c>
      <c r="K246" s="5">
        <v>816468879</v>
      </c>
    </row>
    <row r="247" spans="1:11">
      <c r="A247" s="21">
        <v>245</v>
      </c>
      <c r="B247" s="5" t="s">
        <v>759</v>
      </c>
      <c r="C247" s="23" t="s">
        <v>3294</v>
      </c>
      <c r="D247" s="23" t="s">
        <v>77</v>
      </c>
      <c r="E247" s="5" t="s">
        <v>760</v>
      </c>
      <c r="F247" s="71" t="s">
        <v>6102</v>
      </c>
      <c r="G247" s="22" t="s">
        <v>179</v>
      </c>
      <c r="H247" s="5" t="s">
        <v>3932</v>
      </c>
      <c r="I247" s="5" t="s">
        <v>50</v>
      </c>
      <c r="J247" s="5" t="s">
        <v>5477</v>
      </c>
      <c r="K247" s="5">
        <v>89756465544</v>
      </c>
    </row>
    <row r="248" spans="1:11">
      <c r="A248" s="21">
        <v>246</v>
      </c>
      <c r="B248" s="5" t="s">
        <v>761</v>
      </c>
      <c r="C248" s="23" t="s">
        <v>3819</v>
      </c>
      <c r="D248" s="23" t="s">
        <v>59</v>
      </c>
      <c r="E248" s="5" t="s">
        <v>762</v>
      </c>
      <c r="F248" s="71" t="s">
        <v>6102</v>
      </c>
      <c r="G248" s="22" t="s">
        <v>144</v>
      </c>
      <c r="H248" s="5" t="s">
        <v>46</v>
      </c>
      <c r="I248" s="5" t="s">
        <v>56</v>
      </c>
      <c r="J248" s="5" t="s">
        <v>4782</v>
      </c>
      <c r="K248" s="5" t="s">
        <v>763</v>
      </c>
    </row>
    <row r="249" spans="1:11">
      <c r="A249" s="21">
        <v>247</v>
      </c>
      <c r="B249" s="5" t="s">
        <v>764</v>
      </c>
      <c r="C249" s="23" t="s">
        <v>3131</v>
      </c>
      <c r="D249" s="23" t="s">
        <v>77</v>
      </c>
      <c r="E249" s="5" t="s">
        <v>765</v>
      </c>
      <c r="F249" s="71" t="s">
        <v>6102</v>
      </c>
      <c r="G249" s="22" t="s">
        <v>179</v>
      </c>
      <c r="H249" s="5" t="s">
        <v>3932</v>
      </c>
      <c r="I249" s="5" t="s">
        <v>21</v>
      </c>
      <c r="J249" s="5" t="s">
        <v>5085</v>
      </c>
      <c r="K249" s="5" t="s">
        <v>766</v>
      </c>
    </row>
    <row r="250" spans="1:11">
      <c r="A250" s="21">
        <v>248</v>
      </c>
      <c r="B250" s="5" t="s">
        <v>767</v>
      </c>
      <c r="C250" s="23" t="s">
        <v>3350</v>
      </c>
      <c r="D250" s="23" t="s">
        <v>34</v>
      </c>
      <c r="E250" s="5" t="s">
        <v>768</v>
      </c>
      <c r="F250" s="71" t="s">
        <v>6102</v>
      </c>
      <c r="G250" s="22" t="s">
        <v>3933</v>
      </c>
      <c r="H250" s="5" t="s">
        <v>3932</v>
      </c>
      <c r="I250" s="5" t="s">
        <v>67</v>
      </c>
      <c r="J250" s="5" t="s">
        <v>5338</v>
      </c>
      <c r="K250" s="5" t="s">
        <v>769</v>
      </c>
    </row>
    <row r="251" spans="1:11">
      <c r="A251" s="21">
        <v>249</v>
      </c>
      <c r="B251" s="5" t="s">
        <v>770</v>
      </c>
      <c r="C251" s="23" t="s">
        <v>3132</v>
      </c>
      <c r="D251" s="23" t="s">
        <v>77</v>
      </c>
      <c r="E251" s="5" t="s">
        <v>771</v>
      </c>
      <c r="F251" s="71" t="s">
        <v>6102</v>
      </c>
      <c r="G251" s="22" t="s">
        <v>179</v>
      </c>
      <c r="H251" s="22" t="s">
        <v>179</v>
      </c>
      <c r="I251" s="5" t="s">
        <v>14</v>
      </c>
      <c r="J251" s="5" t="s">
        <v>5102</v>
      </c>
      <c r="K251" s="5" t="s">
        <v>772</v>
      </c>
    </row>
    <row r="252" spans="1:11">
      <c r="A252" s="21">
        <v>250</v>
      </c>
      <c r="B252" s="5" t="s">
        <v>2307</v>
      </c>
      <c r="C252" s="23" t="s">
        <v>3882</v>
      </c>
      <c r="D252" s="23" t="s">
        <v>17</v>
      </c>
      <c r="E252" s="5" t="s">
        <v>773</v>
      </c>
      <c r="F252" s="71" t="s">
        <v>6102</v>
      </c>
      <c r="G252" s="22" t="s">
        <v>119</v>
      </c>
      <c r="H252" s="5" t="s">
        <v>120</v>
      </c>
      <c r="I252" s="5" t="s">
        <v>26</v>
      </c>
      <c r="J252" s="5" t="s">
        <v>4990</v>
      </c>
      <c r="K252" s="5" t="s">
        <v>774</v>
      </c>
    </row>
    <row r="253" spans="1:11">
      <c r="A253" s="21">
        <v>251</v>
      </c>
      <c r="B253" s="5" t="s">
        <v>775</v>
      </c>
      <c r="C253" s="23" t="s">
        <v>3681</v>
      </c>
      <c r="D253" s="23" t="s">
        <v>59</v>
      </c>
      <c r="E253" s="5" t="s">
        <v>776</v>
      </c>
      <c r="F253" s="71" t="s">
        <v>6102</v>
      </c>
      <c r="G253" s="22" t="s">
        <v>3934</v>
      </c>
      <c r="H253" s="5" t="s">
        <v>13</v>
      </c>
      <c r="I253" s="5" t="s">
        <v>14</v>
      </c>
      <c r="J253" s="5" t="s">
        <v>5044</v>
      </c>
      <c r="K253" s="5" t="s">
        <v>777</v>
      </c>
    </row>
    <row r="254" spans="1:11">
      <c r="A254" s="21">
        <v>252</v>
      </c>
      <c r="B254" s="5" t="s">
        <v>778</v>
      </c>
      <c r="C254" s="23" t="s">
        <v>3000</v>
      </c>
      <c r="D254" s="23" t="s">
        <v>34</v>
      </c>
      <c r="E254" s="5" t="s">
        <v>779</v>
      </c>
      <c r="F254" s="71" t="s">
        <v>6102</v>
      </c>
      <c r="G254" s="22" t="s">
        <v>40</v>
      </c>
      <c r="H254" s="5" t="s">
        <v>71</v>
      </c>
      <c r="I254" s="5" t="s">
        <v>14</v>
      </c>
      <c r="J254" s="5" t="s">
        <v>4930</v>
      </c>
      <c r="K254" s="5" t="s">
        <v>780</v>
      </c>
    </row>
    <row r="255" spans="1:11">
      <c r="A255" s="21">
        <v>253</v>
      </c>
      <c r="B255" s="5" t="s">
        <v>3945</v>
      </c>
      <c r="C255" s="23" t="s">
        <v>3218</v>
      </c>
      <c r="D255" s="23" t="s">
        <v>77</v>
      </c>
      <c r="E255" s="5" t="s">
        <v>781</v>
      </c>
      <c r="F255" s="71" t="s">
        <v>6102</v>
      </c>
      <c r="G255" s="22" t="s">
        <v>179</v>
      </c>
      <c r="H255" s="5" t="s">
        <v>3932</v>
      </c>
      <c r="I255" s="5" t="s">
        <v>21</v>
      </c>
      <c r="J255" s="5" t="s">
        <v>5084</v>
      </c>
      <c r="K255" s="5" t="s">
        <v>782</v>
      </c>
    </row>
    <row r="256" spans="1:11">
      <c r="A256" s="21">
        <v>254</v>
      </c>
      <c r="B256" s="5" t="s">
        <v>783</v>
      </c>
      <c r="C256" s="23" t="s">
        <v>3682</v>
      </c>
      <c r="D256" s="23" t="s">
        <v>59</v>
      </c>
      <c r="E256" s="5" t="s">
        <v>784</v>
      </c>
      <c r="F256" s="71" t="s">
        <v>6102</v>
      </c>
      <c r="G256" s="22" t="s">
        <v>3934</v>
      </c>
      <c r="H256" s="5" t="s">
        <v>13</v>
      </c>
      <c r="I256" s="5" t="s">
        <v>56</v>
      </c>
      <c r="J256" s="5" t="s">
        <v>5050</v>
      </c>
      <c r="K256" s="5" t="s">
        <v>785</v>
      </c>
    </row>
    <row r="257" spans="1:11">
      <c r="A257" s="21">
        <v>255</v>
      </c>
      <c r="B257" s="5" t="s">
        <v>786</v>
      </c>
      <c r="C257" s="23" t="s">
        <v>3219</v>
      </c>
      <c r="D257" s="23" t="s">
        <v>34</v>
      </c>
      <c r="E257" s="5" t="s">
        <v>787</v>
      </c>
      <c r="F257" s="71" t="s">
        <v>6102</v>
      </c>
      <c r="G257" s="22" t="s">
        <v>179</v>
      </c>
      <c r="H257" s="5" t="s">
        <v>3932</v>
      </c>
      <c r="I257" s="5" t="s">
        <v>67</v>
      </c>
      <c r="J257" s="5" t="s">
        <v>5371</v>
      </c>
      <c r="K257" s="5" t="s">
        <v>788</v>
      </c>
    </row>
    <row r="258" spans="1:11">
      <c r="A258" s="21">
        <v>256</v>
      </c>
      <c r="B258" s="5" t="s">
        <v>789</v>
      </c>
      <c r="C258" s="23" t="s">
        <v>3683</v>
      </c>
      <c r="D258" s="23" t="s">
        <v>59</v>
      </c>
      <c r="E258" s="5" t="s">
        <v>790</v>
      </c>
      <c r="F258" s="71" t="s">
        <v>6102</v>
      </c>
      <c r="G258" s="22" t="s">
        <v>3934</v>
      </c>
      <c r="H258" s="5" t="s">
        <v>13</v>
      </c>
      <c r="I258" s="5" t="s">
        <v>67</v>
      </c>
      <c r="J258" s="5" t="s">
        <v>5702</v>
      </c>
      <c r="K258" s="5" t="s">
        <v>791</v>
      </c>
    </row>
    <row r="259" spans="1:11">
      <c r="A259" s="21">
        <v>257</v>
      </c>
      <c r="B259" s="5" t="s">
        <v>792</v>
      </c>
      <c r="C259" s="23" t="s">
        <v>3820</v>
      </c>
      <c r="D259" s="23" t="s">
        <v>59</v>
      </c>
      <c r="E259" s="5" t="s">
        <v>793</v>
      </c>
      <c r="F259" s="71" t="s">
        <v>6102</v>
      </c>
      <c r="G259" s="22" t="s">
        <v>144</v>
      </c>
      <c r="H259" s="5" t="s">
        <v>25</v>
      </c>
      <c r="I259" s="5" t="s">
        <v>21</v>
      </c>
      <c r="J259" s="5" t="s">
        <v>5616</v>
      </c>
      <c r="K259" s="5" t="s">
        <v>794</v>
      </c>
    </row>
    <row r="260" spans="1:11">
      <c r="A260" s="21">
        <v>258</v>
      </c>
      <c r="B260" s="5" t="s">
        <v>795</v>
      </c>
      <c r="C260" s="23" t="s">
        <v>3684</v>
      </c>
      <c r="D260" s="23" t="s">
        <v>59</v>
      </c>
      <c r="E260" s="5" t="s">
        <v>796</v>
      </c>
      <c r="F260" s="71" t="s">
        <v>6102</v>
      </c>
      <c r="G260" s="22" t="s">
        <v>3934</v>
      </c>
      <c r="H260" s="5" t="s">
        <v>13</v>
      </c>
      <c r="I260" s="5" t="s">
        <v>14</v>
      </c>
      <c r="J260" s="5" t="s">
        <v>5238</v>
      </c>
      <c r="K260" s="5" t="s">
        <v>797</v>
      </c>
    </row>
    <row r="261" spans="1:11">
      <c r="A261" s="21">
        <v>259</v>
      </c>
      <c r="B261" s="5" t="s">
        <v>798</v>
      </c>
      <c r="C261" s="23" t="s">
        <v>3457</v>
      </c>
      <c r="D261" s="23" t="s">
        <v>77</v>
      </c>
      <c r="E261" s="5" t="s">
        <v>799</v>
      </c>
      <c r="F261" s="71" t="s">
        <v>6102</v>
      </c>
      <c r="G261" s="22" t="s">
        <v>102</v>
      </c>
      <c r="H261" s="5" t="s">
        <v>55</v>
      </c>
      <c r="I261" s="5" t="s">
        <v>21</v>
      </c>
      <c r="J261" s="5" t="s">
        <v>5314</v>
      </c>
      <c r="K261" s="5" t="s">
        <v>800</v>
      </c>
    </row>
    <row r="262" spans="1:11">
      <c r="A262" s="21">
        <v>260</v>
      </c>
      <c r="B262" s="5" t="s">
        <v>801</v>
      </c>
      <c r="C262" s="23" t="s">
        <v>3883</v>
      </c>
      <c r="D262" s="23" t="s">
        <v>17</v>
      </c>
      <c r="E262" s="5" t="s">
        <v>802</v>
      </c>
      <c r="F262" s="71" t="s">
        <v>6102</v>
      </c>
      <c r="G262" s="22" t="s">
        <v>85</v>
      </c>
      <c r="H262" s="5" t="s">
        <v>120</v>
      </c>
      <c r="I262" s="5" t="s">
        <v>50</v>
      </c>
      <c r="J262" s="5" t="s">
        <v>4829</v>
      </c>
      <c r="K262" s="5" t="s">
        <v>803</v>
      </c>
    </row>
    <row r="263" spans="1:11">
      <c r="A263" s="21">
        <v>261</v>
      </c>
      <c r="B263" s="5" t="s">
        <v>804</v>
      </c>
      <c r="C263" s="23" t="s">
        <v>3220</v>
      </c>
      <c r="D263" s="23" t="s">
        <v>77</v>
      </c>
      <c r="E263" s="5" t="s">
        <v>805</v>
      </c>
      <c r="F263" s="71" t="s">
        <v>6102</v>
      </c>
      <c r="G263" s="22" t="s">
        <v>179</v>
      </c>
      <c r="H263" s="5" t="s">
        <v>3932</v>
      </c>
      <c r="I263" s="5" t="s">
        <v>67</v>
      </c>
      <c r="J263" s="5" t="s">
        <v>4880</v>
      </c>
      <c r="K263" s="5" t="s">
        <v>806</v>
      </c>
    </row>
    <row r="264" spans="1:11">
      <c r="A264" s="21">
        <v>262</v>
      </c>
      <c r="B264" s="5" t="s">
        <v>807</v>
      </c>
      <c r="C264" s="23" t="s">
        <v>3884</v>
      </c>
      <c r="D264" s="23" t="s">
        <v>17</v>
      </c>
      <c r="E264" s="5" t="s">
        <v>808</v>
      </c>
      <c r="F264" s="71" t="s">
        <v>6102</v>
      </c>
      <c r="G264" s="22" t="s">
        <v>119</v>
      </c>
      <c r="H264" s="5" t="s">
        <v>120</v>
      </c>
      <c r="I264" s="5" t="s">
        <v>42</v>
      </c>
      <c r="J264" s="5" t="s">
        <v>5470</v>
      </c>
      <c r="K264" s="5" t="s">
        <v>809</v>
      </c>
    </row>
    <row r="265" spans="1:11">
      <c r="A265" s="21">
        <v>263</v>
      </c>
      <c r="B265" s="5" t="s">
        <v>810</v>
      </c>
      <c r="C265" s="23" t="s">
        <v>3221</v>
      </c>
      <c r="D265" s="23" t="s">
        <v>77</v>
      </c>
      <c r="E265" s="5" t="s">
        <v>811</v>
      </c>
      <c r="F265" s="71" t="s">
        <v>6102</v>
      </c>
      <c r="G265" s="22" t="s">
        <v>82</v>
      </c>
      <c r="H265" s="5" t="s">
        <v>98</v>
      </c>
      <c r="I265" s="5" t="s">
        <v>26</v>
      </c>
      <c r="J265" s="5" t="s">
        <v>5157</v>
      </c>
      <c r="K265" s="5" t="s">
        <v>812</v>
      </c>
    </row>
    <row r="266" spans="1:11">
      <c r="A266" s="21">
        <v>264</v>
      </c>
      <c r="B266" s="5" t="s">
        <v>813</v>
      </c>
      <c r="C266" s="23" t="s">
        <v>3685</v>
      </c>
      <c r="D266" s="23" t="s">
        <v>59</v>
      </c>
      <c r="E266" s="5" t="s">
        <v>814</v>
      </c>
      <c r="F266" s="71" t="s">
        <v>6102</v>
      </c>
      <c r="G266" s="22" t="s">
        <v>3934</v>
      </c>
      <c r="H266" s="5" t="s">
        <v>13</v>
      </c>
      <c r="I266" s="5" t="s">
        <v>14</v>
      </c>
      <c r="J266" s="5" t="s">
        <v>4792</v>
      </c>
      <c r="K266" s="5" t="s">
        <v>815</v>
      </c>
    </row>
    <row r="267" spans="1:11">
      <c r="A267" s="21">
        <v>265</v>
      </c>
      <c r="B267" s="5" t="s">
        <v>816</v>
      </c>
      <c r="C267" s="23" t="s">
        <v>3295</v>
      </c>
      <c r="D267" s="23" t="s">
        <v>77</v>
      </c>
      <c r="E267" s="5" t="s">
        <v>817</v>
      </c>
      <c r="F267" s="71" t="s">
        <v>6102</v>
      </c>
      <c r="G267" s="22" t="s">
        <v>179</v>
      </c>
      <c r="H267" s="5" t="s">
        <v>3932</v>
      </c>
      <c r="I267" s="5" t="s">
        <v>21</v>
      </c>
      <c r="J267" s="5" t="s">
        <v>5661</v>
      </c>
      <c r="K267" s="5" t="s">
        <v>818</v>
      </c>
    </row>
    <row r="268" spans="1:11">
      <c r="A268" s="21">
        <v>266</v>
      </c>
      <c r="B268" s="5" t="s">
        <v>819</v>
      </c>
      <c r="C268" s="23" t="s">
        <v>3775</v>
      </c>
      <c r="D268" s="23" t="s">
        <v>59</v>
      </c>
      <c r="E268" s="5" t="s">
        <v>820</v>
      </c>
      <c r="F268" s="71" t="s">
        <v>6102</v>
      </c>
      <c r="G268" s="22" t="s">
        <v>24</v>
      </c>
      <c r="H268" s="5" t="s">
        <v>25</v>
      </c>
      <c r="I268" s="5" t="s">
        <v>14</v>
      </c>
      <c r="J268" s="5" t="s">
        <v>5404</v>
      </c>
      <c r="K268" s="5" t="s">
        <v>821</v>
      </c>
    </row>
    <row r="269" spans="1:11">
      <c r="A269" s="21">
        <v>267</v>
      </c>
      <c r="B269" s="5" t="s">
        <v>822</v>
      </c>
      <c r="C269" s="23" t="s">
        <v>3605</v>
      </c>
      <c r="D269" s="23" t="s">
        <v>17</v>
      </c>
      <c r="E269" s="5" t="s">
        <v>823</v>
      </c>
      <c r="F269" s="71" t="s">
        <v>6102</v>
      </c>
      <c r="G269" s="22" t="s">
        <v>179</v>
      </c>
      <c r="H269" s="5" t="s">
        <v>36</v>
      </c>
      <c r="I269" s="5" t="s">
        <v>21</v>
      </c>
      <c r="J269" s="5" t="s">
        <v>5450</v>
      </c>
      <c r="K269" s="5" t="s">
        <v>824</v>
      </c>
    </row>
    <row r="270" spans="1:11">
      <c r="A270" s="21">
        <v>268</v>
      </c>
      <c r="B270" s="5" t="s">
        <v>825</v>
      </c>
      <c r="C270" s="23" t="s">
        <v>3458</v>
      </c>
      <c r="D270" s="23" t="s">
        <v>77</v>
      </c>
      <c r="E270" s="5" t="s">
        <v>826</v>
      </c>
      <c r="F270" s="71" t="s">
        <v>6102</v>
      </c>
      <c r="G270" s="22" t="s">
        <v>160</v>
      </c>
      <c r="H270" s="5" t="s">
        <v>3932</v>
      </c>
      <c r="I270" s="5" t="s">
        <v>26</v>
      </c>
      <c r="J270" s="5" t="s">
        <v>5165</v>
      </c>
      <c r="K270" s="5" t="s">
        <v>827</v>
      </c>
    </row>
    <row r="271" spans="1:11">
      <c r="A271" s="21">
        <v>269</v>
      </c>
      <c r="B271" s="5" t="s">
        <v>828</v>
      </c>
      <c r="C271" s="23" t="s">
        <v>3821</v>
      </c>
      <c r="D271" s="23" t="s">
        <v>59</v>
      </c>
      <c r="E271" s="5" t="s">
        <v>829</v>
      </c>
      <c r="F271" s="71" t="s">
        <v>6102</v>
      </c>
      <c r="G271" s="22" t="s">
        <v>144</v>
      </c>
      <c r="H271" s="5" t="s">
        <v>25</v>
      </c>
      <c r="I271" s="5" t="s">
        <v>14</v>
      </c>
      <c r="J271" s="5" t="s">
        <v>5096</v>
      </c>
      <c r="K271" s="5" t="s">
        <v>830</v>
      </c>
    </row>
    <row r="272" spans="1:11">
      <c r="A272" s="21">
        <v>270</v>
      </c>
      <c r="B272" s="5" t="s">
        <v>831</v>
      </c>
      <c r="C272" s="23" t="s">
        <v>3459</v>
      </c>
      <c r="D272" s="23" t="s">
        <v>77</v>
      </c>
      <c r="E272" s="5" t="s">
        <v>832</v>
      </c>
      <c r="F272" s="71" t="s">
        <v>6102</v>
      </c>
      <c r="G272" s="22" t="s">
        <v>102</v>
      </c>
      <c r="H272" s="5" t="s">
        <v>140</v>
      </c>
      <c r="I272" s="5" t="s">
        <v>21</v>
      </c>
      <c r="J272" s="5" t="s">
        <v>5670</v>
      </c>
      <c r="K272" s="5" t="s">
        <v>833</v>
      </c>
    </row>
    <row r="273" spans="1:11">
      <c r="A273" s="21">
        <v>271</v>
      </c>
      <c r="B273" s="5" t="s">
        <v>834</v>
      </c>
      <c r="C273" s="23" t="s">
        <v>3686</v>
      </c>
      <c r="D273" s="23" t="s">
        <v>59</v>
      </c>
      <c r="E273" s="5" t="s">
        <v>835</v>
      </c>
      <c r="F273" s="71" t="s">
        <v>6102</v>
      </c>
      <c r="G273" s="22" t="s">
        <v>3934</v>
      </c>
      <c r="H273" s="5" t="s">
        <v>13</v>
      </c>
      <c r="I273" s="5" t="s">
        <v>26</v>
      </c>
      <c r="J273" s="5" t="s">
        <v>5079</v>
      </c>
      <c r="K273" s="5" t="s">
        <v>836</v>
      </c>
    </row>
    <row r="274" spans="1:11">
      <c r="A274" s="21">
        <v>272</v>
      </c>
      <c r="B274" s="5" t="s">
        <v>837</v>
      </c>
      <c r="C274" s="23" t="s">
        <v>3687</v>
      </c>
      <c r="D274" s="23" t="s">
        <v>17</v>
      </c>
      <c r="E274" s="5" t="s">
        <v>838</v>
      </c>
      <c r="F274" s="71" t="s">
        <v>6102</v>
      </c>
      <c r="G274" s="22" t="s">
        <v>3934</v>
      </c>
      <c r="H274" s="5" t="s">
        <v>13</v>
      </c>
      <c r="I274" s="5" t="s">
        <v>56</v>
      </c>
      <c r="J274" s="5" t="s">
        <v>5547</v>
      </c>
      <c r="K274" s="5" t="s">
        <v>839</v>
      </c>
    </row>
    <row r="275" spans="1:11">
      <c r="A275" s="21">
        <v>273</v>
      </c>
      <c r="B275" s="5" t="s">
        <v>840</v>
      </c>
      <c r="C275" s="23" t="s">
        <v>3885</v>
      </c>
      <c r="D275" s="23" t="s">
        <v>17</v>
      </c>
      <c r="E275" s="5" t="s">
        <v>841</v>
      </c>
      <c r="F275" s="71" t="s">
        <v>6102</v>
      </c>
      <c r="G275" s="22" t="s">
        <v>85</v>
      </c>
      <c r="H275" s="5" t="s">
        <v>120</v>
      </c>
      <c r="I275" s="5" t="s">
        <v>67</v>
      </c>
      <c r="J275" s="5" t="s">
        <v>5697</v>
      </c>
      <c r="K275" s="5" t="s">
        <v>842</v>
      </c>
    </row>
    <row r="276" spans="1:11">
      <c r="A276" s="21">
        <v>274</v>
      </c>
      <c r="B276" s="5" t="s">
        <v>843</v>
      </c>
      <c r="C276" s="23" t="s">
        <v>3776</v>
      </c>
      <c r="D276" s="23" t="s">
        <v>17</v>
      </c>
      <c r="E276" s="5" t="s">
        <v>844</v>
      </c>
      <c r="F276" s="71" t="s">
        <v>6102</v>
      </c>
      <c r="G276" s="22" t="s">
        <v>24</v>
      </c>
      <c r="H276" s="5" t="s">
        <v>25</v>
      </c>
      <c r="I276" s="5" t="s">
        <v>14</v>
      </c>
      <c r="J276" s="5" t="s">
        <v>5506</v>
      </c>
      <c r="K276" s="5" t="s">
        <v>845</v>
      </c>
    </row>
    <row r="277" spans="1:11">
      <c r="A277" s="21">
        <v>275</v>
      </c>
      <c r="B277" s="5" t="s">
        <v>846</v>
      </c>
      <c r="C277" s="23" t="s">
        <v>3822</v>
      </c>
      <c r="D277" s="23" t="s">
        <v>59</v>
      </c>
      <c r="E277" s="5" t="s">
        <v>847</v>
      </c>
      <c r="F277" s="71" t="s">
        <v>6102</v>
      </c>
      <c r="G277" s="22" t="s">
        <v>144</v>
      </c>
      <c r="H277" s="5" t="s">
        <v>25</v>
      </c>
      <c r="I277" s="5" t="s">
        <v>56</v>
      </c>
      <c r="J277" s="5" t="s">
        <v>5369</v>
      </c>
      <c r="K277" s="5" t="s">
        <v>848</v>
      </c>
    </row>
    <row r="278" spans="1:11">
      <c r="A278" s="21">
        <v>276</v>
      </c>
      <c r="B278" s="5" t="s">
        <v>849</v>
      </c>
      <c r="C278" s="23" t="s">
        <v>3460</v>
      </c>
      <c r="D278" s="23" t="s">
        <v>17</v>
      </c>
      <c r="E278" s="5" t="s">
        <v>850</v>
      </c>
      <c r="F278" s="71" t="s">
        <v>6102</v>
      </c>
      <c r="G278" s="22" t="s">
        <v>54</v>
      </c>
      <c r="H278" s="5" t="s">
        <v>140</v>
      </c>
      <c r="I278" s="5" t="s">
        <v>14</v>
      </c>
      <c r="J278" s="5" t="s">
        <v>5331</v>
      </c>
      <c r="K278" s="5" t="s">
        <v>851</v>
      </c>
    </row>
    <row r="279" spans="1:11">
      <c r="A279" s="21">
        <v>277</v>
      </c>
      <c r="B279" s="5" t="s">
        <v>852</v>
      </c>
      <c r="C279" s="23" t="s">
        <v>3688</v>
      </c>
      <c r="D279" s="23" t="s">
        <v>59</v>
      </c>
      <c r="E279" s="5" t="s">
        <v>853</v>
      </c>
      <c r="F279" s="71" t="s">
        <v>6102</v>
      </c>
      <c r="G279" s="22" t="s">
        <v>3934</v>
      </c>
      <c r="H279" s="5" t="s">
        <v>13</v>
      </c>
      <c r="I279" s="5" t="s">
        <v>14</v>
      </c>
      <c r="J279" s="5" t="s">
        <v>5296</v>
      </c>
      <c r="K279" s="5" t="s">
        <v>854</v>
      </c>
    </row>
    <row r="280" spans="1:11">
      <c r="A280" s="21">
        <v>278</v>
      </c>
      <c r="B280" s="5" t="s">
        <v>855</v>
      </c>
      <c r="C280" s="23" t="s">
        <v>3222</v>
      </c>
      <c r="D280" s="23" t="s">
        <v>77</v>
      </c>
      <c r="E280" s="5" t="s">
        <v>856</v>
      </c>
      <c r="F280" s="71" t="s">
        <v>6102</v>
      </c>
      <c r="G280" s="22" t="s">
        <v>179</v>
      </c>
      <c r="H280" s="5" t="s">
        <v>3932</v>
      </c>
      <c r="I280" s="5" t="s">
        <v>50</v>
      </c>
      <c r="J280" s="5" t="s">
        <v>4813</v>
      </c>
      <c r="K280" s="5" t="s">
        <v>857</v>
      </c>
    </row>
    <row r="281" spans="1:11">
      <c r="A281" s="21">
        <v>279</v>
      </c>
      <c r="B281" s="5" t="s">
        <v>858</v>
      </c>
      <c r="C281" s="23" t="s">
        <v>3223</v>
      </c>
      <c r="D281" s="23" t="s">
        <v>77</v>
      </c>
      <c r="E281" s="5" t="s">
        <v>859</v>
      </c>
      <c r="F281" s="71" t="s">
        <v>6102</v>
      </c>
      <c r="G281" s="22" t="s">
        <v>172</v>
      </c>
      <c r="H281" s="5" t="s">
        <v>98</v>
      </c>
      <c r="I281" s="5" t="s">
        <v>42</v>
      </c>
      <c r="J281" s="5" t="s">
        <v>5539</v>
      </c>
      <c r="K281" s="5" t="s">
        <v>860</v>
      </c>
    </row>
    <row r="282" spans="1:11">
      <c r="A282" s="21">
        <v>280</v>
      </c>
      <c r="B282" s="5" t="s">
        <v>861</v>
      </c>
      <c r="C282" s="23" t="s">
        <v>3606</v>
      </c>
      <c r="D282" s="23" t="s">
        <v>59</v>
      </c>
      <c r="E282" s="5" t="s">
        <v>862</v>
      </c>
      <c r="F282" s="71" t="s">
        <v>6102</v>
      </c>
      <c r="G282" s="22" t="s">
        <v>179</v>
      </c>
      <c r="H282" s="5" t="s">
        <v>13</v>
      </c>
      <c r="I282" s="5" t="s">
        <v>56</v>
      </c>
      <c r="J282" s="5" t="s">
        <v>5036</v>
      </c>
      <c r="K282" s="5" t="s">
        <v>863</v>
      </c>
    </row>
    <row r="283" spans="1:11">
      <c r="A283" s="21">
        <v>281</v>
      </c>
      <c r="B283" s="5" t="s">
        <v>3946</v>
      </c>
      <c r="C283" s="23" t="s">
        <v>3607</v>
      </c>
      <c r="D283" s="23" t="s">
        <v>59</v>
      </c>
      <c r="E283" s="5" t="s">
        <v>864</v>
      </c>
      <c r="F283" s="71" t="s">
        <v>6102</v>
      </c>
      <c r="G283" s="22" t="s">
        <v>179</v>
      </c>
      <c r="H283" s="5" t="s">
        <v>36</v>
      </c>
      <c r="I283" s="5" t="s">
        <v>14</v>
      </c>
      <c r="J283" s="5" t="s">
        <v>5421</v>
      </c>
      <c r="K283" s="5" t="s">
        <v>865</v>
      </c>
    </row>
    <row r="284" spans="1:11">
      <c r="A284" s="21">
        <v>282</v>
      </c>
      <c r="B284" s="5" t="s">
        <v>866</v>
      </c>
      <c r="C284" s="23" t="s">
        <v>3777</v>
      </c>
      <c r="D284" s="23" t="s">
        <v>59</v>
      </c>
      <c r="E284" s="5" t="s">
        <v>867</v>
      </c>
      <c r="F284" s="71" t="s">
        <v>6102</v>
      </c>
      <c r="G284" s="22" t="s">
        <v>24</v>
      </c>
      <c r="H284" s="5" t="s">
        <v>25</v>
      </c>
      <c r="I284" s="5" t="s">
        <v>50</v>
      </c>
      <c r="J284" s="5" t="s">
        <v>5167</v>
      </c>
      <c r="K284" s="5" t="s">
        <v>868</v>
      </c>
    </row>
    <row r="285" spans="1:11">
      <c r="A285" s="21">
        <v>283</v>
      </c>
      <c r="B285" s="5" t="s">
        <v>869</v>
      </c>
      <c r="C285" s="23" t="s">
        <v>3689</v>
      </c>
      <c r="D285" s="23" t="s">
        <v>59</v>
      </c>
      <c r="E285" s="5" t="s">
        <v>870</v>
      </c>
      <c r="F285" s="71" t="s">
        <v>6102</v>
      </c>
      <c r="G285" s="22" t="s">
        <v>3934</v>
      </c>
      <c r="H285" s="5" t="s">
        <v>13</v>
      </c>
      <c r="I285" s="5" t="s">
        <v>21</v>
      </c>
      <c r="J285" s="5" t="s">
        <v>4839</v>
      </c>
      <c r="K285" s="5" t="s">
        <v>871</v>
      </c>
    </row>
    <row r="286" spans="1:11">
      <c r="A286" s="21">
        <v>284</v>
      </c>
      <c r="B286" s="5" t="s">
        <v>872</v>
      </c>
      <c r="C286" s="23" t="s">
        <v>3690</v>
      </c>
      <c r="D286" s="23" t="s">
        <v>59</v>
      </c>
      <c r="E286" s="5" t="s">
        <v>873</v>
      </c>
      <c r="F286" s="71" t="s">
        <v>6102</v>
      </c>
      <c r="G286" s="22" t="s">
        <v>3934</v>
      </c>
      <c r="H286" s="5" t="s">
        <v>13</v>
      </c>
      <c r="I286" s="5" t="s">
        <v>14</v>
      </c>
      <c r="J286" s="5" t="s">
        <v>5261</v>
      </c>
      <c r="K286" s="5" t="s">
        <v>874</v>
      </c>
    </row>
    <row r="287" spans="1:11">
      <c r="A287" s="21">
        <v>285</v>
      </c>
      <c r="B287" s="5" t="s">
        <v>875</v>
      </c>
      <c r="C287" s="23" t="s">
        <v>3296</v>
      </c>
      <c r="D287" s="23" t="s">
        <v>77</v>
      </c>
      <c r="E287" s="5" t="s">
        <v>876</v>
      </c>
      <c r="F287" s="71" t="s">
        <v>6102</v>
      </c>
      <c r="G287" s="22" t="s">
        <v>179</v>
      </c>
      <c r="H287" s="5" t="s">
        <v>3932</v>
      </c>
      <c r="I287" s="5" t="s">
        <v>67</v>
      </c>
      <c r="J287" s="5" t="s">
        <v>4905</v>
      </c>
      <c r="K287" s="5" t="s">
        <v>877</v>
      </c>
    </row>
    <row r="288" spans="1:11">
      <c r="A288" s="21">
        <v>286</v>
      </c>
      <c r="B288" s="5" t="s">
        <v>878</v>
      </c>
      <c r="C288" s="23" t="s">
        <v>3351</v>
      </c>
      <c r="D288" s="23" t="s">
        <v>34</v>
      </c>
      <c r="E288" s="5" t="s">
        <v>879</v>
      </c>
      <c r="F288" s="71" t="s">
        <v>6102</v>
      </c>
      <c r="G288" s="22" t="s">
        <v>3933</v>
      </c>
      <c r="H288" s="5" t="s">
        <v>3932</v>
      </c>
      <c r="I288" s="5" t="s">
        <v>42</v>
      </c>
      <c r="J288" s="5" t="s">
        <v>5347</v>
      </c>
      <c r="K288" s="5" t="s">
        <v>880</v>
      </c>
    </row>
    <row r="289" spans="1:11">
      <c r="A289" s="21">
        <v>287</v>
      </c>
      <c r="B289" s="5" t="s">
        <v>881</v>
      </c>
      <c r="C289" s="23" t="s">
        <v>3886</v>
      </c>
      <c r="D289" s="23" t="s">
        <v>17</v>
      </c>
      <c r="E289" s="5" t="s">
        <v>882</v>
      </c>
      <c r="F289" s="71" t="s">
        <v>6102</v>
      </c>
      <c r="G289" s="22" t="s">
        <v>85</v>
      </c>
      <c r="H289" s="5" t="s">
        <v>120</v>
      </c>
      <c r="I289" s="5" t="s">
        <v>67</v>
      </c>
      <c r="J289" s="5" t="s">
        <v>4977</v>
      </c>
      <c r="K289" s="5">
        <v>863808382</v>
      </c>
    </row>
    <row r="290" spans="1:11">
      <c r="A290" s="21">
        <v>288</v>
      </c>
      <c r="B290" s="5" t="s">
        <v>883</v>
      </c>
      <c r="C290" s="23" t="s">
        <v>3461</v>
      </c>
      <c r="D290" s="23" t="s">
        <v>77</v>
      </c>
      <c r="E290" s="5" t="s">
        <v>884</v>
      </c>
      <c r="F290" s="71" t="s">
        <v>6102</v>
      </c>
      <c r="G290" s="22" t="s">
        <v>160</v>
      </c>
      <c r="H290" s="5" t="s">
        <v>3932</v>
      </c>
      <c r="I290" s="5" t="s">
        <v>56</v>
      </c>
      <c r="J290" s="5" t="s">
        <v>5049</v>
      </c>
      <c r="K290" s="5" t="s">
        <v>885</v>
      </c>
    </row>
    <row r="291" spans="1:11">
      <c r="A291" s="21">
        <v>289</v>
      </c>
      <c r="B291" s="5" t="s">
        <v>886</v>
      </c>
      <c r="C291" s="23" t="s">
        <v>3001</v>
      </c>
      <c r="D291" s="23" t="s">
        <v>34</v>
      </c>
      <c r="E291" s="5" t="s">
        <v>887</v>
      </c>
      <c r="F291" s="71" t="s">
        <v>6102</v>
      </c>
      <c r="G291" s="22" t="s">
        <v>74</v>
      </c>
      <c r="H291" s="5" t="s">
        <v>71</v>
      </c>
      <c r="I291" s="5" t="s">
        <v>42</v>
      </c>
      <c r="J291" s="5" t="s">
        <v>5731</v>
      </c>
      <c r="K291" s="5">
        <v>89756465555</v>
      </c>
    </row>
    <row r="292" spans="1:11">
      <c r="A292" s="21">
        <v>290</v>
      </c>
      <c r="B292" s="5" t="s">
        <v>888</v>
      </c>
      <c r="C292" s="23" t="s">
        <v>3002</v>
      </c>
      <c r="D292" s="23" t="s">
        <v>34</v>
      </c>
      <c r="E292" s="5" t="s">
        <v>889</v>
      </c>
      <c r="F292" s="71" t="s">
        <v>6102</v>
      </c>
      <c r="G292" s="22" t="s">
        <v>40</v>
      </c>
      <c r="H292" s="5" t="s">
        <v>41</v>
      </c>
      <c r="I292" s="5" t="s">
        <v>50</v>
      </c>
      <c r="J292" s="5" t="s">
        <v>4783</v>
      </c>
      <c r="K292" s="5" t="s">
        <v>890</v>
      </c>
    </row>
    <row r="293" spans="1:11">
      <c r="A293" s="21">
        <v>291</v>
      </c>
      <c r="B293" s="5" t="s">
        <v>891</v>
      </c>
      <c r="C293" s="23" t="s">
        <v>3691</v>
      </c>
      <c r="D293" s="23" t="s">
        <v>59</v>
      </c>
      <c r="E293" s="5" t="s">
        <v>892</v>
      </c>
      <c r="F293" s="71" t="s">
        <v>6102</v>
      </c>
      <c r="G293" s="22" t="s">
        <v>3934</v>
      </c>
      <c r="H293" s="5" t="s">
        <v>13</v>
      </c>
      <c r="I293" s="5" t="s">
        <v>50</v>
      </c>
      <c r="J293" s="5" t="s">
        <v>5748</v>
      </c>
      <c r="K293" s="5" t="s">
        <v>893</v>
      </c>
    </row>
    <row r="294" spans="1:11">
      <c r="A294" s="21">
        <v>292</v>
      </c>
      <c r="B294" s="5" t="s">
        <v>3947</v>
      </c>
      <c r="C294" s="23" t="s">
        <v>3003</v>
      </c>
      <c r="D294" s="23" t="s">
        <v>34</v>
      </c>
      <c r="E294" s="5" t="s">
        <v>894</v>
      </c>
      <c r="F294" s="71" t="s">
        <v>6102</v>
      </c>
      <c r="G294" s="22" t="s">
        <v>179</v>
      </c>
      <c r="H294" s="5" t="s">
        <v>3932</v>
      </c>
      <c r="I294" s="5" t="s">
        <v>67</v>
      </c>
      <c r="J294" s="5" t="s">
        <v>5764</v>
      </c>
      <c r="K294" s="5" t="s">
        <v>895</v>
      </c>
    </row>
    <row r="295" spans="1:11">
      <c r="A295" s="21">
        <v>293</v>
      </c>
      <c r="B295" s="5" t="s">
        <v>896</v>
      </c>
      <c r="C295" s="23" t="s">
        <v>3085</v>
      </c>
      <c r="D295" s="23" t="s">
        <v>77</v>
      </c>
      <c r="E295" s="5" t="s">
        <v>897</v>
      </c>
      <c r="F295" s="71" t="s">
        <v>6103</v>
      </c>
      <c r="G295" s="22" t="s">
        <v>179</v>
      </c>
      <c r="H295" s="5" t="s">
        <v>3932</v>
      </c>
      <c r="I295" s="5" t="s">
        <v>21</v>
      </c>
      <c r="J295" s="5" t="s">
        <v>5300</v>
      </c>
      <c r="K295" s="5" t="s">
        <v>898</v>
      </c>
    </row>
    <row r="296" spans="1:11">
      <c r="A296" s="21">
        <v>294</v>
      </c>
      <c r="B296" s="5" t="s">
        <v>899</v>
      </c>
      <c r="C296" s="23" t="s">
        <v>3692</v>
      </c>
      <c r="D296" s="23" t="s">
        <v>59</v>
      </c>
      <c r="E296" s="5" t="s">
        <v>900</v>
      </c>
      <c r="F296" s="71" t="s">
        <v>6103</v>
      </c>
      <c r="G296" s="22" t="s">
        <v>3934</v>
      </c>
      <c r="H296" s="5" t="s">
        <v>13</v>
      </c>
      <c r="I296" s="5" t="s">
        <v>14</v>
      </c>
      <c r="J296" s="5" t="s">
        <v>5215</v>
      </c>
      <c r="K296" s="5" t="s">
        <v>901</v>
      </c>
    </row>
    <row r="297" spans="1:11">
      <c r="A297" s="21">
        <v>295</v>
      </c>
      <c r="B297" s="5" t="s">
        <v>902</v>
      </c>
      <c r="C297" s="23" t="s">
        <v>3608</v>
      </c>
      <c r="D297" s="23" t="s">
        <v>59</v>
      </c>
      <c r="E297" s="5" t="s">
        <v>903</v>
      </c>
      <c r="F297" s="71" t="s">
        <v>6103</v>
      </c>
      <c r="G297" s="22" t="s">
        <v>160</v>
      </c>
      <c r="H297" s="5" t="s">
        <v>36</v>
      </c>
      <c r="I297" s="5" t="s">
        <v>67</v>
      </c>
      <c r="J297" s="5" t="s">
        <v>5615</v>
      </c>
      <c r="K297" s="5" t="s">
        <v>904</v>
      </c>
    </row>
    <row r="298" spans="1:11">
      <c r="A298" s="21">
        <v>296</v>
      </c>
      <c r="B298" s="5" t="s">
        <v>905</v>
      </c>
      <c r="C298" s="23" t="s">
        <v>3552</v>
      </c>
      <c r="D298" s="23" t="s">
        <v>77</v>
      </c>
      <c r="E298" s="5" t="s">
        <v>906</v>
      </c>
      <c r="F298" s="71" t="s">
        <v>6103</v>
      </c>
      <c r="G298" s="22" t="s">
        <v>12</v>
      </c>
      <c r="H298" s="5" t="s">
        <v>36</v>
      </c>
      <c r="I298" s="5" t="s">
        <v>42</v>
      </c>
      <c r="J298" s="5" t="s">
        <v>5709</v>
      </c>
      <c r="K298" s="5" t="s">
        <v>907</v>
      </c>
    </row>
    <row r="299" spans="1:11">
      <c r="A299" s="21">
        <v>297</v>
      </c>
      <c r="B299" s="5" t="s">
        <v>908</v>
      </c>
      <c r="C299" s="23" t="s">
        <v>3462</v>
      </c>
      <c r="D299" s="23" t="s">
        <v>77</v>
      </c>
      <c r="E299" s="5" t="s">
        <v>909</v>
      </c>
      <c r="F299" s="71" t="s">
        <v>6103</v>
      </c>
      <c r="G299" s="22" t="s">
        <v>54</v>
      </c>
      <c r="H299" s="5" t="s">
        <v>140</v>
      </c>
      <c r="I299" s="5" t="s">
        <v>14</v>
      </c>
      <c r="J299" s="5" t="s">
        <v>5770</v>
      </c>
      <c r="K299" s="5" t="s">
        <v>910</v>
      </c>
    </row>
    <row r="300" spans="1:11">
      <c r="A300" s="21">
        <v>298</v>
      </c>
      <c r="B300" s="5" t="s">
        <v>911</v>
      </c>
      <c r="C300" s="23" t="s">
        <v>3778</v>
      </c>
      <c r="D300" s="23" t="s">
        <v>59</v>
      </c>
      <c r="E300" s="5" t="s">
        <v>912</v>
      </c>
      <c r="F300" s="71" t="s">
        <v>6103</v>
      </c>
      <c r="G300" s="22" t="s">
        <v>24</v>
      </c>
      <c r="H300" s="5" t="s">
        <v>25</v>
      </c>
      <c r="I300" s="5" t="s">
        <v>56</v>
      </c>
      <c r="J300" s="5" t="s">
        <v>5674</v>
      </c>
      <c r="K300" s="5" t="s">
        <v>913</v>
      </c>
    </row>
    <row r="301" spans="1:11">
      <c r="A301" s="21">
        <v>299</v>
      </c>
      <c r="B301" s="5" t="s">
        <v>914</v>
      </c>
      <c r="C301" s="23" t="s">
        <v>3887</v>
      </c>
      <c r="D301" s="23" t="s">
        <v>17</v>
      </c>
      <c r="E301" s="5" t="s">
        <v>915</v>
      </c>
      <c r="F301" s="71" t="s">
        <v>6103</v>
      </c>
      <c r="G301" s="22" t="s">
        <v>85</v>
      </c>
      <c r="H301" s="5" t="s">
        <v>86</v>
      </c>
      <c r="I301" s="5" t="s">
        <v>26</v>
      </c>
      <c r="J301" s="5" t="s">
        <v>5438</v>
      </c>
      <c r="K301" s="5" t="s">
        <v>916</v>
      </c>
    </row>
    <row r="302" spans="1:11">
      <c r="A302" s="21">
        <v>300</v>
      </c>
      <c r="B302" s="5" t="s">
        <v>917</v>
      </c>
      <c r="C302" s="23" t="s">
        <v>3463</v>
      </c>
      <c r="D302" s="23" t="s">
        <v>77</v>
      </c>
      <c r="E302" s="5" t="s">
        <v>918</v>
      </c>
      <c r="F302" s="71" t="s">
        <v>6103</v>
      </c>
      <c r="G302" s="22" t="s">
        <v>160</v>
      </c>
      <c r="H302" s="5" t="s">
        <v>3932</v>
      </c>
      <c r="I302" s="5" t="s">
        <v>21</v>
      </c>
      <c r="J302" s="5" t="s">
        <v>4899</v>
      </c>
      <c r="K302" s="5" t="s">
        <v>919</v>
      </c>
    </row>
    <row r="303" spans="1:11">
      <c r="A303" s="21">
        <v>301</v>
      </c>
      <c r="B303" s="5" t="s">
        <v>920</v>
      </c>
      <c r="C303" s="23" t="s">
        <v>2956</v>
      </c>
      <c r="D303" s="23" t="s">
        <v>34</v>
      </c>
      <c r="E303" s="5" t="s">
        <v>921</v>
      </c>
      <c r="F303" s="71" t="s">
        <v>6103</v>
      </c>
      <c r="G303" s="22" t="s">
        <v>179</v>
      </c>
      <c r="H303" s="5" t="s">
        <v>3932</v>
      </c>
      <c r="I303" s="5" t="s">
        <v>67</v>
      </c>
      <c r="J303" s="5" t="s">
        <v>5490</v>
      </c>
      <c r="K303" s="5">
        <v>847077668</v>
      </c>
    </row>
    <row r="304" spans="1:11">
      <c r="A304" s="21">
        <v>302</v>
      </c>
      <c r="B304" s="5" t="s">
        <v>922</v>
      </c>
      <c r="C304" s="23" t="s">
        <v>3004</v>
      </c>
      <c r="D304" s="23" t="s">
        <v>34</v>
      </c>
      <c r="E304" s="5" t="s">
        <v>923</v>
      </c>
      <c r="F304" s="71" t="s">
        <v>6103</v>
      </c>
      <c r="G304" s="22" t="s">
        <v>40</v>
      </c>
      <c r="H304" s="5" t="s">
        <v>41</v>
      </c>
      <c r="I304" s="5" t="s">
        <v>50</v>
      </c>
      <c r="J304" s="5" t="s">
        <v>4806</v>
      </c>
      <c r="K304" s="5" t="s">
        <v>924</v>
      </c>
    </row>
    <row r="305" spans="1:11">
      <c r="A305" s="21">
        <v>303</v>
      </c>
      <c r="B305" s="5" t="s">
        <v>925</v>
      </c>
      <c r="C305" s="23" t="s">
        <v>3086</v>
      </c>
      <c r="D305" s="23" t="s">
        <v>77</v>
      </c>
      <c r="E305" s="5" t="s">
        <v>926</v>
      </c>
      <c r="F305" s="71" t="s">
        <v>6103</v>
      </c>
      <c r="G305" s="22" t="s">
        <v>179</v>
      </c>
      <c r="H305" s="22" t="s">
        <v>3932</v>
      </c>
      <c r="I305" s="5" t="s">
        <v>56</v>
      </c>
      <c r="J305" s="5" t="s">
        <v>5420</v>
      </c>
      <c r="K305" s="5" t="s">
        <v>927</v>
      </c>
    </row>
    <row r="306" spans="1:11">
      <c r="A306" s="21">
        <v>304</v>
      </c>
      <c r="B306" s="5" t="s">
        <v>928</v>
      </c>
      <c r="C306" s="23" t="s">
        <v>3352</v>
      </c>
      <c r="D306" s="23" t="s">
        <v>34</v>
      </c>
      <c r="E306" s="5" t="s">
        <v>929</v>
      </c>
      <c r="F306" s="71" t="s">
        <v>6103</v>
      </c>
      <c r="G306" s="22" t="s">
        <v>93</v>
      </c>
      <c r="H306" s="5" t="s">
        <v>217</v>
      </c>
      <c r="I306" s="5" t="s">
        <v>50</v>
      </c>
      <c r="J306" s="5" t="s">
        <v>5312</v>
      </c>
      <c r="K306" s="5" t="s">
        <v>930</v>
      </c>
    </row>
    <row r="307" spans="1:11">
      <c r="A307" s="21">
        <v>305</v>
      </c>
      <c r="B307" s="5" t="s">
        <v>931</v>
      </c>
      <c r="C307" s="23" t="s">
        <v>3005</v>
      </c>
      <c r="D307" s="23" t="s">
        <v>34</v>
      </c>
      <c r="E307" s="5" t="s">
        <v>932</v>
      </c>
      <c r="F307" s="71" t="s">
        <v>6103</v>
      </c>
      <c r="G307" s="22" t="s">
        <v>40</v>
      </c>
      <c r="H307" s="5" t="s">
        <v>71</v>
      </c>
      <c r="I307" s="5" t="s">
        <v>21</v>
      </c>
      <c r="J307" s="5" t="s">
        <v>5222</v>
      </c>
      <c r="K307" s="5">
        <v>844030954</v>
      </c>
    </row>
    <row r="308" spans="1:11">
      <c r="A308" s="21">
        <v>306</v>
      </c>
      <c r="B308" s="5" t="s">
        <v>933</v>
      </c>
      <c r="C308" s="23" t="s">
        <v>3353</v>
      </c>
      <c r="D308" s="23" t="s">
        <v>34</v>
      </c>
      <c r="E308" s="5" t="s">
        <v>934</v>
      </c>
      <c r="F308" s="71" t="s">
        <v>6103</v>
      </c>
      <c r="G308" s="22" t="s">
        <v>3933</v>
      </c>
      <c r="H308" s="5" t="s">
        <v>3932</v>
      </c>
      <c r="I308" s="5" t="s">
        <v>42</v>
      </c>
      <c r="J308" s="5" t="s">
        <v>5517</v>
      </c>
      <c r="K308" s="5" t="s">
        <v>935</v>
      </c>
    </row>
    <row r="309" spans="1:11">
      <c r="A309" s="21">
        <v>307</v>
      </c>
      <c r="B309" s="5" t="s">
        <v>936</v>
      </c>
      <c r="C309" s="23" t="s">
        <v>3779</v>
      </c>
      <c r="D309" s="23" t="s">
        <v>59</v>
      </c>
      <c r="E309" s="5" t="s">
        <v>937</v>
      </c>
      <c r="F309" s="71" t="s">
        <v>6103</v>
      </c>
      <c r="G309" s="22" t="s">
        <v>24</v>
      </c>
      <c r="H309" s="5" t="s">
        <v>25</v>
      </c>
      <c r="I309" s="5" t="s">
        <v>21</v>
      </c>
      <c r="J309" s="5" t="s">
        <v>5090</v>
      </c>
      <c r="K309" s="5" t="s">
        <v>938</v>
      </c>
    </row>
    <row r="310" spans="1:11">
      <c r="A310" s="21">
        <v>308</v>
      </c>
      <c r="B310" s="5" t="s">
        <v>939</v>
      </c>
      <c r="C310" s="23" t="s">
        <v>3297</v>
      </c>
      <c r="D310" s="23" t="s">
        <v>34</v>
      </c>
      <c r="E310" s="5" t="s">
        <v>940</v>
      </c>
      <c r="F310" s="71" t="s">
        <v>6103</v>
      </c>
      <c r="G310" s="22" t="s">
        <v>179</v>
      </c>
      <c r="H310" s="5" t="s">
        <v>3932</v>
      </c>
      <c r="I310" s="5" t="s">
        <v>26</v>
      </c>
      <c r="J310" s="5" t="s">
        <v>5434</v>
      </c>
      <c r="K310" s="5" t="s">
        <v>941</v>
      </c>
    </row>
    <row r="311" spans="1:11">
      <c r="A311" s="21">
        <v>309</v>
      </c>
      <c r="B311" s="5" t="s">
        <v>942</v>
      </c>
      <c r="C311" s="23" t="s">
        <v>3006</v>
      </c>
      <c r="D311" s="23" t="s">
        <v>34</v>
      </c>
      <c r="E311" s="5" t="s">
        <v>943</v>
      </c>
      <c r="F311" s="71" t="s">
        <v>6103</v>
      </c>
      <c r="G311" s="22" t="s">
        <v>40</v>
      </c>
      <c r="H311" s="5" t="s">
        <v>71</v>
      </c>
      <c r="I311" s="5" t="s">
        <v>21</v>
      </c>
      <c r="J311" s="5" t="s">
        <v>5765</v>
      </c>
      <c r="K311" s="5">
        <v>853666689</v>
      </c>
    </row>
    <row r="312" spans="1:11">
      <c r="A312" s="21">
        <v>310</v>
      </c>
      <c r="B312" s="5" t="s">
        <v>944</v>
      </c>
      <c r="C312" s="23" t="s">
        <v>3354</v>
      </c>
      <c r="D312" s="23" t="s">
        <v>34</v>
      </c>
      <c r="E312" s="5" t="s">
        <v>945</v>
      </c>
      <c r="F312" s="71" t="s">
        <v>6103</v>
      </c>
      <c r="G312" s="22" t="s">
        <v>3933</v>
      </c>
      <c r="H312" s="5" t="s">
        <v>3932</v>
      </c>
      <c r="I312" s="5" t="s">
        <v>42</v>
      </c>
      <c r="J312" s="5" t="s">
        <v>5452</v>
      </c>
      <c r="K312" s="5" t="s">
        <v>946</v>
      </c>
    </row>
    <row r="313" spans="1:11">
      <c r="A313" s="21">
        <v>311</v>
      </c>
      <c r="B313" s="5" t="s">
        <v>947</v>
      </c>
      <c r="C313" s="23" t="s">
        <v>3609</v>
      </c>
      <c r="D313" s="23" t="s">
        <v>17</v>
      </c>
      <c r="E313" s="5" t="s">
        <v>948</v>
      </c>
      <c r="F313" s="71" t="s">
        <v>6103</v>
      </c>
      <c r="G313" s="22" t="s">
        <v>179</v>
      </c>
      <c r="H313" s="5" t="s">
        <v>36</v>
      </c>
      <c r="I313" s="5" t="s">
        <v>50</v>
      </c>
      <c r="J313" s="5" t="s">
        <v>5337</v>
      </c>
      <c r="K313" s="5">
        <v>852203466</v>
      </c>
    </row>
    <row r="314" spans="1:11">
      <c r="A314" s="21">
        <v>312</v>
      </c>
      <c r="B314" s="5" t="s">
        <v>949</v>
      </c>
      <c r="C314" s="23" t="s">
        <v>3610</v>
      </c>
      <c r="D314" s="23" t="s">
        <v>17</v>
      </c>
      <c r="E314" s="5" t="s">
        <v>950</v>
      </c>
      <c r="F314" s="71" t="s">
        <v>6103</v>
      </c>
      <c r="G314" s="22" t="s">
        <v>160</v>
      </c>
      <c r="H314" s="5" t="s">
        <v>36</v>
      </c>
      <c r="I314" s="5" t="s">
        <v>42</v>
      </c>
      <c r="J314" s="5" t="s">
        <v>5436</v>
      </c>
      <c r="K314" s="5" t="s">
        <v>951</v>
      </c>
    </row>
    <row r="315" spans="1:11">
      <c r="A315" s="21">
        <v>313</v>
      </c>
      <c r="B315" s="5" t="s">
        <v>952</v>
      </c>
      <c r="C315" s="23" t="s">
        <v>3888</v>
      </c>
      <c r="D315" s="23" t="s">
        <v>17</v>
      </c>
      <c r="E315" s="5" t="s">
        <v>953</v>
      </c>
      <c r="F315" s="71" t="s">
        <v>6103</v>
      </c>
      <c r="G315" s="22" t="s">
        <v>119</v>
      </c>
      <c r="H315" s="5" t="s">
        <v>120</v>
      </c>
      <c r="I315" s="5" t="s">
        <v>50</v>
      </c>
      <c r="J315" s="5" t="s">
        <v>5451</v>
      </c>
      <c r="K315" s="5" t="s">
        <v>954</v>
      </c>
    </row>
    <row r="316" spans="1:11">
      <c r="A316" s="21">
        <v>314</v>
      </c>
      <c r="B316" s="5" t="s">
        <v>955</v>
      </c>
      <c r="C316" s="23" t="s">
        <v>3224</v>
      </c>
      <c r="D316" s="23" t="s">
        <v>34</v>
      </c>
      <c r="E316" s="5" t="s">
        <v>956</v>
      </c>
      <c r="F316" s="71" t="s">
        <v>6103</v>
      </c>
      <c r="G316" s="22" t="s">
        <v>82</v>
      </c>
      <c r="H316" s="5" t="s">
        <v>98</v>
      </c>
      <c r="I316" s="5" t="s">
        <v>26</v>
      </c>
      <c r="J316" s="5" t="s">
        <v>4983</v>
      </c>
      <c r="K316" s="5" t="s">
        <v>957</v>
      </c>
    </row>
    <row r="317" spans="1:11">
      <c r="A317" s="21">
        <v>315</v>
      </c>
      <c r="B317" s="5" t="s">
        <v>958</v>
      </c>
      <c r="C317" s="23" t="s">
        <v>3693</v>
      </c>
      <c r="D317" s="23" t="s">
        <v>59</v>
      </c>
      <c r="E317" s="5" t="s">
        <v>959</v>
      </c>
      <c r="F317" s="71" t="s">
        <v>6103</v>
      </c>
      <c r="G317" s="22" t="s">
        <v>3934</v>
      </c>
      <c r="H317" s="5" t="s">
        <v>13</v>
      </c>
      <c r="I317" s="5" t="s">
        <v>21</v>
      </c>
      <c r="J317" s="5" t="s">
        <v>5029</v>
      </c>
      <c r="K317" s="5" t="s">
        <v>960</v>
      </c>
    </row>
    <row r="318" spans="1:11">
      <c r="A318" s="21">
        <v>316</v>
      </c>
      <c r="B318" s="5" t="s">
        <v>961</v>
      </c>
      <c r="C318" s="23" t="s">
        <v>3464</v>
      </c>
      <c r="D318" s="23" t="s">
        <v>17</v>
      </c>
      <c r="E318" s="5" t="s">
        <v>962</v>
      </c>
      <c r="F318" s="71" t="s">
        <v>6103</v>
      </c>
      <c r="G318" s="22" t="s">
        <v>160</v>
      </c>
      <c r="H318" s="5" t="s">
        <v>3932</v>
      </c>
      <c r="I318" s="5" t="s">
        <v>56</v>
      </c>
      <c r="J318" s="5" t="s">
        <v>5336</v>
      </c>
      <c r="K318" s="5">
        <v>89756465566</v>
      </c>
    </row>
    <row r="319" spans="1:11">
      <c r="A319" s="21">
        <v>317</v>
      </c>
      <c r="B319" s="5" t="s">
        <v>963</v>
      </c>
      <c r="C319" s="23" t="s">
        <v>3225</v>
      </c>
      <c r="D319" s="23" t="s">
        <v>77</v>
      </c>
      <c r="E319" s="5" t="s">
        <v>964</v>
      </c>
      <c r="F319" s="71" t="s">
        <v>6103</v>
      </c>
      <c r="G319" s="22" t="s">
        <v>179</v>
      </c>
      <c r="H319" s="5" t="s">
        <v>3932</v>
      </c>
      <c r="I319" s="5" t="s">
        <v>67</v>
      </c>
      <c r="J319" s="5" t="s">
        <v>5591</v>
      </c>
      <c r="K319" s="5" t="s">
        <v>965</v>
      </c>
    </row>
    <row r="320" spans="1:11">
      <c r="A320" s="21">
        <v>318</v>
      </c>
      <c r="B320" s="5" t="s">
        <v>966</v>
      </c>
      <c r="C320" s="23" t="s">
        <v>2948</v>
      </c>
      <c r="D320" s="23" t="s">
        <v>34</v>
      </c>
      <c r="E320" s="5" t="s">
        <v>967</v>
      </c>
      <c r="F320" s="71" t="s">
        <v>6103</v>
      </c>
      <c r="G320" s="22" t="s">
        <v>216</v>
      </c>
      <c r="H320" s="5" t="s">
        <v>217</v>
      </c>
      <c r="I320" s="5" t="s">
        <v>50</v>
      </c>
      <c r="J320" s="5" t="s">
        <v>5311</v>
      </c>
      <c r="K320" s="5" t="s">
        <v>968</v>
      </c>
    </row>
    <row r="321" spans="1:11">
      <c r="A321" s="21">
        <v>319</v>
      </c>
      <c r="B321" s="5" t="s">
        <v>969</v>
      </c>
      <c r="C321" s="23" t="s">
        <v>3780</v>
      </c>
      <c r="D321" s="23" t="s">
        <v>17</v>
      </c>
      <c r="E321" s="5" t="s">
        <v>970</v>
      </c>
      <c r="F321" s="71" t="s">
        <v>6103</v>
      </c>
      <c r="G321" s="22" t="s">
        <v>24</v>
      </c>
      <c r="H321" s="5" t="s">
        <v>46</v>
      </c>
      <c r="I321" s="5" t="s">
        <v>67</v>
      </c>
      <c r="J321" s="5" t="s">
        <v>5538</v>
      </c>
      <c r="K321" s="5" t="s">
        <v>971</v>
      </c>
    </row>
    <row r="322" spans="1:11">
      <c r="A322" s="21">
        <v>320</v>
      </c>
      <c r="B322" s="5" t="s">
        <v>972</v>
      </c>
      <c r="C322" s="23" t="s">
        <v>3465</v>
      </c>
      <c r="D322" s="23" t="s">
        <v>77</v>
      </c>
      <c r="E322" s="5" t="s">
        <v>973</v>
      </c>
      <c r="F322" s="71" t="s">
        <v>6103</v>
      </c>
      <c r="G322" s="22" t="s">
        <v>160</v>
      </c>
      <c r="H322" s="5" t="s">
        <v>3932</v>
      </c>
      <c r="I322" s="5" t="s">
        <v>50</v>
      </c>
      <c r="J322" s="5" t="s">
        <v>5724</v>
      </c>
      <c r="K322" s="5" t="s">
        <v>974</v>
      </c>
    </row>
    <row r="323" spans="1:11">
      <c r="A323" s="21">
        <v>321</v>
      </c>
      <c r="B323" s="5" t="s">
        <v>975</v>
      </c>
      <c r="C323" s="23" t="s">
        <v>3889</v>
      </c>
      <c r="D323" s="23" t="s">
        <v>17</v>
      </c>
      <c r="E323" s="5" t="s">
        <v>976</v>
      </c>
      <c r="F323" s="71" t="s">
        <v>6103</v>
      </c>
      <c r="G323" s="22" t="s">
        <v>119</v>
      </c>
      <c r="H323" s="5" t="s">
        <v>120</v>
      </c>
      <c r="I323" s="5" t="s">
        <v>42</v>
      </c>
      <c r="J323" s="5" t="s">
        <v>5118</v>
      </c>
      <c r="K323" s="5" t="s">
        <v>977</v>
      </c>
    </row>
    <row r="324" spans="1:11">
      <c r="A324" s="21">
        <v>322</v>
      </c>
      <c r="B324" s="5" t="s">
        <v>978</v>
      </c>
      <c r="C324" s="23" t="s">
        <v>3466</v>
      </c>
      <c r="D324" s="23" t="s">
        <v>77</v>
      </c>
      <c r="E324" s="5" t="s">
        <v>979</v>
      </c>
      <c r="F324" s="71" t="s">
        <v>6103</v>
      </c>
      <c r="G324" s="22" t="s">
        <v>160</v>
      </c>
      <c r="H324" s="5" t="s">
        <v>3932</v>
      </c>
      <c r="I324" s="5" t="s">
        <v>56</v>
      </c>
      <c r="J324" s="5" t="s">
        <v>4943</v>
      </c>
      <c r="K324" s="5" t="s">
        <v>980</v>
      </c>
    </row>
    <row r="325" spans="1:11">
      <c r="A325" s="21">
        <v>323</v>
      </c>
      <c r="B325" s="5" t="s">
        <v>981</v>
      </c>
      <c r="C325" s="23" t="s">
        <v>3226</v>
      </c>
      <c r="D325" s="23" t="s">
        <v>77</v>
      </c>
      <c r="E325" s="5" t="s">
        <v>982</v>
      </c>
      <c r="F325" s="71" t="s">
        <v>6103</v>
      </c>
      <c r="G325" s="22" t="s">
        <v>179</v>
      </c>
      <c r="H325" s="5" t="s">
        <v>3932</v>
      </c>
      <c r="I325" s="5" t="s">
        <v>21</v>
      </c>
      <c r="J325" s="5" t="s">
        <v>5271</v>
      </c>
      <c r="K325" s="5" t="s">
        <v>983</v>
      </c>
    </row>
    <row r="326" spans="1:11">
      <c r="A326" s="21">
        <v>324</v>
      </c>
      <c r="B326" s="5" t="s">
        <v>984</v>
      </c>
      <c r="C326" s="23" t="s">
        <v>3007</v>
      </c>
      <c r="D326" s="23" t="s">
        <v>34</v>
      </c>
      <c r="E326" s="5" t="s">
        <v>985</v>
      </c>
      <c r="F326" s="71" t="s">
        <v>6103</v>
      </c>
      <c r="G326" s="22" t="s">
        <v>179</v>
      </c>
      <c r="H326" s="5" t="s">
        <v>3932</v>
      </c>
      <c r="I326" s="5" t="s">
        <v>56</v>
      </c>
      <c r="J326" s="5" t="s">
        <v>4994</v>
      </c>
      <c r="K326" s="5">
        <v>89756465578</v>
      </c>
    </row>
    <row r="327" spans="1:11">
      <c r="A327" s="21">
        <v>325</v>
      </c>
      <c r="B327" s="5" t="s">
        <v>986</v>
      </c>
      <c r="C327" s="23" t="s">
        <v>3890</v>
      </c>
      <c r="D327" s="23" t="s">
        <v>17</v>
      </c>
      <c r="E327" s="5" t="s">
        <v>123</v>
      </c>
      <c r="F327" s="71" t="s">
        <v>6103</v>
      </c>
      <c r="G327" s="22" t="s">
        <v>85</v>
      </c>
      <c r="H327" s="5" t="s">
        <v>120</v>
      </c>
      <c r="I327" s="5" t="s">
        <v>26</v>
      </c>
      <c r="J327" s="5" t="s">
        <v>4984</v>
      </c>
      <c r="K327" s="5" t="s">
        <v>987</v>
      </c>
    </row>
    <row r="328" spans="1:11">
      <c r="A328" s="21">
        <v>326</v>
      </c>
      <c r="B328" s="5" t="s">
        <v>988</v>
      </c>
      <c r="C328" s="23" t="s">
        <v>3355</v>
      </c>
      <c r="D328" s="23" t="s">
        <v>34</v>
      </c>
      <c r="E328" s="5" t="s">
        <v>989</v>
      </c>
      <c r="F328" s="71" t="s">
        <v>6103</v>
      </c>
      <c r="G328" s="22" t="s">
        <v>93</v>
      </c>
      <c r="H328" s="5" t="s">
        <v>94</v>
      </c>
      <c r="I328" s="5" t="s">
        <v>50</v>
      </c>
      <c r="J328" s="5" t="s">
        <v>5321</v>
      </c>
      <c r="K328" s="5" t="s">
        <v>990</v>
      </c>
    </row>
    <row r="329" spans="1:11">
      <c r="A329" s="21">
        <v>327</v>
      </c>
      <c r="B329" s="5" t="s">
        <v>991</v>
      </c>
      <c r="C329" s="23" t="s">
        <v>3087</v>
      </c>
      <c r="D329" s="23" t="s">
        <v>77</v>
      </c>
      <c r="E329" s="5" t="s">
        <v>992</v>
      </c>
      <c r="F329" s="71" t="s">
        <v>6103</v>
      </c>
      <c r="G329" s="22" t="s">
        <v>179</v>
      </c>
      <c r="H329" s="22" t="s">
        <v>3932</v>
      </c>
      <c r="I329" s="5" t="s">
        <v>56</v>
      </c>
      <c r="J329" s="5" t="s">
        <v>4923</v>
      </c>
      <c r="K329" s="5" t="s">
        <v>993</v>
      </c>
    </row>
    <row r="330" spans="1:11">
      <c r="A330" s="21">
        <v>328</v>
      </c>
      <c r="B330" s="5" t="s">
        <v>994</v>
      </c>
      <c r="C330" s="23" t="s">
        <v>3133</v>
      </c>
      <c r="D330" s="23" t="s">
        <v>77</v>
      </c>
      <c r="E330" s="5" t="s">
        <v>995</v>
      </c>
      <c r="F330" s="71" t="s">
        <v>6103</v>
      </c>
      <c r="G330" s="22" t="s">
        <v>179</v>
      </c>
      <c r="H330" s="5" t="s">
        <v>3932</v>
      </c>
      <c r="I330" s="5" t="s">
        <v>21</v>
      </c>
      <c r="J330" s="5" t="s">
        <v>5397</v>
      </c>
      <c r="K330" s="5" t="s">
        <v>996</v>
      </c>
    </row>
    <row r="331" spans="1:11">
      <c r="A331" s="21">
        <v>329</v>
      </c>
      <c r="B331" s="5" t="s">
        <v>997</v>
      </c>
      <c r="C331" s="23" t="s">
        <v>3356</v>
      </c>
      <c r="D331" s="23" t="s">
        <v>34</v>
      </c>
      <c r="E331" s="5" t="s">
        <v>998</v>
      </c>
      <c r="F331" s="71" t="s">
        <v>6103</v>
      </c>
      <c r="G331" s="22" t="s">
        <v>216</v>
      </c>
      <c r="H331" s="5" t="s">
        <v>217</v>
      </c>
      <c r="I331" s="5" t="s">
        <v>21</v>
      </c>
      <c r="J331" s="5" t="s">
        <v>4960</v>
      </c>
      <c r="K331" s="5" t="s">
        <v>999</v>
      </c>
    </row>
    <row r="332" spans="1:11">
      <c r="A332" s="21">
        <v>330</v>
      </c>
      <c r="B332" s="5" t="s">
        <v>1000</v>
      </c>
      <c r="C332" s="23" t="s">
        <v>3088</v>
      </c>
      <c r="D332" s="23" t="s">
        <v>34</v>
      </c>
      <c r="E332" s="5" t="s">
        <v>1001</v>
      </c>
      <c r="F332" s="71" t="s">
        <v>6103</v>
      </c>
      <c r="G332" s="22" t="s">
        <v>179</v>
      </c>
      <c r="H332" s="22" t="s">
        <v>3932</v>
      </c>
      <c r="I332" s="5" t="s">
        <v>67</v>
      </c>
      <c r="J332" s="5" t="s">
        <v>5457</v>
      </c>
      <c r="K332" s="5">
        <v>89756465590</v>
      </c>
    </row>
    <row r="333" spans="1:11">
      <c r="A333" s="21">
        <v>331</v>
      </c>
      <c r="B333" s="5" t="s">
        <v>1002</v>
      </c>
      <c r="C333" s="23" t="s">
        <v>3891</v>
      </c>
      <c r="D333" s="23" t="s">
        <v>17</v>
      </c>
      <c r="E333" s="5" t="s">
        <v>1003</v>
      </c>
      <c r="F333" s="71" t="s">
        <v>6103</v>
      </c>
      <c r="G333" s="22" t="s">
        <v>85</v>
      </c>
      <c r="H333" s="5" t="s">
        <v>120</v>
      </c>
      <c r="I333" s="5" t="s">
        <v>56</v>
      </c>
      <c r="J333" s="5" t="s">
        <v>4828</v>
      </c>
      <c r="K333" s="5" t="s">
        <v>1004</v>
      </c>
    </row>
    <row r="334" spans="1:11">
      <c r="A334" s="21">
        <v>332</v>
      </c>
      <c r="B334" s="5" t="s">
        <v>1005</v>
      </c>
      <c r="C334" s="23" t="s">
        <v>3357</v>
      </c>
      <c r="D334" s="23" t="s">
        <v>34</v>
      </c>
      <c r="E334" s="5" t="s">
        <v>1006</v>
      </c>
      <c r="F334" s="71" t="s">
        <v>6103</v>
      </c>
      <c r="G334" s="22" t="s">
        <v>93</v>
      </c>
      <c r="H334" s="5" t="s">
        <v>217</v>
      </c>
      <c r="I334" s="5" t="s">
        <v>50</v>
      </c>
      <c r="J334" s="5" t="s">
        <v>5688</v>
      </c>
      <c r="K334" s="5" t="s">
        <v>1007</v>
      </c>
    </row>
    <row r="335" spans="1:11">
      <c r="A335" s="21">
        <v>333</v>
      </c>
      <c r="B335" s="5" t="s">
        <v>1008</v>
      </c>
      <c r="C335" s="23" t="s">
        <v>3134</v>
      </c>
      <c r="D335" s="23" t="s">
        <v>77</v>
      </c>
      <c r="E335" s="5" t="s">
        <v>1009</v>
      </c>
      <c r="F335" s="71" t="s">
        <v>6103</v>
      </c>
      <c r="G335" s="22" t="s">
        <v>179</v>
      </c>
      <c r="H335" s="5" t="s">
        <v>3932</v>
      </c>
      <c r="I335" s="5" t="s">
        <v>21</v>
      </c>
      <c r="J335" s="5" t="s">
        <v>5364</v>
      </c>
      <c r="K335" s="5" t="s">
        <v>1010</v>
      </c>
    </row>
    <row r="336" spans="1:11">
      <c r="A336" s="21">
        <v>334</v>
      </c>
      <c r="B336" s="5" t="s">
        <v>1011</v>
      </c>
      <c r="C336" s="23" t="s">
        <v>3553</v>
      </c>
      <c r="D336" s="23" t="s">
        <v>77</v>
      </c>
      <c r="E336" s="5" t="s">
        <v>1012</v>
      </c>
      <c r="F336" s="71" t="s">
        <v>6103</v>
      </c>
      <c r="G336" s="22" t="s">
        <v>12</v>
      </c>
      <c r="H336" s="5" t="s">
        <v>36</v>
      </c>
      <c r="I336" s="5" t="s">
        <v>42</v>
      </c>
      <c r="J336" s="5" t="s">
        <v>5164</v>
      </c>
      <c r="K336" s="5" t="s">
        <v>1013</v>
      </c>
    </row>
    <row r="337" spans="1:11">
      <c r="A337" s="21">
        <v>335</v>
      </c>
      <c r="B337" s="5" t="s">
        <v>1014</v>
      </c>
      <c r="C337" s="23" t="s">
        <v>3227</v>
      </c>
      <c r="D337" s="23" t="s">
        <v>77</v>
      </c>
      <c r="E337" s="5" t="s">
        <v>185</v>
      </c>
      <c r="F337" s="71" t="s">
        <v>6103</v>
      </c>
      <c r="G337" s="22" t="s">
        <v>179</v>
      </c>
      <c r="H337" s="5" t="s">
        <v>3932</v>
      </c>
      <c r="I337" s="5" t="s">
        <v>14</v>
      </c>
      <c r="J337" s="5" t="s">
        <v>5560</v>
      </c>
      <c r="K337" s="5" t="s">
        <v>1015</v>
      </c>
    </row>
    <row r="338" spans="1:11">
      <c r="A338" s="21">
        <v>336</v>
      </c>
      <c r="B338" s="5" t="s">
        <v>1016</v>
      </c>
      <c r="C338" s="23" t="s">
        <v>3358</v>
      </c>
      <c r="D338" s="23" t="s">
        <v>34</v>
      </c>
      <c r="E338" s="5" t="s">
        <v>1017</v>
      </c>
      <c r="F338" s="71" t="s">
        <v>6103</v>
      </c>
      <c r="G338" s="22" t="s">
        <v>3933</v>
      </c>
      <c r="H338" s="5" t="s">
        <v>3932</v>
      </c>
      <c r="I338" s="5" t="s">
        <v>67</v>
      </c>
      <c r="J338" s="5" t="s">
        <v>4834</v>
      </c>
      <c r="K338" s="5" t="s">
        <v>1018</v>
      </c>
    </row>
    <row r="339" spans="1:11">
      <c r="A339" s="21">
        <v>337</v>
      </c>
      <c r="B339" s="5" t="s">
        <v>1019</v>
      </c>
      <c r="C339" s="23" t="s">
        <v>3823</v>
      </c>
      <c r="D339" s="23" t="s">
        <v>59</v>
      </c>
      <c r="E339" s="5" t="s">
        <v>1020</v>
      </c>
      <c r="F339" s="71" t="s">
        <v>6103</v>
      </c>
      <c r="G339" s="22" t="s">
        <v>144</v>
      </c>
      <c r="H339" s="5" t="s">
        <v>46</v>
      </c>
      <c r="I339" s="5" t="s">
        <v>14</v>
      </c>
      <c r="J339" s="5" t="s">
        <v>4886</v>
      </c>
      <c r="K339" s="5" t="s">
        <v>1021</v>
      </c>
    </row>
    <row r="340" spans="1:11">
      <c r="A340" s="21">
        <v>338</v>
      </c>
      <c r="B340" s="5" t="s">
        <v>1022</v>
      </c>
      <c r="C340" s="23" t="s">
        <v>3228</v>
      </c>
      <c r="D340" s="23" t="s">
        <v>77</v>
      </c>
      <c r="E340" s="5" t="s">
        <v>1023</v>
      </c>
      <c r="F340" s="71" t="s">
        <v>6103</v>
      </c>
      <c r="G340" s="22" t="s">
        <v>179</v>
      </c>
      <c r="H340" s="5" t="s">
        <v>3932</v>
      </c>
      <c r="I340" s="5" t="s">
        <v>56</v>
      </c>
      <c r="J340" s="5" t="s">
        <v>5755</v>
      </c>
      <c r="K340" s="5" t="s">
        <v>1024</v>
      </c>
    </row>
    <row r="341" spans="1:11">
      <c r="A341" s="21">
        <v>339</v>
      </c>
      <c r="B341" s="5" t="s">
        <v>1025</v>
      </c>
      <c r="C341" s="23" t="s">
        <v>3694</v>
      </c>
      <c r="D341" s="23" t="s">
        <v>59</v>
      </c>
      <c r="E341" s="5" t="s">
        <v>1026</v>
      </c>
      <c r="F341" s="71" t="s">
        <v>6103</v>
      </c>
      <c r="G341" s="22" t="s">
        <v>3934</v>
      </c>
      <c r="H341" s="5" t="s">
        <v>13</v>
      </c>
      <c r="I341" s="5" t="s">
        <v>56</v>
      </c>
      <c r="J341" s="5" t="s">
        <v>5579</v>
      </c>
      <c r="K341" s="5" t="s">
        <v>1027</v>
      </c>
    </row>
    <row r="342" spans="1:11">
      <c r="A342" s="21">
        <v>340</v>
      </c>
      <c r="B342" s="5" t="s">
        <v>1028</v>
      </c>
      <c r="C342" s="23" t="s">
        <v>3824</v>
      </c>
      <c r="D342" s="23" t="s">
        <v>59</v>
      </c>
      <c r="E342" s="5" t="s">
        <v>1029</v>
      </c>
      <c r="F342" s="71" t="s">
        <v>6103</v>
      </c>
      <c r="G342" s="22" t="s">
        <v>144</v>
      </c>
      <c r="H342" s="5" t="s">
        <v>25</v>
      </c>
      <c r="I342" s="5" t="s">
        <v>14</v>
      </c>
      <c r="J342" s="5" t="s">
        <v>5629</v>
      </c>
      <c r="K342" s="5" t="s">
        <v>1030</v>
      </c>
    </row>
    <row r="343" spans="1:11">
      <c r="A343" s="21">
        <v>341</v>
      </c>
      <c r="B343" s="5" t="s">
        <v>1031</v>
      </c>
      <c r="C343" s="23" t="s">
        <v>3554</v>
      </c>
      <c r="D343" s="23" t="s">
        <v>77</v>
      </c>
      <c r="E343" s="5" t="s">
        <v>1032</v>
      </c>
      <c r="F343" s="71" t="s">
        <v>6103</v>
      </c>
      <c r="G343" s="22" t="s">
        <v>12</v>
      </c>
      <c r="H343" s="5" t="s">
        <v>36</v>
      </c>
      <c r="I343" s="5" t="s">
        <v>21</v>
      </c>
      <c r="J343" s="5" t="s">
        <v>4802</v>
      </c>
      <c r="K343" s="5" t="s">
        <v>1033</v>
      </c>
    </row>
    <row r="344" spans="1:11">
      <c r="A344" s="21">
        <v>342</v>
      </c>
      <c r="B344" s="5" t="s">
        <v>1034</v>
      </c>
      <c r="C344" s="23" t="s">
        <v>3135</v>
      </c>
      <c r="D344" s="23" t="s">
        <v>77</v>
      </c>
      <c r="E344" s="5" t="s">
        <v>1035</v>
      </c>
      <c r="F344" s="71" t="s">
        <v>6103</v>
      </c>
      <c r="G344" s="22" t="s">
        <v>179</v>
      </c>
      <c r="H344" s="22" t="s">
        <v>179</v>
      </c>
      <c r="I344" s="5" t="s">
        <v>21</v>
      </c>
      <c r="J344" s="5" t="s">
        <v>5237</v>
      </c>
      <c r="K344" s="5" t="s">
        <v>1036</v>
      </c>
    </row>
    <row r="345" spans="1:11">
      <c r="A345" s="21">
        <v>343</v>
      </c>
      <c r="B345" s="5" t="s">
        <v>1037</v>
      </c>
      <c r="C345" s="23" t="s">
        <v>3136</v>
      </c>
      <c r="D345" s="23" t="s">
        <v>34</v>
      </c>
      <c r="E345" s="5" t="s">
        <v>1038</v>
      </c>
      <c r="F345" s="71" t="s">
        <v>6103</v>
      </c>
      <c r="G345" s="22" t="s">
        <v>179</v>
      </c>
      <c r="H345" s="22" t="s">
        <v>179</v>
      </c>
      <c r="I345" s="5" t="s">
        <v>14</v>
      </c>
      <c r="J345" s="5" t="s">
        <v>5322</v>
      </c>
      <c r="K345" s="5" t="s">
        <v>1039</v>
      </c>
    </row>
    <row r="346" spans="1:11">
      <c r="A346" s="21">
        <v>344</v>
      </c>
      <c r="B346" s="5" t="s">
        <v>1040</v>
      </c>
      <c r="C346" s="23" t="s">
        <v>3611</v>
      </c>
      <c r="D346" s="23" t="s">
        <v>59</v>
      </c>
      <c r="E346" s="5" t="s">
        <v>1041</v>
      </c>
      <c r="F346" s="71" t="s">
        <v>6103</v>
      </c>
      <c r="G346" s="22" t="s">
        <v>179</v>
      </c>
      <c r="H346" s="5" t="s">
        <v>36</v>
      </c>
      <c r="I346" s="5" t="s">
        <v>26</v>
      </c>
      <c r="J346" s="5" t="s">
        <v>5402</v>
      </c>
      <c r="K346" s="5" t="s">
        <v>1042</v>
      </c>
    </row>
    <row r="347" spans="1:11">
      <c r="A347" s="21">
        <v>345</v>
      </c>
      <c r="B347" s="5" t="s">
        <v>1043</v>
      </c>
      <c r="C347" s="23" t="s">
        <v>3467</v>
      </c>
      <c r="D347" s="23" t="s">
        <v>77</v>
      </c>
      <c r="E347" s="5" t="s">
        <v>1044</v>
      </c>
      <c r="F347" s="71" t="s">
        <v>6103</v>
      </c>
      <c r="G347" s="22" t="s">
        <v>160</v>
      </c>
      <c r="H347" s="5" t="s">
        <v>3932</v>
      </c>
      <c r="I347" s="5" t="s">
        <v>14</v>
      </c>
      <c r="J347" s="5" t="s">
        <v>5137</v>
      </c>
      <c r="K347" s="5" t="s">
        <v>1045</v>
      </c>
    </row>
    <row r="348" spans="1:11">
      <c r="A348" s="21">
        <v>346</v>
      </c>
      <c r="B348" s="5" t="s">
        <v>1046</v>
      </c>
      <c r="C348" s="23" t="s">
        <v>3612</v>
      </c>
      <c r="D348" s="23" t="s">
        <v>59</v>
      </c>
      <c r="E348" s="5" t="s">
        <v>1047</v>
      </c>
      <c r="F348" s="71" t="s">
        <v>6103</v>
      </c>
      <c r="G348" s="22" t="s">
        <v>160</v>
      </c>
      <c r="H348" s="5" t="s">
        <v>36</v>
      </c>
      <c r="I348" s="5" t="s">
        <v>26</v>
      </c>
      <c r="J348" s="5" t="s">
        <v>5559</v>
      </c>
      <c r="K348" s="5" t="s">
        <v>1048</v>
      </c>
    </row>
    <row r="349" spans="1:11">
      <c r="A349" s="21">
        <v>347</v>
      </c>
      <c r="B349" s="5" t="s">
        <v>1049</v>
      </c>
      <c r="C349" s="23" t="s">
        <v>3359</v>
      </c>
      <c r="D349" s="23" t="s">
        <v>34</v>
      </c>
      <c r="E349" s="5" t="s">
        <v>1050</v>
      </c>
      <c r="F349" s="71" t="s">
        <v>6103</v>
      </c>
      <c r="G349" s="22" t="s">
        <v>3933</v>
      </c>
      <c r="H349" s="5" t="s">
        <v>3932</v>
      </c>
      <c r="I349" s="5" t="s">
        <v>42</v>
      </c>
      <c r="J349" s="5" t="s">
        <v>4964</v>
      </c>
      <c r="K349" s="5" t="s">
        <v>1051</v>
      </c>
    </row>
    <row r="350" spans="1:11">
      <c r="A350" s="21">
        <v>348</v>
      </c>
      <c r="B350" s="5" t="s">
        <v>1052</v>
      </c>
      <c r="C350" s="23" t="s">
        <v>3555</v>
      </c>
      <c r="D350" s="23" t="s">
        <v>77</v>
      </c>
      <c r="E350" s="5" t="s">
        <v>1053</v>
      </c>
      <c r="F350" s="71" t="s">
        <v>6103</v>
      </c>
      <c r="G350" s="22" t="s">
        <v>12</v>
      </c>
      <c r="H350" s="5" t="s">
        <v>13</v>
      </c>
      <c r="I350" s="5" t="s">
        <v>50</v>
      </c>
      <c r="J350" s="5" t="s">
        <v>5387</v>
      </c>
      <c r="K350" s="5" t="s">
        <v>1054</v>
      </c>
    </row>
    <row r="351" spans="1:11">
      <c r="A351" s="21">
        <v>349</v>
      </c>
      <c r="B351" s="5" t="s">
        <v>1055</v>
      </c>
      <c r="C351" s="23" t="s">
        <v>3008</v>
      </c>
      <c r="D351" s="23" t="s">
        <v>34</v>
      </c>
      <c r="E351" s="5" t="s">
        <v>1056</v>
      </c>
      <c r="F351" s="71" t="s">
        <v>6103</v>
      </c>
      <c r="G351" s="22" t="s">
        <v>74</v>
      </c>
      <c r="H351" s="5" t="s">
        <v>71</v>
      </c>
      <c r="I351" s="5" t="s">
        <v>14</v>
      </c>
      <c r="J351" s="5" t="s">
        <v>5257</v>
      </c>
      <c r="K351" s="5" t="s">
        <v>1057</v>
      </c>
    </row>
    <row r="352" spans="1:11">
      <c r="A352" s="21">
        <v>350</v>
      </c>
      <c r="B352" s="5" t="s">
        <v>1058</v>
      </c>
      <c r="C352" s="23" t="s">
        <v>3556</v>
      </c>
      <c r="D352" s="23" t="s">
        <v>77</v>
      </c>
      <c r="E352" s="5" t="s">
        <v>1059</v>
      </c>
      <c r="F352" s="71" t="s">
        <v>6103</v>
      </c>
      <c r="G352" s="22" t="s">
        <v>12</v>
      </c>
      <c r="H352" s="5" t="s">
        <v>36</v>
      </c>
      <c r="I352" s="5" t="s">
        <v>56</v>
      </c>
      <c r="J352" s="12" t="s">
        <v>5718</v>
      </c>
      <c r="K352" s="5" t="s">
        <v>1060</v>
      </c>
    </row>
    <row r="353" spans="1:11">
      <c r="A353" s="21">
        <v>351</v>
      </c>
      <c r="B353" s="5" t="s">
        <v>1061</v>
      </c>
      <c r="C353" s="23" t="s">
        <v>3892</v>
      </c>
      <c r="D353" s="23" t="s">
        <v>17</v>
      </c>
      <c r="E353" s="5" t="s">
        <v>1062</v>
      </c>
      <c r="F353" s="71" t="s">
        <v>6103</v>
      </c>
      <c r="G353" s="22" t="s">
        <v>85</v>
      </c>
      <c r="H353" s="5" t="s">
        <v>86</v>
      </c>
      <c r="I353" s="5" t="s">
        <v>50</v>
      </c>
      <c r="J353" s="5" t="s">
        <v>5339</v>
      </c>
      <c r="K353" s="5">
        <v>8975646562</v>
      </c>
    </row>
    <row r="354" spans="1:11">
      <c r="A354" s="21">
        <v>352</v>
      </c>
      <c r="B354" s="5" t="s">
        <v>1063</v>
      </c>
      <c r="C354" s="23" t="s">
        <v>3468</v>
      </c>
      <c r="D354" s="23" t="s">
        <v>17</v>
      </c>
      <c r="E354" s="5" t="s">
        <v>1064</v>
      </c>
      <c r="F354" s="71" t="s">
        <v>6103</v>
      </c>
      <c r="G354" s="22" t="s">
        <v>160</v>
      </c>
      <c r="H354" s="5" t="s">
        <v>3932</v>
      </c>
      <c r="I354" s="5" t="s">
        <v>26</v>
      </c>
      <c r="J354" s="5" t="s">
        <v>5308</v>
      </c>
      <c r="K354" s="5" t="s">
        <v>1065</v>
      </c>
    </row>
    <row r="355" spans="1:11">
      <c r="A355" s="21">
        <v>353</v>
      </c>
      <c r="B355" s="5" t="s">
        <v>1066</v>
      </c>
      <c r="C355" s="23" t="s">
        <v>3298</v>
      </c>
      <c r="D355" s="23" t="s">
        <v>77</v>
      </c>
      <c r="E355" s="5" t="s">
        <v>1067</v>
      </c>
      <c r="F355" s="71" t="s">
        <v>6103</v>
      </c>
      <c r="G355" s="22" t="s">
        <v>179</v>
      </c>
      <c r="H355" s="5" t="s">
        <v>3932</v>
      </c>
      <c r="I355" s="5" t="s">
        <v>26</v>
      </c>
      <c r="J355" s="5" t="s">
        <v>5677</v>
      </c>
      <c r="K355" s="5" t="s">
        <v>1068</v>
      </c>
    </row>
    <row r="356" spans="1:11">
      <c r="A356" s="21">
        <v>354</v>
      </c>
      <c r="B356" s="5" t="s">
        <v>1069</v>
      </c>
      <c r="C356" s="23" t="s">
        <v>3299</v>
      </c>
      <c r="D356" s="23" t="s">
        <v>77</v>
      </c>
      <c r="E356" s="5" t="s">
        <v>1070</v>
      </c>
      <c r="F356" s="71" t="s">
        <v>6103</v>
      </c>
      <c r="G356" s="22" t="s">
        <v>179</v>
      </c>
      <c r="H356" s="5" t="s">
        <v>3932</v>
      </c>
      <c r="I356" s="5" t="s">
        <v>56</v>
      </c>
      <c r="J356" s="5" t="s">
        <v>5696</v>
      </c>
      <c r="K356" s="5" t="s">
        <v>1071</v>
      </c>
    </row>
    <row r="357" spans="1:11">
      <c r="A357" s="21">
        <v>355</v>
      </c>
      <c r="B357" s="5" t="s">
        <v>1072</v>
      </c>
      <c r="C357" s="23" t="s">
        <v>3469</v>
      </c>
      <c r="D357" s="23" t="s">
        <v>77</v>
      </c>
      <c r="E357" s="5" t="s">
        <v>1073</v>
      </c>
      <c r="F357" s="71" t="s">
        <v>6103</v>
      </c>
      <c r="G357" s="22" t="s">
        <v>160</v>
      </c>
      <c r="H357" s="5" t="s">
        <v>3932</v>
      </c>
      <c r="I357" s="5" t="s">
        <v>21</v>
      </c>
      <c r="J357" s="5" t="s">
        <v>5432</v>
      </c>
      <c r="K357" s="5" t="s">
        <v>1074</v>
      </c>
    </row>
    <row r="358" spans="1:11">
      <c r="A358" s="21">
        <v>356</v>
      </c>
      <c r="B358" s="5" t="s">
        <v>1075</v>
      </c>
      <c r="C358" s="23" t="s">
        <v>3360</v>
      </c>
      <c r="D358" s="23" t="s">
        <v>34</v>
      </c>
      <c r="E358" s="5" t="s">
        <v>1076</v>
      </c>
      <c r="F358" s="71" t="s">
        <v>6103</v>
      </c>
      <c r="G358" s="22" t="s">
        <v>3933</v>
      </c>
      <c r="H358" s="5" t="s">
        <v>3932</v>
      </c>
      <c r="I358" s="5" t="s">
        <v>26</v>
      </c>
      <c r="J358" s="5" t="s">
        <v>5349</v>
      </c>
      <c r="K358" s="5" t="s">
        <v>1077</v>
      </c>
    </row>
    <row r="359" spans="1:11">
      <c r="A359" s="21">
        <v>357</v>
      </c>
      <c r="B359" s="5" t="s">
        <v>1078</v>
      </c>
      <c r="C359" s="23" t="s">
        <v>3090</v>
      </c>
      <c r="D359" s="23" t="s">
        <v>59</v>
      </c>
      <c r="E359" s="5" t="s">
        <v>1079</v>
      </c>
      <c r="F359" s="71" t="s">
        <v>6103</v>
      </c>
      <c r="G359" s="22" t="s">
        <v>3934</v>
      </c>
      <c r="H359" s="5" t="s">
        <v>13</v>
      </c>
      <c r="I359" s="5" t="s">
        <v>21</v>
      </c>
      <c r="J359" s="5" t="s">
        <v>5383</v>
      </c>
      <c r="K359" s="5" t="s">
        <v>1080</v>
      </c>
    </row>
    <row r="360" spans="1:11">
      <c r="A360" s="21">
        <v>358</v>
      </c>
      <c r="B360" s="5" t="s">
        <v>1081</v>
      </c>
      <c r="C360" s="23" t="s">
        <v>3781</v>
      </c>
      <c r="D360" s="23" t="s">
        <v>59</v>
      </c>
      <c r="E360" s="5" t="s">
        <v>1082</v>
      </c>
      <c r="F360" s="71" t="s">
        <v>6103</v>
      </c>
      <c r="G360" s="22" t="s">
        <v>24</v>
      </c>
      <c r="H360" s="5" t="s">
        <v>25</v>
      </c>
      <c r="I360" s="5" t="s">
        <v>56</v>
      </c>
      <c r="J360" s="5" t="s">
        <v>5708</v>
      </c>
      <c r="K360" s="5" t="s">
        <v>1083</v>
      </c>
    </row>
    <row r="361" spans="1:11">
      <c r="A361" s="21">
        <v>359</v>
      </c>
      <c r="B361" s="5" t="s">
        <v>1084</v>
      </c>
      <c r="C361" s="23" t="s">
        <v>3137</v>
      </c>
      <c r="D361" s="23" t="s">
        <v>77</v>
      </c>
      <c r="E361" s="5" t="s">
        <v>1085</v>
      </c>
      <c r="F361" s="71" t="s">
        <v>6103</v>
      </c>
      <c r="G361" s="22" t="s">
        <v>179</v>
      </c>
      <c r="H361" s="22" t="s">
        <v>3932</v>
      </c>
      <c r="I361" s="5" t="s">
        <v>56</v>
      </c>
      <c r="J361" s="5" t="s">
        <v>5243</v>
      </c>
      <c r="K361" s="5" t="s">
        <v>1086</v>
      </c>
    </row>
    <row r="362" spans="1:11">
      <c r="A362" s="21">
        <v>360</v>
      </c>
      <c r="B362" s="5" t="s">
        <v>1087</v>
      </c>
      <c r="C362" s="23" t="s">
        <v>3695</v>
      </c>
      <c r="D362" s="23" t="s">
        <v>59</v>
      </c>
      <c r="E362" s="5" t="s">
        <v>1088</v>
      </c>
      <c r="F362" s="71" t="s">
        <v>6103</v>
      </c>
      <c r="G362" s="22" t="s">
        <v>3934</v>
      </c>
      <c r="H362" s="5" t="s">
        <v>13</v>
      </c>
      <c r="I362" s="5" t="s">
        <v>42</v>
      </c>
      <c r="J362" s="5" t="s">
        <v>5154</v>
      </c>
      <c r="K362" s="5" t="s">
        <v>1089</v>
      </c>
    </row>
    <row r="363" spans="1:11">
      <c r="A363" s="21">
        <v>361</v>
      </c>
      <c r="B363" s="5" t="s">
        <v>1090</v>
      </c>
      <c r="C363" s="23" t="s">
        <v>3893</v>
      </c>
      <c r="D363" s="23" t="s">
        <v>17</v>
      </c>
      <c r="E363" s="5" t="s">
        <v>1091</v>
      </c>
      <c r="F363" s="71" t="s">
        <v>6103</v>
      </c>
      <c r="G363" s="22" t="s">
        <v>119</v>
      </c>
      <c r="H363" s="5" t="s">
        <v>120</v>
      </c>
      <c r="I363" s="5" t="s">
        <v>42</v>
      </c>
      <c r="J363" s="5" t="s">
        <v>4995</v>
      </c>
      <c r="K363" s="5" t="s">
        <v>1092</v>
      </c>
    </row>
    <row r="364" spans="1:11">
      <c r="A364" s="21">
        <v>362</v>
      </c>
      <c r="B364" s="5" t="s">
        <v>1093</v>
      </c>
      <c r="C364" s="23" t="s">
        <v>3009</v>
      </c>
      <c r="D364" s="23" t="s">
        <v>34</v>
      </c>
      <c r="E364" s="5" t="s">
        <v>1094</v>
      </c>
      <c r="F364" s="71" t="s">
        <v>6103</v>
      </c>
      <c r="G364" s="22" t="s">
        <v>74</v>
      </c>
      <c r="H364" s="5" t="s">
        <v>71</v>
      </c>
      <c r="I364" s="5" t="s">
        <v>21</v>
      </c>
      <c r="J364" s="5" t="s">
        <v>4996</v>
      </c>
      <c r="K364" s="5">
        <v>89756465581</v>
      </c>
    </row>
    <row r="365" spans="1:11">
      <c r="A365" s="21">
        <v>363</v>
      </c>
      <c r="B365" s="5" t="s">
        <v>1095</v>
      </c>
      <c r="C365" s="23" t="s">
        <v>3300</v>
      </c>
      <c r="D365" s="23" t="s">
        <v>77</v>
      </c>
      <c r="E365" s="5" t="s">
        <v>1096</v>
      </c>
      <c r="F365" s="71" t="s">
        <v>6103</v>
      </c>
      <c r="G365" s="22" t="s">
        <v>179</v>
      </c>
      <c r="H365" s="5" t="s">
        <v>3932</v>
      </c>
      <c r="I365" s="5" t="s">
        <v>67</v>
      </c>
      <c r="J365" s="5" t="s">
        <v>5277</v>
      </c>
      <c r="K365" s="5" t="s">
        <v>1097</v>
      </c>
    </row>
    <row r="366" spans="1:11">
      <c r="A366" s="21">
        <v>364</v>
      </c>
      <c r="B366" s="5" t="s">
        <v>1098</v>
      </c>
      <c r="C366" s="23" t="s">
        <v>3301</v>
      </c>
      <c r="D366" s="23" t="s">
        <v>77</v>
      </c>
      <c r="E366" s="5" t="s">
        <v>1099</v>
      </c>
      <c r="F366" s="71" t="s">
        <v>6103</v>
      </c>
      <c r="G366" s="22" t="s">
        <v>61</v>
      </c>
      <c r="H366" s="5" t="s">
        <v>98</v>
      </c>
      <c r="I366" s="5" t="s">
        <v>56</v>
      </c>
      <c r="J366" s="5" t="s">
        <v>5342</v>
      </c>
      <c r="K366" s="5" t="s">
        <v>1100</v>
      </c>
    </row>
    <row r="367" spans="1:11">
      <c r="A367" s="21">
        <v>365</v>
      </c>
      <c r="B367" s="5" t="s">
        <v>1101</v>
      </c>
      <c r="C367" s="23" t="s">
        <v>3089</v>
      </c>
      <c r="D367" s="23" t="s">
        <v>77</v>
      </c>
      <c r="E367" s="5" t="s">
        <v>1102</v>
      </c>
      <c r="F367" s="71" t="s">
        <v>6103</v>
      </c>
      <c r="G367" s="22" t="s">
        <v>179</v>
      </c>
      <c r="H367" s="22" t="s">
        <v>3932</v>
      </c>
      <c r="I367" s="5" t="s">
        <v>56</v>
      </c>
      <c r="J367" s="5" t="s">
        <v>5711</v>
      </c>
      <c r="K367" s="5" t="s">
        <v>1103</v>
      </c>
    </row>
    <row r="368" spans="1:11">
      <c r="A368" s="21">
        <v>366</v>
      </c>
      <c r="B368" s="5" t="s">
        <v>1104</v>
      </c>
      <c r="C368" s="23" t="s">
        <v>3470</v>
      </c>
      <c r="D368" s="23" t="s">
        <v>77</v>
      </c>
      <c r="E368" s="5" t="s">
        <v>1105</v>
      </c>
      <c r="F368" s="71" t="s">
        <v>6103</v>
      </c>
      <c r="G368" s="22" t="s">
        <v>160</v>
      </c>
      <c r="H368" s="5" t="s">
        <v>3932</v>
      </c>
      <c r="I368" s="5" t="s">
        <v>56</v>
      </c>
      <c r="J368" s="5" t="s">
        <v>4893</v>
      </c>
      <c r="K368" s="5" t="s">
        <v>1106</v>
      </c>
    </row>
    <row r="369" spans="1:11">
      <c r="A369" s="21">
        <v>367</v>
      </c>
      <c r="B369" s="5" t="s">
        <v>1107</v>
      </c>
      <c r="C369" s="23" t="s">
        <v>3825</v>
      </c>
      <c r="D369" s="23" t="s">
        <v>59</v>
      </c>
      <c r="E369" s="5" t="s">
        <v>1108</v>
      </c>
      <c r="F369" s="71" t="s">
        <v>6103</v>
      </c>
      <c r="G369" s="22" t="s">
        <v>144</v>
      </c>
      <c r="H369" s="5" t="s">
        <v>25</v>
      </c>
      <c r="I369" s="5" t="s">
        <v>67</v>
      </c>
      <c r="J369" s="5" t="s">
        <v>4931</v>
      </c>
      <c r="K369" s="5" t="s">
        <v>1109</v>
      </c>
    </row>
    <row r="370" spans="1:11">
      <c r="A370" s="21">
        <v>368</v>
      </c>
      <c r="B370" s="5" t="s">
        <v>1110</v>
      </c>
      <c r="C370" s="23" t="s">
        <v>3138</v>
      </c>
      <c r="D370" s="23" t="s">
        <v>77</v>
      </c>
      <c r="E370" s="5" t="s">
        <v>1111</v>
      </c>
      <c r="F370" s="71" t="s">
        <v>6103</v>
      </c>
      <c r="G370" s="22" t="s">
        <v>179</v>
      </c>
      <c r="H370" s="5" t="s">
        <v>3932</v>
      </c>
      <c r="I370" s="5" t="s">
        <v>21</v>
      </c>
      <c r="J370" s="5" t="s">
        <v>5194</v>
      </c>
      <c r="K370" s="5">
        <v>881386486</v>
      </c>
    </row>
    <row r="371" spans="1:11">
      <c r="A371" s="21">
        <v>369</v>
      </c>
      <c r="B371" s="5" t="s">
        <v>1112</v>
      </c>
      <c r="C371" s="23" t="s">
        <v>3826</v>
      </c>
      <c r="D371" s="23" t="s">
        <v>59</v>
      </c>
      <c r="E371" s="5" t="s">
        <v>1113</v>
      </c>
      <c r="F371" s="71" t="s">
        <v>6103</v>
      </c>
      <c r="G371" s="22" t="s">
        <v>144</v>
      </c>
      <c r="H371" s="5" t="s">
        <v>25</v>
      </c>
      <c r="I371" s="5" t="s">
        <v>56</v>
      </c>
      <c r="J371" s="5" t="s">
        <v>5553</v>
      </c>
      <c r="K371" s="5">
        <v>89756465582</v>
      </c>
    </row>
    <row r="372" spans="1:11">
      <c r="A372" s="21">
        <v>370</v>
      </c>
      <c r="B372" s="5" t="s">
        <v>1114</v>
      </c>
      <c r="C372" s="23" t="s">
        <v>3613</v>
      </c>
      <c r="D372" s="23" t="s">
        <v>59</v>
      </c>
      <c r="E372" s="5" t="s">
        <v>1115</v>
      </c>
      <c r="F372" s="71" t="s">
        <v>6103</v>
      </c>
      <c r="G372" s="22" t="s">
        <v>160</v>
      </c>
      <c r="H372" s="5" t="s">
        <v>13</v>
      </c>
      <c r="I372" s="5" t="s">
        <v>26</v>
      </c>
      <c r="J372" s="5" t="s">
        <v>5045</v>
      </c>
      <c r="K372" s="5" t="s">
        <v>1116</v>
      </c>
    </row>
    <row r="373" spans="1:11">
      <c r="A373" s="21">
        <v>371</v>
      </c>
      <c r="B373" s="5" t="s">
        <v>1117</v>
      </c>
      <c r="C373" s="23" t="s">
        <v>3471</v>
      </c>
      <c r="D373" s="23" t="s">
        <v>17</v>
      </c>
      <c r="E373" s="5" t="s">
        <v>1118</v>
      </c>
      <c r="F373" s="71" t="s">
        <v>6103</v>
      </c>
      <c r="G373" s="22" t="s">
        <v>160</v>
      </c>
      <c r="H373" s="5" t="s">
        <v>3932</v>
      </c>
      <c r="I373" s="5" t="s">
        <v>67</v>
      </c>
      <c r="J373" s="5" t="s">
        <v>5647</v>
      </c>
      <c r="K373" s="5" t="s">
        <v>1119</v>
      </c>
    </row>
    <row r="374" spans="1:11">
      <c r="A374" s="21">
        <v>372</v>
      </c>
      <c r="B374" s="5" t="s">
        <v>1120</v>
      </c>
      <c r="C374" s="23" t="s">
        <v>3696</v>
      </c>
      <c r="D374" s="23" t="s">
        <v>59</v>
      </c>
      <c r="E374" s="5" t="s">
        <v>1121</v>
      </c>
      <c r="F374" s="71" t="s">
        <v>6103</v>
      </c>
      <c r="G374" s="22" t="s">
        <v>3934</v>
      </c>
      <c r="H374" s="5" t="s">
        <v>13</v>
      </c>
      <c r="I374" s="5" t="s">
        <v>21</v>
      </c>
      <c r="J374" s="5" t="s">
        <v>5129</v>
      </c>
      <c r="K374" s="5" t="s">
        <v>1122</v>
      </c>
    </row>
    <row r="375" spans="1:11">
      <c r="A375" s="21">
        <v>373</v>
      </c>
      <c r="B375" s="5" t="s">
        <v>1123</v>
      </c>
      <c r="C375" s="23" t="s">
        <v>3782</v>
      </c>
      <c r="D375" s="23" t="s">
        <v>17</v>
      </c>
      <c r="E375" s="5" t="s">
        <v>1124</v>
      </c>
      <c r="F375" s="71" t="s">
        <v>6103</v>
      </c>
      <c r="G375" s="22" t="s">
        <v>24</v>
      </c>
      <c r="H375" s="5" t="s">
        <v>25</v>
      </c>
      <c r="I375" s="5" t="s">
        <v>14</v>
      </c>
      <c r="J375" s="5" t="s">
        <v>5733</v>
      </c>
      <c r="K375" s="5" t="s">
        <v>1125</v>
      </c>
    </row>
    <row r="376" spans="1:11">
      <c r="A376" s="21">
        <v>374</v>
      </c>
      <c r="B376" s="5" t="s">
        <v>1126</v>
      </c>
      <c r="C376" s="23" t="s">
        <v>3090</v>
      </c>
      <c r="D376" s="23" t="s">
        <v>77</v>
      </c>
      <c r="E376" s="5" t="s">
        <v>1127</v>
      </c>
      <c r="F376" s="71" t="s">
        <v>6103</v>
      </c>
      <c r="G376" s="22" t="s">
        <v>179</v>
      </c>
      <c r="H376" s="5" t="s">
        <v>3932</v>
      </c>
      <c r="I376" s="5" t="s">
        <v>21</v>
      </c>
      <c r="J376" s="5" t="s">
        <v>5383</v>
      </c>
      <c r="K376" s="5" t="s">
        <v>1128</v>
      </c>
    </row>
    <row r="377" spans="1:11">
      <c r="A377" s="21">
        <v>375</v>
      </c>
      <c r="B377" s="5" t="s">
        <v>1129</v>
      </c>
      <c r="C377" s="23" t="s">
        <v>3229</v>
      </c>
      <c r="D377" s="23" t="s">
        <v>34</v>
      </c>
      <c r="E377" s="5" t="s">
        <v>1130</v>
      </c>
      <c r="F377" s="71" t="s">
        <v>6103</v>
      </c>
      <c r="G377" s="22" t="s">
        <v>172</v>
      </c>
      <c r="H377" s="5" t="s">
        <v>98</v>
      </c>
      <c r="I377" s="5" t="s">
        <v>26</v>
      </c>
      <c r="J377" s="5" t="s">
        <v>5769</v>
      </c>
      <c r="K377" s="5" t="s">
        <v>1131</v>
      </c>
    </row>
    <row r="378" spans="1:11">
      <c r="A378" s="21">
        <v>376</v>
      </c>
      <c r="B378" s="5" t="s">
        <v>1132</v>
      </c>
      <c r="C378" s="23" t="s">
        <v>3472</v>
      </c>
      <c r="D378" s="23" t="s">
        <v>77</v>
      </c>
      <c r="E378" s="5" t="s">
        <v>1133</v>
      </c>
      <c r="F378" s="71" t="s">
        <v>6103</v>
      </c>
      <c r="G378" s="22" t="s">
        <v>160</v>
      </c>
      <c r="H378" s="5" t="s">
        <v>3932</v>
      </c>
      <c r="I378" s="5" t="s">
        <v>21</v>
      </c>
      <c r="J378" s="5" t="s">
        <v>5092</v>
      </c>
      <c r="K378" s="5" t="s">
        <v>1134</v>
      </c>
    </row>
    <row r="379" spans="1:11">
      <c r="A379" s="21">
        <v>377</v>
      </c>
      <c r="B379" s="5" t="s">
        <v>1135</v>
      </c>
      <c r="C379" s="23" t="s">
        <v>3473</v>
      </c>
      <c r="D379" s="23" t="s">
        <v>77</v>
      </c>
      <c r="E379" s="5" t="s">
        <v>1136</v>
      </c>
      <c r="F379" s="71" t="s">
        <v>6103</v>
      </c>
      <c r="G379" s="22" t="s">
        <v>160</v>
      </c>
      <c r="H379" s="5" t="s">
        <v>3932</v>
      </c>
      <c r="I379" s="5" t="s">
        <v>21</v>
      </c>
      <c r="J379" s="5" t="s">
        <v>5023</v>
      </c>
      <c r="K379" s="5" t="s">
        <v>1137</v>
      </c>
    </row>
    <row r="380" spans="1:11">
      <c r="A380" s="21">
        <v>378</v>
      </c>
      <c r="B380" s="5" t="s">
        <v>1138</v>
      </c>
      <c r="C380" s="23" t="s">
        <v>3361</v>
      </c>
      <c r="D380" s="23" t="s">
        <v>34</v>
      </c>
      <c r="E380" s="5" t="s">
        <v>1139</v>
      </c>
      <c r="F380" s="71" t="s">
        <v>6103</v>
      </c>
      <c r="G380" s="22" t="s">
        <v>93</v>
      </c>
      <c r="H380" s="5" t="s">
        <v>217</v>
      </c>
      <c r="I380" s="5" t="s">
        <v>50</v>
      </c>
      <c r="J380" s="5" t="s">
        <v>5354</v>
      </c>
      <c r="K380" s="5" t="s">
        <v>1140</v>
      </c>
    </row>
    <row r="381" spans="1:11">
      <c r="A381" s="21">
        <v>379</v>
      </c>
      <c r="B381" s="5" t="s">
        <v>1141</v>
      </c>
      <c r="C381" s="23" t="s">
        <v>3230</v>
      </c>
      <c r="D381" s="23" t="s">
        <v>77</v>
      </c>
      <c r="E381" s="5" t="s">
        <v>1142</v>
      </c>
      <c r="F381" s="71" t="s">
        <v>6103</v>
      </c>
      <c r="G381" s="22" t="s">
        <v>179</v>
      </c>
      <c r="H381" s="5" t="s">
        <v>3932</v>
      </c>
      <c r="I381" s="5" t="s">
        <v>14</v>
      </c>
      <c r="J381" s="5" t="s">
        <v>5740</v>
      </c>
      <c r="K381" s="5" t="s">
        <v>1143</v>
      </c>
    </row>
    <row r="382" spans="1:11">
      <c r="A382" s="21">
        <v>380</v>
      </c>
      <c r="B382" s="5" t="s">
        <v>1144</v>
      </c>
      <c r="C382" s="23" t="s">
        <v>3362</v>
      </c>
      <c r="D382" s="23" t="s">
        <v>34</v>
      </c>
      <c r="E382" s="5" t="s">
        <v>1145</v>
      </c>
      <c r="F382" s="71" t="s">
        <v>6103</v>
      </c>
      <c r="G382" s="22" t="s">
        <v>93</v>
      </c>
      <c r="H382" s="5" t="s">
        <v>94</v>
      </c>
      <c r="I382" s="5" t="s">
        <v>50</v>
      </c>
      <c r="J382" s="5" t="s">
        <v>5323</v>
      </c>
      <c r="K382" s="5" t="s">
        <v>1146</v>
      </c>
    </row>
    <row r="383" spans="1:11">
      <c r="A383" s="21">
        <v>381</v>
      </c>
      <c r="B383" s="5" t="s">
        <v>1147</v>
      </c>
      <c r="C383" s="23" t="s">
        <v>3697</v>
      </c>
      <c r="D383" s="23" t="s">
        <v>59</v>
      </c>
      <c r="E383" s="5" t="s">
        <v>1148</v>
      </c>
      <c r="F383" s="71" t="s">
        <v>6103</v>
      </c>
      <c r="G383" s="22" t="s">
        <v>3934</v>
      </c>
      <c r="H383" s="5" t="s">
        <v>13</v>
      </c>
      <c r="I383" s="5" t="s">
        <v>42</v>
      </c>
      <c r="J383" s="5" t="s">
        <v>5263</v>
      </c>
      <c r="K383" s="5" t="s">
        <v>1149</v>
      </c>
    </row>
    <row r="384" spans="1:11">
      <c r="A384" s="21">
        <v>382</v>
      </c>
      <c r="B384" s="5" t="s">
        <v>1150</v>
      </c>
      <c r="C384" s="23" t="s">
        <v>3614</v>
      </c>
      <c r="D384" s="23" t="s">
        <v>59</v>
      </c>
      <c r="E384" s="5" t="s">
        <v>1151</v>
      </c>
      <c r="F384" s="71" t="s">
        <v>6103</v>
      </c>
      <c r="G384" s="22" t="s">
        <v>160</v>
      </c>
      <c r="H384" s="5" t="s">
        <v>36</v>
      </c>
      <c r="I384" s="5" t="s">
        <v>67</v>
      </c>
      <c r="J384" s="5" t="s">
        <v>5441</v>
      </c>
      <c r="K384" s="5" t="s">
        <v>1152</v>
      </c>
    </row>
    <row r="385" spans="1:11">
      <c r="A385" s="21">
        <v>383</v>
      </c>
      <c r="B385" s="5" t="s">
        <v>1153</v>
      </c>
      <c r="C385" s="23" t="s">
        <v>3894</v>
      </c>
      <c r="D385" s="23" t="s">
        <v>17</v>
      </c>
      <c r="E385" s="5" t="s">
        <v>1154</v>
      </c>
      <c r="F385" s="71" t="s">
        <v>6103</v>
      </c>
      <c r="G385" s="22" t="s">
        <v>119</v>
      </c>
      <c r="H385" s="5" t="s">
        <v>120</v>
      </c>
      <c r="I385" s="5" t="s">
        <v>14</v>
      </c>
      <c r="J385" s="5" t="s">
        <v>5123</v>
      </c>
      <c r="K385" s="5" t="s">
        <v>1155</v>
      </c>
    </row>
    <row r="386" spans="1:11">
      <c r="A386" s="21">
        <v>384</v>
      </c>
      <c r="B386" s="5" t="s">
        <v>1156</v>
      </c>
      <c r="C386" s="23" t="s">
        <v>3895</v>
      </c>
      <c r="D386" s="23" t="s">
        <v>17</v>
      </c>
      <c r="E386" s="5" t="s">
        <v>1157</v>
      </c>
      <c r="F386" s="71" t="s">
        <v>6103</v>
      </c>
      <c r="G386" s="22" t="s">
        <v>119</v>
      </c>
      <c r="H386" s="5" t="s">
        <v>120</v>
      </c>
      <c r="I386" s="5" t="s">
        <v>56</v>
      </c>
      <c r="J386" s="5" t="s">
        <v>5171</v>
      </c>
      <c r="K386" s="5" t="s">
        <v>1158</v>
      </c>
    </row>
    <row r="387" spans="1:11">
      <c r="A387" s="21">
        <v>385</v>
      </c>
      <c r="B387" s="5" t="s">
        <v>1159</v>
      </c>
      <c r="C387" s="23" t="s">
        <v>3231</v>
      </c>
      <c r="D387" s="23" t="s">
        <v>77</v>
      </c>
      <c r="E387" s="5" t="s">
        <v>1160</v>
      </c>
      <c r="F387" s="71" t="s">
        <v>6103</v>
      </c>
      <c r="G387" s="22" t="s">
        <v>179</v>
      </c>
      <c r="H387" s="5" t="s">
        <v>3932</v>
      </c>
      <c r="I387" s="5" t="s">
        <v>14</v>
      </c>
      <c r="J387" s="5" t="s">
        <v>5343</v>
      </c>
      <c r="K387" s="5" t="s">
        <v>1161</v>
      </c>
    </row>
    <row r="388" spans="1:11">
      <c r="A388" s="21">
        <v>386</v>
      </c>
      <c r="B388" s="5" t="s">
        <v>1162</v>
      </c>
      <c r="C388" s="23" t="s">
        <v>3474</v>
      </c>
      <c r="D388" s="23" t="s">
        <v>77</v>
      </c>
      <c r="E388" s="5" t="s">
        <v>923</v>
      </c>
      <c r="F388" s="71" t="s">
        <v>6103</v>
      </c>
      <c r="G388" s="22" t="s">
        <v>160</v>
      </c>
      <c r="H388" s="5" t="s">
        <v>3932</v>
      </c>
      <c r="I388" s="5" t="s">
        <v>26</v>
      </c>
      <c r="J388" s="5" t="s">
        <v>4832</v>
      </c>
      <c r="K388" s="5">
        <v>89756465583</v>
      </c>
    </row>
    <row r="389" spans="1:11">
      <c r="A389" s="21">
        <v>387</v>
      </c>
      <c r="B389" s="5" t="s">
        <v>1163</v>
      </c>
      <c r="C389" s="23" t="s">
        <v>3363</v>
      </c>
      <c r="D389" s="23" t="s">
        <v>34</v>
      </c>
      <c r="E389" s="5" t="s">
        <v>1164</v>
      </c>
      <c r="F389" s="71" t="s">
        <v>6103</v>
      </c>
      <c r="G389" s="22" t="s">
        <v>3933</v>
      </c>
      <c r="H389" s="5" t="s">
        <v>3932</v>
      </c>
      <c r="I389" s="5" t="s">
        <v>56</v>
      </c>
      <c r="J389" s="5" t="s">
        <v>4968</v>
      </c>
      <c r="K389" s="5" t="s">
        <v>1165</v>
      </c>
    </row>
    <row r="390" spans="1:11">
      <c r="A390" s="21">
        <v>388</v>
      </c>
      <c r="B390" s="5" t="s">
        <v>1166</v>
      </c>
      <c r="C390" s="23" t="s">
        <v>3698</v>
      </c>
      <c r="D390" s="23" t="s">
        <v>59</v>
      </c>
      <c r="E390" s="5" t="s">
        <v>1167</v>
      </c>
      <c r="F390" s="71" t="s">
        <v>6103</v>
      </c>
      <c r="G390" s="22" t="s">
        <v>3934</v>
      </c>
      <c r="H390" s="5" t="s">
        <v>13</v>
      </c>
      <c r="I390" s="5" t="s">
        <v>67</v>
      </c>
      <c r="J390" s="5" t="s">
        <v>5046</v>
      </c>
      <c r="K390" s="5" t="s">
        <v>1168</v>
      </c>
    </row>
    <row r="391" spans="1:11">
      <c r="A391" s="21">
        <v>389</v>
      </c>
      <c r="B391" s="5" t="s">
        <v>1169</v>
      </c>
      <c r="C391" s="23" t="s">
        <v>3699</v>
      </c>
      <c r="D391" s="23" t="s">
        <v>59</v>
      </c>
      <c r="E391" s="5" t="s">
        <v>1170</v>
      </c>
      <c r="F391" s="71" t="s">
        <v>6103</v>
      </c>
      <c r="G391" s="22" t="s">
        <v>3934</v>
      </c>
      <c r="H391" s="5" t="s">
        <v>13</v>
      </c>
      <c r="I391" s="5" t="s">
        <v>14</v>
      </c>
      <c r="J391" s="5" t="s">
        <v>5039</v>
      </c>
      <c r="K391" s="5" t="s">
        <v>1171</v>
      </c>
    </row>
    <row r="392" spans="1:11">
      <c r="A392" s="21">
        <v>390</v>
      </c>
      <c r="B392" s="5" t="s">
        <v>1172</v>
      </c>
      <c r="C392" s="23" t="s">
        <v>3010</v>
      </c>
      <c r="D392" s="23" t="s">
        <v>34</v>
      </c>
      <c r="E392" s="5" t="s">
        <v>1173</v>
      </c>
      <c r="F392" s="71" t="s">
        <v>6103</v>
      </c>
      <c r="G392" s="22" t="s">
        <v>40</v>
      </c>
      <c r="H392" s="5" t="s">
        <v>41</v>
      </c>
      <c r="I392" s="5" t="s">
        <v>42</v>
      </c>
      <c r="J392" s="5" t="s">
        <v>5595</v>
      </c>
      <c r="K392" s="5" t="s">
        <v>1174</v>
      </c>
    </row>
    <row r="393" spans="1:11">
      <c r="A393" s="21">
        <v>391</v>
      </c>
      <c r="B393" s="5" t="s">
        <v>1175</v>
      </c>
      <c r="C393" s="23" t="s">
        <v>3896</v>
      </c>
      <c r="D393" s="23" t="s">
        <v>17</v>
      </c>
      <c r="E393" s="5" t="s">
        <v>1176</v>
      </c>
      <c r="F393" s="71" t="s">
        <v>6103</v>
      </c>
      <c r="G393" s="22" t="s">
        <v>119</v>
      </c>
      <c r="H393" s="5" t="s">
        <v>120</v>
      </c>
      <c r="I393" s="5" t="s">
        <v>67</v>
      </c>
      <c r="J393" s="5" t="s">
        <v>5562</v>
      </c>
      <c r="K393" s="5" t="s">
        <v>1177</v>
      </c>
    </row>
    <row r="394" spans="1:11">
      <c r="A394" s="21">
        <v>392</v>
      </c>
      <c r="B394" s="5" t="s">
        <v>1178</v>
      </c>
      <c r="C394" s="23" t="s">
        <v>3091</v>
      </c>
      <c r="D394" s="23" t="s">
        <v>77</v>
      </c>
      <c r="E394" s="5" t="s">
        <v>1179</v>
      </c>
      <c r="F394" s="71" t="s">
        <v>6103</v>
      </c>
      <c r="G394" s="22" t="s">
        <v>179</v>
      </c>
      <c r="H394" s="5" t="s">
        <v>3932</v>
      </c>
      <c r="I394" s="5" t="s">
        <v>21</v>
      </c>
      <c r="J394" s="5" t="s">
        <v>5101</v>
      </c>
      <c r="K394" s="5" t="s">
        <v>1180</v>
      </c>
    </row>
    <row r="395" spans="1:11">
      <c r="A395" s="21">
        <v>393</v>
      </c>
      <c r="B395" s="5" t="s">
        <v>1181</v>
      </c>
      <c r="C395" s="23" t="s">
        <v>3475</v>
      </c>
      <c r="D395" s="23" t="s">
        <v>77</v>
      </c>
      <c r="E395" s="5" t="s">
        <v>1182</v>
      </c>
      <c r="F395" s="71" t="s">
        <v>6103</v>
      </c>
      <c r="G395" s="22" t="s">
        <v>160</v>
      </c>
      <c r="H395" s="5" t="s">
        <v>3932</v>
      </c>
      <c r="I395" s="5" t="s">
        <v>50</v>
      </c>
      <c r="J395" s="5" t="s">
        <v>5761</v>
      </c>
      <c r="K395" s="5" t="s">
        <v>1183</v>
      </c>
    </row>
    <row r="396" spans="1:11">
      <c r="A396" s="21">
        <v>394</v>
      </c>
      <c r="B396" s="5" t="s">
        <v>1184</v>
      </c>
      <c r="C396" s="23" t="s">
        <v>3011</v>
      </c>
      <c r="D396" s="23" t="s">
        <v>34</v>
      </c>
      <c r="E396" s="5" t="s">
        <v>1185</v>
      </c>
      <c r="F396" s="71" t="s">
        <v>6103</v>
      </c>
      <c r="G396" s="22" t="s">
        <v>179</v>
      </c>
      <c r="H396" s="5" t="s">
        <v>3932</v>
      </c>
      <c r="I396" s="5" t="s">
        <v>67</v>
      </c>
      <c r="J396" s="5" t="s">
        <v>5566</v>
      </c>
      <c r="K396" s="5" t="s">
        <v>1186</v>
      </c>
    </row>
    <row r="397" spans="1:11">
      <c r="A397" s="21">
        <v>395</v>
      </c>
      <c r="B397" s="5" t="s">
        <v>1187</v>
      </c>
      <c r="C397" s="23" t="s">
        <v>3783</v>
      </c>
      <c r="D397" s="23" t="s">
        <v>59</v>
      </c>
      <c r="E397" s="5" t="s">
        <v>1188</v>
      </c>
      <c r="F397" s="71" t="s">
        <v>6103</v>
      </c>
      <c r="G397" s="22" t="s">
        <v>24</v>
      </c>
      <c r="H397" s="5" t="s">
        <v>25</v>
      </c>
      <c r="I397" s="5" t="s">
        <v>14</v>
      </c>
      <c r="J397" s="5" t="s">
        <v>5139</v>
      </c>
      <c r="K397" s="5" t="s">
        <v>1189</v>
      </c>
    </row>
    <row r="398" spans="1:11">
      <c r="A398" s="21">
        <v>396</v>
      </c>
      <c r="B398" s="5" t="s">
        <v>1190</v>
      </c>
      <c r="C398" s="23" t="s">
        <v>3476</v>
      </c>
      <c r="D398" s="23" t="s">
        <v>17</v>
      </c>
      <c r="E398" s="5" t="s">
        <v>1191</v>
      </c>
      <c r="F398" s="71" t="s">
        <v>6103</v>
      </c>
      <c r="G398" s="22" t="s">
        <v>160</v>
      </c>
      <c r="H398" s="5" t="s">
        <v>3932</v>
      </c>
      <c r="I398" s="5" t="s">
        <v>67</v>
      </c>
      <c r="J398" s="5" t="s">
        <v>5447</v>
      </c>
      <c r="K398" s="5" t="s">
        <v>1192</v>
      </c>
    </row>
    <row r="399" spans="1:11">
      <c r="A399" s="21">
        <v>397</v>
      </c>
      <c r="B399" s="5" t="s">
        <v>1193</v>
      </c>
      <c r="C399" s="23" t="s">
        <v>3364</v>
      </c>
      <c r="D399" s="23" t="s">
        <v>34</v>
      </c>
      <c r="E399" s="5" t="s">
        <v>1194</v>
      </c>
      <c r="F399" s="71" t="s">
        <v>6103</v>
      </c>
      <c r="G399" s="22" t="s">
        <v>216</v>
      </c>
      <c r="H399" s="5" t="s">
        <v>217</v>
      </c>
      <c r="I399" s="5" t="s">
        <v>14</v>
      </c>
      <c r="J399" s="5" t="s">
        <v>5358</v>
      </c>
      <c r="K399" s="5" t="s">
        <v>1195</v>
      </c>
    </row>
    <row r="400" spans="1:11">
      <c r="A400" s="21">
        <v>398</v>
      </c>
      <c r="B400" s="5" t="s">
        <v>1196</v>
      </c>
      <c r="C400" s="23" t="s">
        <v>3477</v>
      </c>
      <c r="D400" s="23" t="s">
        <v>77</v>
      </c>
      <c r="E400" s="5" t="s">
        <v>1197</v>
      </c>
      <c r="F400" s="71" t="s">
        <v>6103</v>
      </c>
      <c r="G400" s="22" t="s">
        <v>160</v>
      </c>
      <c r="H400" s="5" t="s">
        <v>3932</v>
      </c>
      <c r="I400" s="5" t="s">
        <v>50</v>
      </c>
      <c r="J400" s="5" t="s">
        <v>5302</v>
      </c>
      <c r="K400" s="5" t="s">
        <v>1198</v>
      </c>
    </row>
    <row r="401" spans="1:11">
      <c r="A401" s="21">
        <v>399</v>
      </c>
      <c r="B401" s="5" t="s">
        <v>1199</v>
      </c>
      <c r="C401" s="23" t="s">
        <v>3478</v>
      </c>
      <c r="D401" s="23" t="s">
        <v>77</v>
      </c>
      <c r="E401" s="5" t="s">
        <v>1200</v>
      </c>
      <c r="F401" s="71" t="s">
        <v>6103</v>
      </c>
      <c r="G401" s="22" t="s">
        <v>160</v>
      </c>
      <c r="H401" s="5" t="s">
        <v>3932</v>
      </c>
      <c r="I401" s="5" t="s">
        <v>21</v>
      </c>
      <c r="J401" s="5" t="s">
        <v>4940</v>
      </c>
      <c r="K401" s="5" t="s">
        <v>1201</v>
      </c>
    </row>
    <row r="402" spans="1:11">
      <c r="A402" s="21">
        <v>400</v>
      </c>
      <c r="B402" s="5" t="s">
        <v>1202</v>
      </c>
      <c r="C402" s="23" t="s">
        <v>3784</v>
      </c>
      <c r="D402" s="23" t="s">
        <v>59</v>
      </c>
      <c r="E402" s="5" t="s">
        <v>1203</v>
      </c>
      <c r="F402" s="71" t="s">
        <v>6103</v>
      </c>
      <c r="G402" s="22" t="s">
        <v>24</v>
      </c>
      <c r="H402" s="5" t="s">
        <v>25</v>
      </c>
      <c r="I402" s="5" t="s">
        <v>14</v>
      </c>
      <c r="J402" s="5" t="s">
        <v>5082</v>
      </c>
      <c r="K402" s="5" t="s">
        <v>1204</v>
      </c>
    </row>
    <row r="403" spans="1:11">
      <c r="A403" s="21">
        <v>401</v>
      </c>
      <c r="B403" s="5" t="s">
        <v>1205</v>
      </c>
      <c r="C403" s="23" t="s">
        <v>3365</v>
      </c>
      <c r="D403" s="23" t="s">
        <v>34</v>
      </c>
      <c r="E403" s="5" t="s">
        <v>1206</v>
      </c>
      <c r="F403" s="71" t="s">
        <v>6103</v>
      </c>
      <c r="G403" s="22" t="s">
        <v>3933</v>
      </c>
      <c r="H403" s="5" t="s">
        <v>3932</v>
      </c>
      <c r="I403" s="5" t="s">
        <v>56</v>
      </c>
      <c r="J403" s="5" t="s">
        <v>5367</v>
      </c>
      <c r="K403" s="5" t="s">
        <v>1207</v>
      </c>
    </row>
    <row r="404" spans="1:11">
      <c r="A404" s="21">
        <v>402</v>
      </c>
      <c r="B404" s="5" t="s">
        <v>1208</v>
      </c>
      <c r="C404" s="23" t="s">
        <v>3139</v>
      </c>
      <c r="D404" s="23" t="s">
        <v>77</v>
      </c>
      <c r="E404" s="5" t="s">
        <v>1209</v>
      </c>
      <c r="F404" s="71" t="s">
        <v>6103</v>
      </c>
      <c r="G404" s="22" t="s">
        <v>179</v>
      </c>
      <c r="H404" s="22" t="s">
        <v>179</v>
      </c>
      <c r="I404" s="5" t="s">
        <v>50</v>
      </c>
      <c r="J404" s="5" t="s">
        <v>5695</v>
      </c>
      <c r="K404" s="5" t="s">
        <v>1210</v>
      </c>
    </row>
    <row r="405" spans="1:11">
      <c r="A405" s="21">
        <v>403</v>
      </c>
      <c r="B405" s="5" t="s">
        <v>1211</v>
      </c>
      <c r="C405" s="23" t="s">
        <v>3615</v>
      </c>
      <c r="D405" s="23" t="s">
        <v>59</v>
      </c>
      <c r="E405" s="5" t="s">
        <v>1212</v>
      </c>
      <c r="F405" s="71" t="s">
        <v>6103</v>
      </c>
      <c r="G405" s="22" t="s">
        <v>160</v>
      </c>
      <c r="H405" s="5" t="s">
        <v>36</v>
      </c>
      <c r="I405" s="5" t="s">
        <v>26</v>
      </c>
      <c r="J405" s="5" t="s">
        <v>5648</v>
      </c>
      <c r="K405" s="5" t="s">
        <v>1213</v>
      </c>
    </row>
    <row r="406" spans="1:11">
      <c r="A406" s="21">
        <v>404</v>
      </c>
      <c r="B406" s="5" t="s">
        <v>1214</v>
      </c>
      <c r="C406" s="23" t="s">
        <v>3232</v>
      </c>
      <c r="D406" s="23" t="s">
        <v>77</v>
      </c>
      <c r="E406" s="5" t="s">
        <v>1215</v>
      </c>
      <c r="F406" s="71" t="s">
        <v>6103</v>
      </c>
      <c r="G406" s="22" t="s">
        <v>179</v>
      </c>
      <c r="H406" s="5" t="s">
        <v>3932</v>
      </c>
      <c r="I406" s="5" t="s">
        <v>21</v>
      </c>
      <c r="J406" s="5" t="s">
        <v>5268</v>
      </c>
      <c r="K406" s="5" t="s">
        <v>1216</v>
      </c>
    </row>
    <row r="407" spans="1:11">
      <c r="A407" s="21">
        <v>405</v>
      </c>
      <c r="B407" s="5" t="s">
        <v>1217</v>
      </c>
      <c r="C407" s="23" t="s">
        <v>3140</v>
      </c>
      <c r="D407" s="23" t="s">
        <v>77</v>
      </c>
      <c r="E407" s="5" t="s">
        <v>1218</v>
      </c>
      <c r="F407" s="71" t="s">
        <v>6103</v>
      </c>
      <c r="G407" s="22" t="s">
        <v>179</v>
      </c>
      <c r="H407" s="5" t="s">
        <v>3932</v>
      </c>
      <c r="I407" s="5" t="s">
        <v>21</v>
      </c>
      <c r="J407" s="5" t="s">
        <v>5142</v>
      </c>
      <c r="K407" s="5" t="s">
        <v>1219</v>
      </c>
    </row>
    <row r="408" spans="1:11">
      <c r="A408" s="21">
        <v>406</v>
      </c>
      <c r="B408" s="5" t="s">
        <v>1220</v>
      </c>
      <c r="C408" s="23" t="s">
        <v>3897</v>
      </c>
      <c r="D408" s="23" t="s">
        <v>17</v>
      </c>
      <c r="E408" s="5" t="s">
        <v>1221</v>
      </c>
      <c r="F408" s="71" t="s">
        <v>6103</v>
      </c>
      <c r="G408" s="22" t="s">
        <v>85</v>
      </c>
      <c r="H408" s="5" t="s">
        <v>86</v>
      </c>
      <c r="I408" s="5" t="s">
        <v>21</v>
      </c>
      <c r="J408" s="5" t="s">
        <v>5495</v>
      </c>
      <c r="K408" s="5" t="s">
        <v>1222</v>
      </c>
    </row>
    <row r="409" spans="1:11">
      <c r="A409" s="21">
        <v>407</v>
      </c>
      <c r="B409" s="5" t="s">
        <v>1223</v>
      </c>
      <c r="C409" s="23" t="s">
        <v>3366</v>
      </c>
      <c r="D409" s="23" t="s">
        <v>34</v>
      </c>
      <c r="E409" s="5" t="s">
        <v>1224</v>
      </c>
      <c r="F409" s="71" t="s">
        <v>6103</v>
      </c>
      <c r="G409" s="22" t="s">
        <v>3933</v>
      </c>
      <c r="H409" s="5" t="s">
        <v>3932</v>
      </c>
      <c r="I409" s="5" t="s">
        <v>67</v>
      </c>
      <c r="J409" s="5" t="s">
        <v>4849</v>
      </c>
      <c r="K409" s="5" t="s">
        <v>1225</v>
      </c>
    </row>
    <row r="410" spans="1:11">
      <c r="A410" s="21">
        <v>408</v>
      </c>
      <c r="B410" s="5" t="s">
        <v>1226</v>
      </c>
      <c r="C410" s="23" t="s">
        <v>3700</v>
      </c>
      <c r="D410" s="23" t="s">
        <v>59</v>
      </c>
      <c r="E410" s="5" t="s">
        <v>1227</v>
      </c>
      <c r="F410" s="71" t="s">
        <v>6103</v>
      </c>
      <c r="G410" s="22" t="s">
        <v>3934</v>
      </c>
      <c r="H410" s="5" t="s">
        <v>13</v>
      </c>
      <c r="I410" s="5" t="s">
        <v>56</v>
      </c>
      <c r="J410" s="5" t="s">
        <v>5522</v>
      </c>
      <c r="K410" s="5" t="s">
        <v>1228</v>
      </c>
    </row>
    <row r="411" spans="1:11">
      <c r="A411" s="21">
        <v>409</v>
      </c>
      <c r="B411" s="5" t="s">
        <v>1229</v>
      </c>
      <c r="C411" s="23" t="s">
        <v>3557</v>
      </c>
      <c r="D411" s="23" t="s">
        <v>77</v>
      </c>
      <c r="E411" s="5" t="s">
        <v>1230</v>
      </c>
      <c r="F411" s="71" t="s">
        <v>6103</v>
      </c>
      <c r="G411" s="22" t="s">
        <v>12</v>
      </c>
      <c r="H411" s="5" t="s">
        <v>13</v>
      </c>
      <c r="I411" s="5" t="s">
        <v>26</v>
      </c>
      <c r="J411" s="5" t="s">
        <v>5684</v>
      </c>
      <c r="K411" s="5" t="s">
        <v>1231</v>
      </c>
    </row>
    <row r="412" spans="1:11">
      <c r="A412" s="21">
        <v>410</v>
      </c>
      <c r="B412" s="5" t="s">
        <v>1232</v>
      </c>
      <c r="C412" s="23" t="s">
        <v>3558</v>
      </c>
      <c r="D412" s="23" t="s">
        <v>77</v>
      </c>
      <c r="E412" s="5" t="s">
        <v>1233</v>
      </c>
      <c r="F412" s="71" t="s">
        <v>6103</v>
      </c>
      <c r="G412" s="22" t="s">
        <v>12</v>
      </c>
      <c r="H412" s="5" t="s">
        <v>13</v>
      </c>
      <c r="I412" s="5" t="s">
        <v>14</v>
      </c>
      <c r="J412" s="5" t="s">
        <v>4891</v>
      </c>
      <c r="K412" s="5" t="s">
        <v>1234</v>
      </c>
    </row>
    <row r="413" spans="1:11">
      <c r="A413" s="21">
        <v>411</v>
      </c>
      <c r="B413" s="5" t="s">
        <v>1235</v>
      </c>
      <c r="C413" s="23" t="s">
        <v>3233</v>
      </c>
      <c r="D413" s="23" t="s">
        <v>77</v>
      </c>
      <c r="E413" s="5" t="s">
        <v>1236</v>
      </c>
      <c r="F413" s="71" t="s">
        <v>6103</v>
      </c>
      <c r="G413" s="22" t="s">
        <v>179</v>
      </c>
      <c r="H413" s="5" t="s">
        <v>3932</v>
      </c>
      <c r="I413" s="5" t="s">
        <v>21</v>
      </c>
      <c r="J413" s="5" t="s">
        <v>5217</v>
      </c>
      <c r="K413" s="5" t="s">
        <v>1237</v>
      </c>
    </row>
    <row r="414" spans="1:11">
      <c r="A414" s="21">
        <v>412</v>
      </c>
      <c r="B414" s="5" t="s">
        <v>1238</v>
      </c>
      <c r="C414" s="23" t="s">
        <v>3141</v>
      </c>
      <c r="D414" s="23" t="s">
        <v>34</v>
      </c>
      <c r="E414" s="5" t="s">
        <v>1239</v>
      </c>
      <c r="F414" s="71" t="s">
        <v>6103</v>
      </c>
      <c r="G414" s="22" t="s">
        <v>179</v>
      </c>
      <c r="H414" s="5" t="s">
        <v>3932</v>
      </c>
      <c r="I414" s="5" t="s">
        <v>21</v>
      </c>
      <c r="J414" s="5" t="s">
        <v>4973</v>
      </c>
      <c r="K414" s="5" t="s">
        <v>1240</v>
      </c>
    </row>
    <row r="415" spans="1:11">
      <c r="A415" s="21">
        <v>413</v>
      </c>
      <c r="B415" s="5" t="s">
        <v>1241</v>
      </c>
      <c r="C415" s="23" t="s">
        <v>3785</v>
      </c>
      <c r="D415" s="23" t="s">
        <v>59</v>
      </c>
      <c r="E415" s="5" t="s">
        <v>1242</v>
      </c>
      <c r="F415" s="71" t="s">
        <v>6103</v>
      </c>
      <c r="G415" s="22" t="s">
        <v>24</v>
      </c>
      <c r="H415" s="5" t="s">
        <v>25</v>
      </c>
      <c r="I415" s="5" t="s">
        <v>14</v>
      </c>
      <c r="J415" s="5" t="s">
        <v>5066</v>
      </c>
      <c r="K415" s="5" t="s">
        <v>1243</v>
      </c>
    </row>
    <row r="416" spans="1:11">
      <c r="A416" s="21">
        <v>414</v>
      </c>
      <c r="B416" s="5" t="s">
        <v>1244</v>
      </c>
      <c r="C416" s="23" t="s">
        <v>3827</v>
      </c>
      <c r="D416" s="23" t="s">
        <v>59</v>
      </c>
      <c r="E416" s="5" t="s">
        <v>1245</v>
      </c>
      <c r="F416" s="71" t="s">
        <v>6103</v>
      </c>
      <c r="G416" s="22" t="s">
        <v>144</v>
      </c>
      <c r="H416" s="5" t="s">
        <v>25</v>
      </c>
      <c r="I416" s="5" t="s">
        <v>56</v>
      </c>
      <c r="J416" s="5" t="s">
        <v>5402</v>
      </c>
      <c r="K416" s="5" t="s">
        <v>1246</v>
      </c>
    </row>
    <row r="417" spans="1:11">
      <c r="A417" s="21">
        <v>415</v>
      </c>
      <c r="B417" s="5" t="s">
        <v>1247</v>
      </c>
      <c r="C417" s="23" t="s">
        <v>3092</v>
      </c>
      <c r="D417" s="23" t="s">
        <v>77</v>
      </c>
      <c r="E417" s="5" t="s">
        <v>1248</v>
      </c>
      <c r="F417" s="71" t="s">
        <v>6103</v>
      </c>
      <c r="G417" s="22" t="s">
        <v>179</v>
      </c>
      <c r="H417" s="5" t="s">
        <v>3932</v>
      </c>
      <c r="I417" s="5" t="s">
        <v>21</v>
      </c>
      <c r="J417" s="5" t="s">
        <v>5240</v>
      </c>
      <c r="K417" s="5" t="s">
        <v>1249</v>
      </c>
    </row>
    <row r="418" spans="1:11">
      <c r="A418" s="21">
        <v>416</v>
      </c>
      <c r="B418" s="5" t="s">
        <v>1250</v>
      </c>
      <c r="C418" s="23" t="s">
        <v>3012</v>
      </c>
      <c r="D418" s="23" t="s">
        <v>34</v>
      </c>
      <c r="E418" s="5" t="s">
        <v>1212</v>
      </c>
      <c r="F418" s="71" t="s">
        <v>6103</v>
      </c>
      <c r="G418" s="22" t="s">
        <v>40</v>
      </c>
      <c r="H418" s="5" t="s">
        <v>71</v>
      </c>
      <c r="I418" s="5" t="s">
        <v>50</v>
      </c>
      <c r="J418" s="5" t="s">
        <v>4835</v>
      </c>
      <c r="K418" s="5" t="s">
        <v>1251</v>
      </c>
    </row>
    <row r="419" spans="1:11">
      <c r="A419" s="21">
        <v>417</v>
      </c>
      <c r="B419" s="5" t="s">
        <v>1252</v>
      </c>
      <c r="C419" s="23" t="s">
        <v>3367</v>
      </c>
      <c r="D419" s="23" t="s">
        <v>34</v>
      </c>
      <c r="E419" s="5" t="s">
        <v>1253</v>
      </c>
      <c r="F419" s="71" t="s">
        <v>6103</v>
      </c>
      <c r="G419" s="22" t="s">
        <v>216</v>
      </c>
      <c r="H419" s="5" t="s">
        <v>217</v>
      </c>
      <c r="I419" s="5" t="s">
        <v>50</v>
      </c>
      <c r="J419" s="5" t="s">
        <v>5148</v>
      </c>
      <c r="K419" s="5" t="s">
        <v>1254</v>
      </c>
    </row>
    <row r="420" spans="1:11">
      <c r="A420" s="21">
        <v>418</v>
      </c>
      <c r="B420" s="5" t="s">
        <v>1255</v>
      </c>
      <c r="C420" s="23" t="s">
        <v>3479</v>
      </c>
      <c r="D420" s="23" t="s">
        <v>17</v>
      </c>
      <c r="E420" s="5" t="s">
        <v>1256</v>
      </c>
      <c r="F420" s="71" t="s">
        <v>6103</v>
      </c>
      <c r="G420" s="22" t="s">
        <v>160</v>
      </c>
      <c r="H420" s="5" t="s">
        <v>3932</v>
      </c>
      <c r="I420" s="5" t="s">
        <v>21</v>
      </c>
      <c r="J420" s="5" t="s">
        <v>5231</v>
      </c>
      <c r="K420" s="5" t="s">
        <v>1257</v>
      </c>
    </row>
    <row r="421" spans="1:11">
      <c r="A421" s="21">
        <v>419</v>
      </c>
      <c r="B421" s="5" t="s">
        <v>1258</v>
      </c>
      <c r="C421" s="23" t="s">
        <v>3234</v>
      </c>
      <c r="D421" s="23" t="s">
        <v>77</v>
      </c>
      <c r="E421" s="5" t="s">
        <v>1259</v>
      </c>
      <c r="F421" s="71" t="s">
        <v>6103</v>
      </c>
      <c r="G421" s="22" t="s">
        <v>179</v>
      </c>
      <c r="H421" s="5" t="s">
        <v>3932</v>
      </c>
      <c r="I421" s="5" t="s">
        <v>67</v>
      </c>
      <c r="J421" s="5" t="s">
        <v>5719</v>
      </c>
      <c r="K421" s="5" t="s">
        <v>1260</v>
      </c>
    </row>
    <row r="422" spans="1:11">
      <c r="A422" s="21">
        <v>420</v>
      </c>
      <c r="B422" s="5" t="s">
        <v>1261</v>
      </c>
      <c r="C422" s="23" t="s">
        <v>3302</v>
      </c>
      <c r="D422" s="23" t="s">
        <v>77</v>
      </c>
      <c r="E422" s="5" t="s">
        <v>1262</v>
      </c>
      <c r="F422" s="71" t="s">
        <v>6103</v>
      </c>
      <c r="G422" s="22" t="s">
        <v>179</v>
      </c>
      <c r="H422" s="5" t="s">
        <v>3932</v>
      </c>
      <c r="I422" s="5" t="s">
        <v>14</v>
      </c>
      <c r="J422" s="5" t="s">
        <v>4941</v>
      </c>
      <c r="K422" s="5" t="s">
        <v>1263</v>
      </c>
    </row>
    <row r="423" spans="1:11">
      <c r="A423" s="21">
        <v>421</v>
      </c>
      <c r="B423" s="5" t="s">
        <v>1264</v>
      </c>
      <c r="C423" s="23" t="s">
        <v>3368</v>
      </c>
      <c r="D423" s="23" t="s">
        <v>34</v>
      </c>
      <c r="E423" s="5" t="s">
        <v>1265</v>
      </c>
      <c r="F423" s="71" t="s">
        <v>6103</v>
      </c>
      <c r="G423" s="22" t="s">
        <v>3933</v>
      </c>
      <c r="H423" s="5" t="s">
        <v>3932</v>
      </c>
      <c r="I423" s="5" t="s">
        <v>14</v>
      </c>
      <c r="J423" s="5" t="s">
        <v>5602</v>
      </c>
      <c r="K423" s="5" t="s">
        <v>1266</v>
      </c>
    </row>
    <row r="424" spans="1:11">
      <c r="A424" s="21">
        <v>422</v>
      </c>
      <c r="B424" s="5" t="s">
        <v>1267</v>
      </c>
      <c r="C424" s="23" t="s">
        <v>3480</v>
      </c>
      <c r="D424" s="23" t="s">
        <v>77</v>
      </c>
      <c r="E424" s="5" t="s">
        <v>1268</v>
      </c>
      <c r="F424" s="71" t="s">
        <v>6103</v>
      </c>
      <c r="G424" s="22" t="s">
        <v>160</v>
      </c>
      <c r="H424" s="5" t="s">
        <v>3932</v>
      </c>
      <c r="I424" s="5" t="s">
        <v>42</v>
      </c>
      <c r="J424" s="5" t="s">
        <v>5365</v>
      </c>
      <c r="K424" s="5" t="s">
        <v>1269</v>
      </c>
    </row>
    <row r="425" spans="1:11">
      <c r="A425" s="21">
        <v>423</v>
      </c>
      <c r="B425" s="5" t="s">
        <v>1270</v>
      </c>
      <c r="C425" s="23" t="s">
        <v>3303</v>
      </c>
      <c r="D425" s="23" t="s">
        <v>77</v>
      </c>
      <c r="E425" s="5" t="s">
        <v>1271</v>
      </c>
      <c r="F425" s="71" t="s">
        <v>6103</v>
      </c>
      <c r="G425" s="22" t="s">
        <v>179</v>
      </c>
      <c r="H425" s="5" t="s">
        <v>3932</v>
      </c>
      <c r="I425" s="5" t="s">
        <v>50</v>
      </c>
      <c r="J425" s="5" t="s">
        <v>4807</v>
      </c>
      <c r="K425" s="5" t="s">
        <v>1272</v>
      </c>
    </row>
    <row r="426" spans="1:11">
      <c r="A426" s="21">
        <v>424</v>
      </c>
      <c r="B426" s="5" t="s">
        <v>1273</v>
      </c>
      <c r="C426" s="23" t="s">
        <v>3616</v>
      </c>
      <c r="D426" s="23" t="s">
        <v>59</v>
      </c>
      <c r="E426" s="5" t="s">
        <v>1274</v>
      </c>
      <c r="F426" s="71" t="s">
        <v>6103</v>
      </c>
      <c r="G426" s="22" t="s">
        <v>179</v>
      </c>
      <c r="H426" s="5" t="s">
        <v>36</v>
      </c>
      <c r="I426" s="5" t="s">
        <v>42</v>
      </c>
      <c r="J426" s="5" t="s">
        <v>5182</v>
      </c>
      <c r="K426" s="5" t="s">
        <v>1275</v>
      </c>
    </row>
    <row r="427" spans="1:11">
      <c r="A427" s="21">
        <v>425</v>
      </c>
      <c r="B427" s="5" t="s">
        <v>1276</v>
      </c>
      <c r="C427" s="23" t="s">
        <v>3013</v>
      </c>
      <c r="D427" s="23" t="s">
        <v>34</v>
      </c>
      <c r="E427" s="5" t="s">
        <v>1277</v>
      </c>
      <c r="F427" s="71" t="s">
        <v>6103</v>
      </c>
      <c r="G427" s="22" t="s">
        <v>40</v>
      </c>
      <c r="H427" s="5" t="s">
        <v>71</v>
      </c>
      <c r="I427" s="5" t="s">
        <v>14</v>
      </c>
      <c r="J427" s="5" t="s">
        <v>5714</v>
      </c>
      <c r="K427" s="5" t="s">
        <v>1278</v>
      </c>
    </row>
    <row r="428" spans="1:11">
      <c r="A428" s="21">
        <v>426</v>
      </c>
      <c r="B428" s="5" t="s">
        <v>1279</v>
      </c>
      <c r="C428" s="23" t="s">
        <v>3701</v>
      </c>
      <c r="D428" s="23" t="s">
        <v>17</v>
      </c>
      <c r="E428" s="5" t="s">
        <v>1280</v>
      </c>
      <c r="F428" s="71" t="s">
        <v>6103</v>
      </c>
      <c r="G428" s="22" t="s">
        <v>3934</v>
      </c>
      <c r="H428" s="5" t="s">
        <v>13</v>
      </c>
      <c r="I428" s="5" t="s">
        <v>56</v>
      </c>
      <c r="J428" s="5" t="s">
        <v>5503</v>
      </c>
      <c r="K428" s="5" t="s">
        <v>1281</v>
      </c>
    </row>
    <row r="429" spans="1:11">
      <c r="A429" s="21">
        <v>427</v>
      </c>
      <c r="B429" s="5" t="s">
        <v>1282</v>
      </c>
      <c r="C429" s="23" t="s">
        <v>3369</v>
      </c>
      <c r="D429" s="23" t="s">
        <v>34</v>
      </c>
      <c r="E429" s="5" t="s">
        <v>1283</v>
      </c>
      <c r="F429" s="71" t="s">
        <v>6103</v>
      </c>
      <c r="G429" s="22" t="s">
        <v>3933</v>
      </c>
      <c r="H429" s="5" t="s">
        <v>3932</v>
      </c>
      <c r="I429" s="5" t="s">
        <v>67</v>
      </c>
      <c r="J429" s="5" t="s">
        <v>5565</v>
      </c>
      <c r="K429" s="5" t="s">
        <v>1284</v>
      </c>
    </row>
    <row r="430" spans="1:11">
      <c r="A430" s="21">
        <v>428</v>
      </c>
      <c r="B430" s="5" t="s">
        <v>1285</v>
      </c>
      <c r="C430" s="23" t="s">
        <v>3235</v>
      </c>
      <c r="D430" s="23" t="s">
        <v>77</v>
      </c>
      <c r="E430" s="5" t="s">
        <v>1286</v>
      </c>
      <c r="F430" s="71" t="s">
        <v>6103</v>
      </c>
      <c r="G430" s="22" t="s">
        <v>179</v>
      </c>
      <c r="H430" s="5" t="s">
        <v>3932</v>
      </c>
      <c r="I430" s="5" t="s">
        <v>50</v>
      </c>
      <c r="J430" s="5" t="s">
        <v>5359</v>
      </c>
      <c r="K430" s="5" t="s">
        <v>1287</v>
      </c>
    </row>
    <row r="431" spans="1:11">
      <c r="A431" s="21">
        <v>429</v>
      </c>
      <c r="B431" s="5" t="s">
        <v>1288</v>
      </c>
      <c r="C431" s="23" t="s">
        <v>3236</v>
      </c>
      <c r="D431" s="23" t="s">
        <v>77</v>
      </c>
      <c r="E431" s="5" t="s">
        <v>1289</v>
      </c>
      <c r="F431" s="71" t="s">
        <v>6103</v>
      </c>
      <c r="G431" s="22" t="s">
        <v>172</v>
      </c>
      <c r="H431" s="5" t="s">
        <v>98</v>
      </c>
      <c r="I431" s="5" t="s">
        <v>42</v>
      </c>
      <c r="J431" s="5" t="s">
        <v>5515</v>
      </c>
      <c r="K431" s="5">
        <v>801700903</v>
      </c>
    </row>
    <row r="432" spans="1:11">
      <c r="A432" s="21">
        <v>430</v>
      </c>
      <c r="B432" s="5" t="s">
        <v>1290</v>
      </c>
      <c r="C432" s="23" t="s">
        <v>3142</v>
      </c>
      <c r="D432" s="23" t="s">
        <v>77</v>
      </c>
      <c r="E432" s="5" t="s">
        <v>1291</v>
      </c>
      <c r="F432" s="71" t="s">
        <v>6103</v>
      </c>
      <c r="G432" s="22" t="s">
        <v>179</v>
      </c>
      <c r="H432" s="22" t="s">
        <v>179</v>
      </c>
      <c r="I432" s="5" t="s">
        <v>50</v>
      </c>
      <c r="J432" s="5" t="s">
        <v>5068</v>
      </c>
      <c r="K432" s="5" t="s">
        <v>1292</v>
      </c>
    </row>
    <row r="433" spans="1:11">
      <c r="A433" s="21">
        <v>431</v>
      </c>
      <c r="B433" s="5" t="s">
        <v>1293</v>
      </c>
      <c r="C433" s="23" t="s">
        <v>3014</v>
      </c>
      <c r="D433" s="23" t="s">
        <v>34</v>
      </c>
      <c r="E433" s="5" t="s">
        <v>1294</v>
      </c>
      <c r="F433" s="71" t="s">
        <v>6103</v>
      </c>
      <c r="G433" s="22" t="s">
        <v>74</v>
      </c>
      <c r="H433" s="5" t="s">
        <v>41</v>
      </c>
      <c r="I433" s="5" t="s">
        <v>26</v>
      </c>
      <c r="J433" s="5" t="s">
        <v>5309</v>
      </c>
      <c r="K433" s="5" t="s">
        <v>1295</v>
      </c>
    </row>
    <row r="434" spans="1:11">
      <c r="A434" s="21">
        <v>432</v>
      </c>
      <c r="B434" s="5" t="s">
        <v>1296</v>
      </c>
      <c r="C434" s="23" t="s">
        <v>3237</v>
      </c>
      <c r="D434" s="23" t="s">
        <v>77</v>
      </c>
      <c r="E434" s="5" t="s">
        <v>1297</v>
      </c>
      <c r="F434" s="71" t="s">
        <v>6103</v>
      </c>
      <c r="G434" s="22" t="s">
        <v>179</v>
      </c>
      <c r="H434" s="5" t="s">
        <v>3932</v>
      </c>
      <c r="I434" s="5" t="s">
        <v>56</v>
      </c>
      <c r="J434" s="5" t="s">
        <v>5611</v>
      </c>
      <c r="K434" s="5" t="s">
        <v>1298</v>
      </c>
    </row>
    <row r="435" spans="1:11">
      <c r="A435" s="21">
        <v>433</v>
      </c>
      <c r="B435" s="5" t="s">
        <v>3948</v>
      </c>
      <c r="C435" s="23" t="s">
        <v>3559</v>
      </c>
      <c r="D435" s="23" t="s">
        <v>77</v>
      </c>
      <c r="E435" s="5" t="s">
        <v>1299</v>
      </c>
      <c r="F435" s="71" t="s">
        <v>6103</v>
      </c>
      <c r="G435" s="22" t="s">
        <v>12</v>
      </c>
      <c r="H435" s="5" t="s">
        <v>36</v>
      </c>
      <c r="I435" s="5" t="s">
        <v>14</v>
      </c>
      <c r="J435" s="5" t="s">
        <v>5751</v>
      </c>
      <c r="K435" s="5" t="s">
        <v>1300</v>
      </c>
    </row>
    <row r="436" spans="1:11">
      <c r="A436" s="21">
        <v>434</v>
      </c>
      <c r="B436" s="5" t="s">
        <v>1301</v>
      </c>
      <c r="C436" s="23" t="s">
        <v>3786</v>
      </c>
      <c r="D436" s="23" t="s">
        <v>59</v>
      </c>
      <c r="E436" s="5" t="s">
        <v>1302</v>
      </c>
      <c r="F436" s="71" t="s">
        <v>6103</v>
      </c>
      <c r="G436" s="22" t="s">
        <v>24</v>
      </c>
      <c r="H436" s="5" t="s">
        <v>25</v>
      </c>
      <c r="I436" s="5" t="s">
        <v>50</v>
      </c>
      <c r="J436" s="5" t="s">
        <v>5307</v>
      </c>
      <c r="K436" s="5">
        <v>89756465584</v>
      </c>
    </row>
    <row r="437" spans="1:11">
      <c r="A437" s="21">
        <v>435</v>
      </c>
      <c r="B437" s="5" t="s">
        <v>1303</v>
      </c>
      <c r="C437" s="23" t="s">
        <v>3143</v>
      </c>
      <c r="D437" s="23" t="s">
        <v>77</v>
      </c>
      <c r="E437" s="5" t="s">
        <v>1304</v>
      </c>
      <c r="F437" s="71" t="s">
        <v>6103</v>
      </c>
      <c r="G437" s="22" t="s">
        <v>179</v>
      </c>
      <c r="H437" s="22" t="s">
        <v>179</v>
      </c>
      <c r="I437" s="5" t="s">
        <v>14</v>
      </c>
      <c r="J437" s="5" t="s">
        <v>5235</v>
      </c>
      <c r="K437" s="5" t="s">
        <v>1305</v>
      </c>
    </row>
    <row r="438" spans="1:11">
      <c r="A438" s="21">
        <v>436</v>
      </c>
      <c r="B438" s="5" t="s">
        <v>1306</v>
      </c>
      <c r="C438" s="23" t="s">
        <v>3481</v>
      </c>
      <c r="D438" s="23" t="s">
        <v>77</v>
      </c>
      <c r="E438" s="5" t="s">
        <v>1307</v>
      </c>
      <c r="F438" s="71" t="s">
        <v>6103</v>
      </c>
      <c r="G438" s="22" t="s">
        <v>160</v>
      </c>
      <c r="H438" s="5" t="s">
        <v>3932</v>
      </c>
      <c r="I438" s="5" t="s">
        <v>67</v>
      </c>
      <c r="J438" s="5" t="s">
        <v>5651</v>
      </c>
      <c r="K438" s="5">
        <v>827320628</v>
      </c>
    </row>
    <row r="439" spans="1:11">
      <c r="A439" s="21">
        <v>437</v>
      </c>
      <c r="B439" s="5" t="s">
        <v>1308</v>
      </c>
      <c r="C439" s="23" t="s">
        <v>3828</v>
      </c>
      <c r="D439" s="23" t="s">
        <v>59</v>
      </c>
      <c r="E439" s="5" t="s">
        <v>1309</v>
      </c>
      <c r="F439" s="71" t="s">
        <v>6104</v>
      </c>
      <c r="G439" s="22" t="s">
        <v>144</v>
      </c>
      <c r="H439" s="5" t="s">
        <v>25</v>
      </c>
      <c r="I439" s="5" t="s">
        <v>14</v>
      </c>
      <c r="J439" s="5" t="s">
        <v>5534</v>
      </c>
      <c r="K439" s="5">
        <v>89756465585</v>
      </c>
    </row>
    <row r="440" spans="1:11">
      <c r="A440" s="21">
        <v>438</v>
      </c>
      <c r="B440" s="5" t="s">
        <v>1310</v>
      </c>
      <c r="C440" s="23" t="s">
        <v>3304</v>
      </c>
      <c r="D440" s="23" t="s">
        <v>77</v>
      </c>
      <c r="E440" s="5" t="s">
        <v>1311</v>
      </c>
      <c r="F440" s="71" t="s">
        <v>6104</v>
      </c>
      <c r="G440" s="22" t="s">
        <v>179</v>
      </c>
      <c r="H440" s="5" t="s">
        <v>3932</v>
      </c>
      <c r="I440" s="5" t="s">
        <v>50</v>
      </c>
      <c r="J440" s="5" t="s">
        <v>5155</v>
      </c>
      <c r="K440" s="5" t="s">
        <v>1312</v>
      </c>
    </row>
    <row r="441" spans="1:11">
      <c r="A441" s="21">
        <v>439</v>
      </c>
      <c r="B441" s="5" t="s">
        <v>1313</v>
      </c>
      <c r="C441" s="23" t="s">
        <v>3898</v>
      </c>
      <c r="D441" s="23" t="s">
        <v>17</v>
      </c>
      <c r="E441" s="5" t="s">
        <v>1314</v>
      </c>
      <c r="F441" s="71" t="s">
        <v>6104</v>
      </c>
      <c r="G441" s="22" t="s">
        <v>85</v>
      </c>
      <c r="H441" s="5" t="s">
        <v>120</v>
      </c>
      <c r="I441" s="5" t="s">
        <v>21</v>
      </c>
      <c r="J441" s="5" t="s">
        <v>5409</v>
      </c>
      <c r="K441" s="5" t="s">
        <v>1315</v>
      </c>
    </row>
    <row r="442" spans="1:11">
      <c r="A442" s="21">
        <v>440</v>
      </c>
      <c r="B442" s="5" t="s">
        <v>1316</v>
      </c>
      <c r="C442" s="23" t="s">
        <v>3144</v>
      </c>
      <c r="D442" s="23" t="s">
        <v>77</v>
      </c>
      <c r="E442" s="5" t="s">
        <v>1317</v>
      </c>
      <c r="F442" s="71" t="s">
        <v>6104</v>
      </c>
      <c r="G442" s="22" t="s">
        <v>179</v>
      </c>
      <c r="H442" s="5" t="s">
        <v>3932</v>
      </c>
      <c r="I442" s="5" t="s">
        <v>21</v>
      </c>
      <c r="J442" s="5" t="s">
        <v>5035</v>
      </c>
      <c r="K442" s="5" t="s">
        <v>1318</v>
      </c>
    </row>
    <row r="443" spans="1:11">
      <c r="A443" s="21">
        <v>441</v>
      </c>
      <c r="B443" s="5" t="s">
        <v>1319</v>
      </c>
      <c r="C443" s="23" t="s">
        <v>3702</v>
      </c>
      <c r="D443" s="23" t="s">
        <v>59</v>
      </c>
      <c r="E443" s="5" t="s">
        <v>1320</v>
      </c>
      <c r="F443" s="71" t="s">
        <v>6104</v>
      </c>
      <c r="G443" s="22" t="s">
        <v>3934</v>
      </c>
      <c r="H443" s="5" t="s">
        <v>13</v>
      </c>
      <c r="I443" s="5" t="s">
        <v>42</v>
      </c>
      <c r="J443" s="5" t="s">
        <v>5680</v>
      </c>
      <c r="K443" s="5" t="s">
        <v>1321</v>
      </c>
    </row>
    <row r="444" spans="1:11">
      <c r="A444" s="21">
        <v>442</v>
      </c>
      <c r="B444" s="5" t="s">
        <v>1322</v>
      </c>
      <c r="C444" s="23" t="s">
        <v>3238</v>
      </c>
      <c r="D444" s="23" t="s">
        <v>77</v>
      </c>
      <c r="E444" s="5" t="s">
        <v>1323</v>
      </c>
      <c r="F444" s="71" t="s">
        <v>6104</v>
      </c>
      <c r="G444" s="22" t="s">
        <v>179</v>
      </c>
      <c r="H444" s="5" t="s">
        <v>3932</v>
      </c>
      <c r="I444" s="5" t="s">
        <v>21</v>
      </c>
      <c r="J444" s="5" t="s">
        <v>5024</v>
      </c>
      <c r="K444" s="5" t="s">
        <v>1324</v>
      </c>
    </row>
    <row r="445" spans="1:11">
      <c r="A445" s="21">
        <v>443</v>
      </c>
      <c r="B445" s="5" t="s">
        <v>1325</v>
      </c>
      <c r="C445" s="23" t="s">
        <v>3239</v>
      </c>
      <c r="D445" s="23" t="s">
        <v>77</v>
      </c>
      <c r="E445" s="5" t="s">
        <v>1326</v>
      </c>
      <c r="F445" s="71" t="s">
        <v>6104</v>
      </c>
      <c r="G445" s="22" t="s">
        <v>179</v>
      </c>
      <c r="H445" s="5" t="s">
        <v>3932</v>
      </c>
      <c r="I445" s="5" t="s">
        <v>50</v>
      </c>
      <c r="J445" s="5" t="s">
        <v>5710</v>
      </c>
      <c r="K445" s="5" t="s">
        <v>1327</v>
      </c>
    </row>
    <row r="446" spans="1:11">
      <c r="A446" s="21">
        <v>444</v>
      </c>
      <c r="B446" s="5" t="s">
        <v>1328</v>
      </c>
      <c r="C446" s="23" t="s">
        <v>3015</v>
      </c>
      <c r="D446" s="23" t="s">
        <v>34</v>
      </c>
      <c r="E446" s="5" t="s">
        <v>1329</v>
      </c>
      <c r="F446" s="71" t="s">
        <v>6104</v>
      </c>
      <c r="G446" s="22" t="s">
        <v>74</v>
      </c>
      <c r="H446" s="5" t="s">
        <v>71</v>
      </c>
      <c r="I446" s="5" t="s">
        <v>26</v>
      </c>
      <c r="J446" s="5" t="s">
        <v>4926</v>
      </c>
      <c r="K446" s="5" t="s">
        <v>1330</v>
      </c>
    </row>
    <row r="447" spans="1:11">
      <c r="A447" s="21">
        <v>445</v>
      </c>
      <c r="B447" s="5" t="s">
        <v>1331</v>
      </c>
      <c r="C447" s="23" t="s">
        <v>3703</v>
      </c>
      <c r="D447" s="23" t="s">
        <v>17</v>
      </c>
      <c r="E447" s="5" t="s">
        <v>1332</v>
      </c>
      <c r="F447" s="71" t="s">
        <v>6104</v>
      </c>
      <c r="G447" s="22" t="s">
        <v>3934</v>
      </c>
      <c r="H447" s="5" t="s">
        <v>13</v>
      </c>
      <c r="I447" s="5" t="s">
        <v>67</v>
      </c>
      <c r="J447" s="5" t="s">
        <v>5496</v>
      </c>
      <c r="K447" s="5" t="s">
        <v>1333</v>
      </c>
    </row>
    <row r="448" spans="1:11">
      <c r="A448" s="21">
        <v>446</v>
      </c>
      <c r="B448" s="5" t="s">
        <v>1334</v>
      </c>
      <c r="C448" s="23" t="s">
        <v>3899</v>
      </c>
      <c r="D448" s="23" t="s">
        <v>17</v>
      </c>
      <c r="E448" s="5" t="s">
        <v>1335</v>
      </c>
      <c r="F448" s="71" t="s">
        <v>6104</v>
      </c>
      <c r="G448" s="22" t="s">
        <v>85</v>
      </c>
      <c r="H448" s="5" t="s">
        <v>120</v>
      </c>
      <c r="I448" s="5" t="s">
        <v>56</v>
      </c>
      <c r="J448" s="5" t="s">
        <v>5390</v>
      </c>
      <c r="K448" s="5" t="s">
        <v>1336</v>
      </c>
    </row>
    <row r="449" spans="1:11">
      <c r="A449" s="21">
        <v>447</v>
      </c>
      <c r="B449" s="5" t="s">
        <v>1337</v>
      </c>
      <c r="C449" s="23" t="s">
        <v>3704</v>
      </c>
      <c r="D449" s="23" t="s">
        <v>59</v>
      </c>
      <c r="E449" s="5" t="s">
        <v>1338</v>
      </c>
      <c r="F449" s="71" t="s">
        <v>6104</v>
      </c>
      <c r="G449" s="22" t="s">
        <v>3934</v>
      </c>
      <c r="H449" s="5" t="s">
        <v>13</v>
      </c>
      <c r="I449" s="5" t="s">
        <v>50</v>
      </c>
      <c r="J449" s="5" t="s">
        <v>5377</v>
      </c>
      <c r="K449" s="5" t="s">
        <v>1339</v>
      </c>
    </row>
    <row r="450" spans="1:11">
      <c r="A450" s="21">
        <v>448</v>
      </c>
      <c r="B450" s="5" t="s">
        <v>1340</v>
      </c>
      <c r="C450" s="23" t="s">
        <v>3482</v>
      </c>
      <c r="D450" s="23" t="s">
        <v>77</v>
      </c>
      <c r="E450" s="5" t="s">
        <v>1341</v>
      </c>
      <c r="F450" s="71" t="s">
        <v>6104</v>
      </c>
      <c r="G450" s="22" t="s">
        <v>160</v>
      </c>
      <c r="H450" s="5" t="s">
        <v>3932</v>
      </c>
      <c r="I450" s="5" t="s">
        <v>56</v>
      </c>
      <c r="J450" s="5" t="s">
        <v>4933</v>
      </c>
      <c r="K450" s="5" t="s">
        <v>1342</v>
      </c>
    </row>
    <row r="451" spans="1:11">
      <c r="A451" s="21">
        <v>449</v>
      </c>
      <c r="B451" s="5" t="s">
        <v>1343</v>
      </c>
      <c r="C451" s="23" t="s">
        <v>3900</v>
      </c>
      <c r="D451" s="23" t="s">
        <v>17</v>
      </c>
      <c r="E451" s="5" t="s">
        <v>1344</v>
      </c>
      <c r="F451" s="71" t="s">
        <v>6104</v>
      </c>
      <c r="G451" s="22" t="s">
        <v>85</v>
      </c>
      <c r="H451" s="5" t="s">
        <v>86</v>
      </c>
      <c r="I451" s="5" t="s">
        <v>56</v>
      </c>
      <c r="J451" s="5" t="s">
        <v>4972</v>
      </c>
      <c r="K451" s="5" t="s">
        <v>1345</v>
      </c>
    </row>
    <row r="452" spans="1:11">
      <c r="A452" s="21">
        <v>450</v>
      </c>
      <c r="B452" s="5" t="s">
        <v>3949</v>
      </c>
      <c r="C452" s="23" t="s">
        <v>3829</v>
      </c>
      <c r="D452" s="23" t="s">
        <v>59</v>
      </c>
      <c r="E452" s="5" t="s">
        <v>1346</v>
      </c>
      <c r="F452" s="71" t="s">
        <v>6104</v>
      </c>
      <c r="G452" s="22" t="s">
        <v>144</v>
      </c>
      <c r="H452" s="5" t="s">
        <v>25</v>
      </c>
      <c r="I452" s="5" t="s">
        <v>56</v>
      </c>
      <c r="J452" s="5" t="s">
        <v>4942</v>
      </c>
      <c r="K452" s="5" t="s">
        <v>1347</v>
      </c>
    </row>
    <row r="453" spans="1:11">
      <c r="A453" s="21">
        <v>451</v>
      </c>
      <c r="B453" s="5" t="s">
        <v>1348</v>
      </c>
      <c r="C453" s="23" t="s">
        <v>2961</v>
      </c>
      <c r="D453" s="23" t="s">
        <v>17</v>
      </c>
      <c r="E453" s="5" t="s">
        <v>1349</v>
      </c>
      <c r="F453" s="71" t="s">
        <v>6104</v>
      </c>
      <c r="G453" s="22" t="s">
        <v>40</v>
      </c>
      <c r="H453" s="5" t="s">
        <v>71</v>
      </c>
      <c r="I453" s="5" t="s">
        <v>50</v>
      </c>
      <c r="J453" s="5" t="s">
        <v>5746</v>
      </c>
      <c r="K453" s="5" t="s">
        <v>1350</v>
      </c>
    </row>
    <row r="454" spans="1:11">
      <c r="A454" s="21">
        <v>452</v>
      </c>
      <c r="B454" s="5" t="s">
        <v>1351</v>
      </c>
      <c r="C454" s="23" t="s">
        <v>3830</v>
      </c>
      <c r="D454" s="23" t="s">
        <v>59</v>
      </c>
      <c r="E454" s="5" t="s">
        <v>1352</v>
      </c>
      <c r="F454" s="71" t="s">
        <v>6104</v>
      </c>
      <c r="G454" s="22" t="s">
        <v>144</v>
      </c>
      <c r="H454" s="5" t="s">
        <v>46</v>
      </c>
      <c r="I454" s="5" t="s">
        <v>67</v>
      </c>
      <c r="J454" s="5" t="s">
        <v>5715</v>
      </c>
      <c r="K454" s="5" t="s">
        <v>1353</v>
      </c>
    </row>
    <row r="455" spans="1:11">
      <c r="A455" s="21">
        <v>453</v>
      </c>
      <c r="B455" s="5" t="s">
        <v>1354</v>
      </c>
      <c r="C455" s="23" t="s">
        <v>3370</v>
      </c>
      <c r="D455" s="23" t="s">
        <v>34</v>
      </c>
      <c r="E455" s="5" t="s">
        <v>1355</v>
      </c>
      <c r="F455" s="71" t="s">
        <v>6104</v>
      </c>
      <c r="G455" s="22" t="s">
        <v>3933</v>
      </c>
      <c r="H455" s="5" t="s">
        <v>3932</v>
      </c>
      <c r="I455" s="5" t="s">
        <v>26</v>
      </c>
      <c r="J455" s="5" t="s">
        <v>5459</v>
      </c>
      <c r="K455" s="5" t="s">
        <v>1356</v>
      </c>
    </row>
    <row r="456" spans="1:11">
      <c r="A456" s="21">
        <v>454</v>
      </c>
      <c r="B456" s="5" t="s">
        <v>1357</v>
      </c>
      <c r="C456" s="23" t="s">
        <v>3145</v>
      </c>
      <c r="D456" s="23" t="s">
        <v>77</v>
      </c>
      <c r="E456" s="5" t="s">
        <v>1358</v>
      </c>
      <c r="F456" s="71" t="s">
        <v>6104</v>
      </c>
      <c r="G456" s="22" t="s">
        <v>179</v>
      </c>
      <c r="H456" s="22" t="s">
        <v>3932</v>
      </c>
      <c r="I456" s="5" t="s">
        <v>56</v>
      </c>
      <c r="J456" s="5" t="s">
        <v>5247</v>
      </c>
      <c r="K456" s="5" t="s">
        <v>1359</v>
      </c>
    </row>
    <row r="457" spans="1:11">
      <c r="A457" s="21">
        <v>455</v>
      </c>
      <c r="B457" s="5" t="s">
        <v>1360</v>
      </c>
      <c r="C457" s="23" t="s">
        <v>3901</v>
      </c>
      <c r="D457" s="23" t="s">
        <v>17</v>
      </c>
      <c r="E457" s="5" t="s">
        <v>1361</v>
      </c>
      <c r="F457" s="71" t="s">
        <v>6104</v>
      </c>
      <c r="G457" s="22" t="s">
        <v>119</v>
      </c>
      <c r="H457" s="5" t="s">
        <v>86</v>
      </c>
      <c r="I457" s="5" t="s">
        <v>56</v>
      </c>
      <c r="J457" s="5" t="s">
        <v>5000</v>
      </c>
      <c r="K457" s="5" t="s">
        <v>1362</v>
      </c>
    </row>
    <row r="458" spans="1:11">
      <c r="A458" s="21">
        <v>456</v>
      </c>
      <c r="B458" s="5" t="s">
        <v>1363</v>
      </c>
      <c r="C458" s="23" t="s">
        <v>3146</v>
      </c>
      <c r="D458" s="23" t="s">
        <v>77</v>
      </c>
      <c r="E458" s="5" t="s">
        <v>1364</v>
      </c>
      <c r="F458" s="71" t="s">
        <v>6104</v>
      </c>
      <c r="G458" s="22" t="s">
        <v>179</v>
      </c>
      <c r="H458" s="5" t="s">
        <v>3932</v>
      </c>
      <c r="I458" s="5" t="s">
        <v>21</v>
      </c>
      <c r="J458" s="5" t="s">
        <v>5455</v>
      </c>
      <c r="K458" s="5" t="s">
        <v>1365</v>
      </c>
    </row>
    <row r="459" spans="1:11">
      <c r="A459" s="21">
        <v>457</v>
      </c>
      <c r="B459" s="5" t="s">
        <v>1366</v>
      </c>
      <c r="C459" s="23" t="s">
        <v>3371</v>
      </c>
      <c r="D459" s="23" t="s">
        <v>34</v>
      </c>
      <c r="E459" s="5" t="s">
        <v>1367</v>
      </c>
      <c r="F459" s="71" t="s">
        <v>6104</v>
      </c>
      <c r="G459" s="22" t="s">
        <v>3933</v>
      </c>
      <c r="H459" s="5" t="s">
        <v>3932</v>
      </c>
      <c r="I459" s="5" t="s">
        <v>67</v>
      </c>
      <c r="J459" s="5" t="s">
        <v>5203</v>
      </c>
      <c r="K459" s="5" t="s">
        <v>1368</v>
      </c>
    </row>
    <row r="460" spans="1:11">
      <c r="A460" s="21">
        <v>458</v>
      </c>
      <c r="B460" s="5" t="s">
        <v>1369</v>
      </c>
      <c r="C460" s="23" t="s">
        <v>3902</v>
      </c>
      <c r="D460" s="23" t="s">
        <v>17</v>
      </c>
      <c r="E460" s="5" t="s">
        <v>1370</v>
      </c>
      <c r="F460" s="71" t="s">
        <v>6104</v>
      </c>
      <c r="G460" s="22" t="s">
        <v>85</v>
      </c>
      <c r="H460" s="5" t="s">
        <v>120</v>
      </c>
      <c r="I460" s="5" t="s">
        <v>42</v>
      </c>
      <c r="J460" s="5" t="s">
        <v>5662</v>
      </c>
      <c r="K460" s="5" t="s">
        <v>1371</v>
      </c>
    </row>
    <row r="461" spans="1:11">
      <c r="A461" s="21">
        <v>459</v>
      </c>
      <c r="B461" s="5" t="s">
        <v>1372</v>
      </c>
      <c r="C461" s="23" t="s">
        <v>3831</v>
      </c>
      <c r="D461" s="23" t="s">
        <v>59</v>
      </c>
      <c r="E461" s="5" t="s">
        <v>1373</v>
      </c>
      <c r="F461" s="71" t="s">
        <v>6104</v>
      </c>
      <c r="G461" s="22" t="s">
        <v>144</v>
      </c>
      <c r="H461" s="5" t="s">
        <v>25</v>
      </c>
      <c r="I461" s="5" t="s">
        <v>67</v>
      </c>
      <c r="J461" s="5" t="s">
        <v>5641</v>
      </c>
      <c r="K461" s="5" t="s">
        <v>1374</v>
      </c>
    </row>
    <row r="462" spans="1:11">
      <c r="A462" s="21">
        <v>460</v>
      </c>
      <c r="B462" s="5" t="s">
        <v>1375</v>
      </c>
      <c r="C462" s="23" t="s">
        <v>3372</v>
      </c>
      <c r="D462" s="23" t="s">
        <v>34</v>
      </c>
      <c r="E462" s="5" t="s">
        <v>1376</v>
      </c>
      <c r="F462" s="71" t="s">
        <v>6104</v>
      </c>
      <c r="G462" s="22" t="s">
        <v>3933</v>
      </c>
      <c r="H462" s="5" t="s">
        <v>3932</v>
      </c>
      <c r="I462" s="5" t="s">
        <v>14</v>
      </c>
      <c r="J462" s="5" t="s">
        <v>4980</v>
      </c>
      <c r="K462" s="5" t="s">
        <v>1377</v>
      </c>
    </row>
    <row r="463" spans="1:11">
      <c r="A463" s="21">
        <v>461</v>
      </c>
      <c r="B463" s="5" t="s">
        <v>1378</v>
      </c>
      <c r="C463" s="23" t="s">
        <v>3373</v>
      </c>
      <c r="D463" s="23" t="s">
        <v>34</v>
      </c>
      <c r="E463" s="5" t="s">
        <v>1379</v>
      </c>
      <c r="F463" s="71" t="s">
        <v>6104</v>
      </c>
      <c r="G463" s="22" t="s">
        <v>3933</v>
      </c>
      <c r="H463" s="5" t="s">
        <v>3932</v>
      </c>
      <c r="I463" s="5" t="s">
        <v>56</v>
      </c>
      <c r="J463" s="5" t="s">
        <v>5017</v>
      </c>
      <c r="K463" s="5" t="s">
        <v>1380</v>
      </c>
    </row>
    <row r="464" spans="1:11">
      <c r="A464" s="21">
        <v>462</v>
      </c>
      <c r="B464" s="5" t="s">
        <v>1381</v>
      </c>
      <c r="C464" s="23" t="s">
        <v>3483</v>
      </c>
      <c r="D464" s="23" t="s">
        <v>77</v>
      </c>
      <c r="E464" s="5" t="s">
        <v>1041</v>
      </c>
      <c r="F464" s="71" t="s">
        <v>6104</v>
      </c>
      <c r="G464" s="22" t="s">
        <v>160</v>
      </c>
      <c r="H464" s="5" t="s">
        <v>3932</v>
      </c>
      <c r="I464" s="5" t="s">
        <v>50</v>
      </c>
      <c r="J464" s="5" t="s">
        <v>5174</v>
      </c>
      <c r="K464" s="5" t="s">
        <v>1382</v>
      </c>
    </row>
    <row r="465" spans="1:11">
      <c r="A465" s="21">
        <v>463</v>
      </c>
      <c r="B465" s="5" t="s">
        <v>1383</v>
      </c>
      <c r="C465" s="23" t="s">
        <v>3016</v>
      </c>
      <c r="D465" s="23" t="s">
        <v>34</v>
      </c>
      <c r="E465" s="5" t="s">
        <v>1384</v>
      </c>
      <c r="F465" s="71" t="s">
        <v>6104</v>
      </c>
      <c r="G465" s="22" t="s">
        <v>74</v>
      </c>
      <c r="H465" s="5" t="s">
        <v>71</v>
      </c>
      <c r="I465" s="5" t="s">
        <v>26</v>
      </c>
      <c r="J465" s="5" t="s">
        <v>5608</v>
      </c>
      <c r="K465" s="5" t="s">
        <v>1385</v>
      </c>
    </row>
    <row r="466" spans="1:11">
      <c r="A466" s="21">
        <v>464</v>
      </c>
      <c r="B466" s="5" t="s">
        <v>3950</v>
      </c>
      <c r="C466" s="23" t="s">
        <v>3374</v>
      </c>
      <c r="D466" s="23" t="s">
        <v>34</v>
      </c>
      <c r="E466" s="5" t="s">
        <v>1386</v>
      </c>
      <c r="F466" s="71" t="s">
        <v>6104</v>
      </c>
      <c r="G466" s="22" t="s">
        <v>3933</v>
      </c>
      <c r="H466" s="5" t="s">
        <v>3932</v>
      </c>
      <c r="I466" s="5" t="s">
        <v>21</v>
      </c>
      <c r="J466" s="5" t="s">
        <v>5426</v>
      </c>
      <c r="K466" s="5" t="s">
        <v>1387</v>
      </c>
    </row>
    <row r="467" spans="1:11">
      <c r="A467" s="21">
        <v>465</v>
      </c>
      <c r="B467" s="5" t="s">
        <v>1388</v>
      </c>
      <c r="C467" s="23" t="s">
        <v>3832</v>
      </c>
      <c r="D467" s="23" t="s">
        <v>59</v>
      </c>
      <c r="E467" s="5" t="s">
        <v>1389</v>
      </c>
      <c r="F467" s="71" t="s">
        <v>6104</v>
      </c>
      <c r="G467" s="22" t="s">
        <v>144</v>
      </c>
      <c r="H467" s="5" t="s">
        <v>25</v>
      </c>
      <c r="I467" s="5" t="s">
        <v>67</v>
      </c>
      <c r="J467" s="5" t="s">
        <v>5531</v>
      </c>
      <c r="K467" s="5">
        <v>89756465586</v>
      </c>
    </row>
    <row r="468" spans="1:11">
      <c r="A468" s="21">
        <v>466</v>
      </c>
      <c r="B468" s="5" t="s">
        <v>1390</v>
      </c>
      <c r="C468" s="23" t="s">
        <v>3017</v>
      </c>
      <c r="D468" s="23" t="s">
        <v>34</v>
      </c>
      <c r="E468" s="5" t="s">
        <v>1391</v>
      </c>
      <c r="F468" s="71" t="s">
        <v>6104</v>
      </c>
      <c r="G468" s="22" t="s">
        <v>179</v>
      </c>
      <c r="H468" s="5" t="s">
        <v>3932</v>
      </c>
      <c r="I468" s="5" t="s">
        <v>56</v>
      </c>
      <c r="J468" s="5" t="s">
        <v>5543</v>
      </c>
      <c r="K468" s="5" t="s">
        <v>1392</v>
      </c>
    </row>
    <row r="469" spans="1:11">
      <c r="A469" s="21">
        <v>467</v>
      </c>
      <c r="B469" s="5" t="s">
        <v>1393</v>
      </c>
      <c r="C469" s="23" t="s">
        <v>3240</v>
      </c>
      <c r="D469" s="23" t="s">
        <v>77</v>
      </c>
      <c r="E469" s="5" t="s">
        <v>1394</v>
      </c>
      <c r="F469" s="71" t="s">
        <v>6104</v>
      </c>
      <c r="G469" s="22" t="s">
        <v>179</v>
      </c>
      <c r="H469" s="5" t="s">
        <v>3932</v>
      </c>
      <c r="I469" s="5" t="s">
        <v>42</v>
      </c>
      <c r="J469" s="5" t="s">
        <v>4881</v>
      </c>
      <c r="K469" s="5" t="s">
        <v>1395</v>
      </c>
    </row>
    <row r="470" spans="1:11">
      <c r="A470" s="21">
        <v>468</v>
      </c>
      <c r="B470" s="5" t="s">
        <v>1396</v>
      </c>
      <c r="C470" s="23" t="s">
        <v>3241</v>
      </c>
      <c r="D470" s="23" t="s">
        <v>77</v>
      </c>
      <c r="E470" s="5" t="s">
        <v>1397</v>
      </c>
      <c r="F470" s="71" t="s">
        <v>6104</v>
      </c>
      <c r="G470" s="22" t="s">
        <v>179</v>
      </c>
      <c r="H470" s="5" t="s">
        <v>3932</v>
      </c>
      <c r="I470" s="5" t="s">
        <v>67</v>
      </c>
      <c r="J470" s="5" t="s">
        <v>5301</v>
      </c>
      <c r="K470" s="5" t="s">
        <v>1398</v>
      </c>
    </row>
    <row r="471" spans="1:11">
      <c r="A471" s="21">
        <v>469</v>
      </c>
      <c r="B471" s="5" t="s">
        <v>1399</v>
      </c>
      <c r="C471" s="23" t="s">
        <v>3903</v>
      </c>
      <c r="D471" s="23" t="s">
        <v>17</v>
      </c>
      <c r="E471" s="5" t="s">
        <v>1400</v>
      </c>
      <c r="F471" s="71" t="s">
        <v>6104</v>
      </c>
      <c r="G471" s="22" t="s">
        <v>119</v>
      </c>
      <c r="H471" s="5" t="s">
        <v>86</v>
      </c>
      <c r="I471" s="5" t="s">
        <v>26</v>
      </c>
      <c r="J471" s="5" t="s">
        <v>5474</v>
      </c>
      <c r="K471" s="5" t="s">
        <v>1401</v>
      </c>
    </row>
    <row r="472" spans="1:11">
      <c r="A472" s="21">
        <v>470</v>
      </c>
      <c r="B472" s="5" t="s">
        <v>1402</v>
      </c>
      <c r="C472" s="23" t="s">
        <v>3093</v>
      </c>
      <c r="D472" s="23" t="s">
        <v>77</v>
      </c>
      <c r="E472" s="5" t="s">
        <v>1403</v>
      </c>
      <c r="F472" s="71" t="s">
        <v>6104</v>
      </c>
      <c r="G472" s="22" t="s">
        <v>179</v>
      </c>
      <c r="H472" s="5" t="s">
        <v>3932</v>
      </c>
      <c r="I472" s="5" t="s">
        <v>21</v>
      </c>
      <c r="J472" s="5" t="s">
        <v>5525</v>
      </c>
      <c r="K472" s="5" t="s">
        <v>1404</v>
      </c>
    </row>
    <row r="473" spans="1:11">
      <c r="A473" s="21">
        <v>471</v>
      </c>
      <c r="B473" s="5" t="s">
        <v>1405</v>
      </c>
      <c r="C473" s="23" t="s">
        <v>3147</v>
      </c>
      <c r="D473" s="23" t="s">
        <v>77</v>
      </c>
      <c r="E473" s="5" t="s">
        <v>1406</v>
      </c>
      <c r="F473" s="71" t="s">
        <v>6104</v>
      </c>
      <c r="G473" s="22" t="s">
        <v>179</v>
      </c>
      <c r="H473" s="22" t="s">
        <v>179</v>
      </c>
      <c r="I473" s="5" t="s">
        <v>50</v>
      </c>
      <c r="J473" s="5" t="s">
        <v>4907</v>
      </c>
      <c r="K473" s="5" t="s">
        <v>1407</v>
      </c>
    </row>
    <row r="474" spans="1:11">
      <c r="A474" s="21">
        <v>472</v>
      </c>
      <c r="B474" s="5" t="s">
        <v>1408</v>
      </c>
      <c r="C474" s="23" t="s">
        <v>3375</v>
      </c>
      <c r="D474" s="23" t="s">
        <v>34</v>
      </c>
      <c r="E474" s="5" t="s">
        <v>1409</v>
      </c>
      <c r="F474" s="71" t="s">
        <v>6104</v>
      </c>
      <c r="G474" s="22" t="s">
        <v>3933</v>
      </c>
      <c r="H474" s="5" t="s">
        <v>3932</v>
      </c>
      <c r="I474" s="5" t="s">
        <v>67</v>
      </c>
      <c r="J474" s="5" t="s">
        <v>5460</v>
      </c>
      <c r="K474" s="5" t="s">
        <v>1410</v>
      </c>
    </row>
    <row r="475" spans="1:11">
      <c r="A475" s="21">
        <v>473</v>
      </c>
      <c r="B475" s="5" t="s">
        <v>1411</v>
      </c>
      <c r="C475" s="23" t="s">
        <v>3904</v>
      </c>
      <c r="D475" s="23" t="s">
        <v>17</v>
      </c>
      <c r="E475" s="5" t="s">
        <v>1412</v>
      </c>
      <c r="F475" s="71" t="s">
        <v>6104</v>
      </c>
      <c r="G475" s="22" t="s">
        <v>119</v>
      </c>
      <c r="H475" s="5" t="s">
        <v>120</v>
      </c>
      <c r="I475" s="5" t="s">
        <v>14</v>
      </c>
      <c r="J475" s="5" t="s">
        <v>4785</v>
      </c>
      <c r="K475" s="5" t="s">
        <v>1413</v>
      </c>
    </row>
    <row r="476" spans="1:11">
      <c r="A476" s="21">
        <v>474</v>
      </c>
      <c r="B476" s="5" t="s">
        <v>1414</v>
      </c>
      <c r="C476" s="23" t="s">
        <v>3705</v>
      </c>
      <c r="D476" s="23" t="s">
        <v>59</v>
      </c>
      <c r="E476" s="5" t="s">
        <v>1415</v>
      </c>
      <c r="F476" s="71" t="s">
        <v>6104</v>
      </c>
      <c r="G476" s="22" t="s">
        <v>3934</v>
      </c>
      <c r="H476" s="5" t="s">
        <v>13</v>
      </c>
      <c r="I476" s="5" t="s">
        <v>14</v>
      </c>
      <c r="J476" s="5" t="s">
        <v>5617</v>
      </c>
      <c r="K476" s="5" t="s">
        <v>1416</v>
      </c>
    </row>
    <row r="477" spans="1:11">
      <c r="A477" s="21">
        <v>475</v>
      </c>
      <c r="B477" s="5" t="s">
        <v>1417</v>
      </c>
      <c r="C477" s="23" t="s">
        <v>3787</v>
      </c>
      <c r="D477" s="23" t="s">
        <v>17</v>
      </c>
      <c r="E477" s="5" t="s">
        <v>1418</v>
      </c>
      <c r="F477" s="71" t="s">
        <v>6104</v>
      </c>
      <c r="G477" s="22" t="s">
        <v>24</v>
      </c>
      <c r="H477" s="5" t="s">
        <v>46</v>
      </c>
      <c r="I477" s="5" t="s">
        <v>14</v>
      </c>
      <c r="J477" s="5" t="s">
        <v>5735</v>
      </c>
      <c r="K477" s="5">
        <v>870743713</v>
      </c>
    </row>
    <row r="478" spans="1:11">
      <c r="A478" s="21">
        <v>476</v>
      </c>
      <c r="B478" s="5" t="s">
        <v>1419</v>
      </c>
      <c r="C478" s="23" t="s">
        <v>3376</v>
      </c>
      <c r="D478" s="23" t="s">
        <v>34</v>
      </c>
      <c r="E478" s="5" t="s">
        <v>1420</v>
      </c>
      <c r="F478" s="71" t="s">
        <v>6104</v>
      </c>
      <c r="G478" s="22" t="s">
        <v>3933</v>
      </c>
      <c r="H478" s="5" t="s">
        <v>3932</v>
      </c>
      <c r="I478" s="5" t="s">
        <v>14</v>
      </c>
      <c r="J478" s="5" t="s">
        <v>5744</v>
      </c>
      <c r="K478" s="5" t="s">
        <v>1421</v>
      </c>
    </row>
    <row r="479" spans="1:11">
      <c r="A479" s="21">
        <v>477</v>
      </c>
      <c r="B479" s="5" t="s">
        <v>1422</v>
      </c>
      <c r="C479" s="23" t="s">
        <v>3484</v>
      </c>
      <c r="D479" s="23" t="s">
        <v>77</v>
      </c>
      <c r="E479" s="5" t="s">
        <v>1423</v>
      </c>
      <c r="F479" s="71" t="s">
        <v>6104</v>
      </c>
      <c r="G479" s="22" t="s">
        <v>160</v>
      </c>
      <c r="H479" s="5" t="s">
        <v>3932</v>
      </c>
      <c r="I479" s="5" t="s">
        <v>67</v>
      </c>
      <c r="J479" s="5" t="s">
        <v>4929</v>
      </c>
      <c r="K479" s="5" t="s">
        <v>1424</v>
      </c>
    </row>
    <row r="480" spans="1:11">
      <c r="A480" s="21">
        <v>478</v>
      </c>
      <c r="B480" s="5" t="s">
        <v>1425</v>
      </c>
      <c r="C480" s="23" t="s">
        <v>3706</v>
      </c>
      <c r="D480" s="23" t="s">
        <v>59</v>
      </c>
      <c r="E480" s="5" t="s">
        <v>1426</v>
      </c>
      <c r="F480" s="71" t="s">
        <v>6104</v>
      </c>
      <c r="G480" s="22" t="s">
        <v>3934</v>
      </c>
      <c r="H480" s="5" t="s">
        <v>13</v>
      </c>
      <c r="I480" s="5" t="s">
        <v>21</v>
      </c>
      <c r="J480" s="5" t="s">
        <v>5172</v>
      </c>
      <c r="K480" s="5" t="s">
        <v>1427</v>
      </c>
    </row>
    <row r="481" spans="1:11">
      <c r="A481" s="21">
        <v>479</v>
      </c>
      <c r="B481" s="5" t="s">
        <v>1428</v>
      </c>
      <c r="C481" s="23" t="s">
        <v>3377</v>
      </c>
      <c r="D481" s="23" t="s">
        <v>34</v>
      </c>
      <c r="E481" s="5" t="s">
        <v>1429</v>
      </c>
      <c r="F481" s="71" t="s">
        <v>6104</v>
      </c>
      <c r="G481" s="22" t="s">
        <v>3933</v>
      </c>
      <c r="H481" s="5" t="s">
        <v>3932</v>
      </c>
      <c r="I481" s="5" t="s">
        <v>67</v>
      </c>
      <c r="J481" s="5" t="s">
        <v>5683</v>
      </c>
      <c r="K481" s="5" t="s">
        <v>1430</v>
      </c>
    </row>
    <row r="482" spans="1:11">
      <c r="A482" s="21">
        <v>480</v>
      </c>
      <c r="B482" s="5" t="s">
        <v>1431</v>
      </c>
      <c r="C482" s="23" t="s">
        <v>3242</v>
      </c>
      <c r="D482" s="23" t="s">
        <v>77</v>
      </c>
      <c r="E482" s="5" t="s">
        <v>1432</v>
      </c>
      <c r="F482" s="71" t="s">
        <v>6104</v>
      </c>
      <c r="G482" s="22" t="s">
        <v>179</v>
      </c>
      <c r="H482" s="5" t="s">
        <v>3932</v>
      </c>
      <c r="I482" s="5" t="s">
        <v>21</v>
      </c>
      <c r="J482" s="5" t="s">
        <v>5598</v>
      </c>
      <c r="K482" s="5" t="s">
        <v>1433</v>
      </c>
    </row>
    <row r="483" spans="1:11">
      <c r="A483" s="21">
        <v>481</v>
      </c>
      <c r="B483" s="5" t="s">
        <v>1434</v>
      </c>
      <c r="C483" s="23" t="s">
        <v>3707</v>
      </c>
      <c r="D483" s="23" t="s">
        <v>59</v>
      </c>
      <c r="E483" s="5" t="s">
        <v>1435</v>
      </c>
      <c r="F483" s="71" t="s">
        <v>6104</v>
      </c>
      <c r="G483" s="22" t="s">
        <v>3934</v>
      </c>
      <c r="H483" s="5" t="s">
        <v>13</v>
      </c>
      <c r="I483" s="5" t="s">
        <v>14</v>
      </c>
      <c r="J483" s="5" t="s">
        <v>4820</v>
      </c>
      <c r="K483" s="5" t="s">
        <v>1436</v>
      </c>
    </row>
    <row r="484" spans="1:11">
      <c r="A484" s="21">
        <v>482</v>
      </c>
      <c r="B484" s="5" t="s">
        <v>1437</v>
      </c>
      <c r="C484" s="23" t="s">
        <v>3905</v>
      </c>
      <c r="D484" s="23" t="s">
        <v>17</v>
      </c>
      <c r="E484" s="5" t="s">
        <v>1438</v>
      </c>
      <c r="F484" s="71" t="s">
        <v>6104</v>
      </c>
      <c r="G484" s="22" t="s">
        <v>85</v>
      </c>
      <c r="H484" s="5" t="s">
        <v>86</v>
      </c>
      <c r="I484" s="5" t="s">
        <v>26</v>
      </c>
      <c r="J484" s="5" t="s">
        <v>5122</v>
      </c>
      <c r="K484" s="5" t="s">
        <v>1439</v>
      </c>
    </row>
    <row r="485" spans="1:11">
      <c r="A485" s="21">
        <v>483</v>
      </c>
      <c r="B485" s="5" t="s">
        <v>1440</v>
      </c>
      <c r="C485" s="23" t="s">
        <v>3617</v>
      </c>
      <c r="D485" s="23" t="s">
        <v>59</v>
      </c>
      <c r="E485" s="5" t="s">
        <v>1441</v>
      </c>
      <c r="F485" s="71" t="s">
        <v>6104</v>
      </c>
      <c r="G485" s="22" t="s">
        <v>179</v>
      </c>
      <c r="H485" s="5" t="s">
        <v>13</v>
      </c>
      <c r="I485" s="5" t="s">
        <v>42</v>
      </c>
      <c r="J485" s="5" t="s">
        <v>5649</v>
      </c>
      <c r="K485" s="5" t="s">
        <v>1442</v>
      </c>
    </row>
    <row r="486" spans="1:11">
      <c r="A486" s="21">
        <v>484</v>
      </c>
      <c r="B486" s="5" t="s">
        <v>1443</v>
      </c>
      <c r="C486" s="23" t="s">
        <v>3148</v>
      </c>
      <c r="D486" s="23" t="s">
        <v>77</v>
      </c>
      <c r="E486" s="5" t="s">
        <v>1444</v>
      </c>
      <c r="F486" s="71" t="s">
        <v>6104</v>
      </c>
      <c r="G486" s="22" t="s">
        <v>179</v>
      </c>
      <c r="H486" s="22" t="s">
        <v>179</v>
      </c>
      <c r="I486" s="5" t="s">
        <v>14</v>
      </c>
      <c r="J486" s="5" t="s">
        <v>4910</v>
      </c>
      <c r="K486" s="5" t="s">
        <v>1445</v>
      </c>
    </row>
    <row r="487" spans="1:11">
      <c r="A487" s="21">
        <v>485</v>
      </c>
      <c r="B487" s="5" t="s">
        <v>1446</v>
      </c>
      <c r="C487" s="23" t="s">
        <v>3906</v>
      </c>
      <c r="D487" s="23" t="s">
        <v>17</v>
      </c>
      <c r="E487" s="5" t="s">
        <v>1447</v>
      </c>
      <c r="F487" s="71" t="s">
        <v>6104</v>
      </c>
      <c r="G487" s="22" t="s">
        <v>119</v>
      </c>
      <c r="H487" s="5" t="s">
        <v>120</v>
      </c>
      <c r="I487" s="5" t="s">
        <v>50</v>
      </c>
      <c r="J487" s="5" t="s">
        <v>5133</v>
      </c>
      <c r="K487" s="5" t="s">
        <v>1448</v>
      </c>
    </row>
    <row r="488" spans="1:11">
      <c r="A488" s="21">
        <v>486</v>
      </c>
      <c r="B488" s="5" t="s">
        <v>1449</v>
      </c>
      <c r="C488" s="23" t="s">
        <v>3149</v>
      </c>
      <c r="D488" s="23" t="s">
        <v>77</v>
      </c>
      <c r="E488" s="5" t="s">
        <v>1450</v>
      </c>
      <c r="F488" s="71" t="s">
        <v>6104</v>
      </c>
      <c r="G488" s="22" t="s">
        <v>179</v>
      </c>
      <c r="H488" s="22" t="s">
        <v>179</v>
      </c>
      <c r="I488" s="5" t="s">
        <v>21</v>
      </c>
      <c r="J488" s="5" t="s">
        <v>5278</v>
      </c>
      <c r="K488" s="5" t="s">
        <v>1451</v>
      </c>
    </row>
    <row r="489" spans="1:11">
      <c r="A489" s="21">
        <v>487</v>
      </c>
      <c r="B489" s="5" t="s">
        <v>1452</v>
      </c>
      <c r="C489" s="23" t="s">
        <v>3833</v>
      </c>
      <c r="D489" s="23" t="s">
        <v>59</v>
      </c>
      <c r="E489" s="5" t="s">
        <v>1453</v>
      </c>
      <c r="F489" s="71" t="s">
        <v>6104</v>
      </c>
      <c r="G489" s="22" t="s">
        <v>144</v>
      </c>
      <c r="H489" s="5" t="s">
        <v>25</v>
      </c>
      <c r="I489" s="5" t="s">
        <v>67</v>
      </c>
      <c r="J489" s="5" t="s">
        <v>5632</v>
      </c>
      <c r="K489" s="5" t="s">
        <v>1454</v>
      </c>
    </row>
    <row r="490" spans="1:11">
      <c r="A490" s="21">
        <v>488</v>
      </c>
      <c r="B490" s="5" t="s">
        <v>1455</v>
      </c>
      <c r="C490" s="23" t="s">
        <v>3150</v>
      </c>
      <c r="D490" s="23" t="s">
        <v>77</v>
      </c>
      <c r="E490" s="5" t="s">
        <v>1456</v>
      </c>
      <c r="F490" s="71" t="s">
        <v>6104</v>
      </c>
      <c r="G490" s="22" t="s">
        <v>179</v>
      </c>
      <c r="H490" s="5" t="s">
        <v>3932</v>
      </c>
      <c r="I490" s="5" t="s">
        <v>21</v>
      </c>
      <c r="J490" s="5" t="s">
        <v>5676</v>
      </c>
      <c r="K490" s="5" t="s">
        <v>1457</v>
      </c>
    </row>
    <row r="491" spans="1:11">
      <c r="A491" s="21">
        <v>489</v>
      </c>
      <c r="B491" s="5" t="s">
        <v>1458</v>
      </c>
      <c r="C491" s="23" t="s">
        <v>3018</v>
      </c>
      <c r="D491" s="23" t="s">
        <v>34</v>
      </c>
      <c r="E491" s="5" t="s">
        <v>1459</v>
      </c>
      <c r="F491" s="71" t="s">
        <v>6104</v>
      </c>
      <c r="G491" s="22" t="s">
        <v>40</v>
      </c>
      <c r="H491" s="5" t="s">
        <v>71</v>
      </c>
      <c r="I491" s="5" t="s">
        <v>21</v>
      </c>
      <c r="J491" s="5" t="s">
        <v>5208</v>
      </c>
      <c r="K491" s="5" t="s">
        <v>1460</v>
      </c>
    </row>
    <row r="492" spans="1:11">
      <c r="A492" s="21">
        <v>490</v>
      </c>
      <c r="B492" s="5" t="s">
        <v>1461</v>
      </c>
      <c r="C492" s="23" t="s">
        <v>3834</v>
      </c>
      <c r="D492" s="23" t="s">
        <v>59</v>
      </c>
      <c r="E492" s="5" t="s">
        <v>1462</v>
      </c>
      <c r="F492" s="71" t="s">
        <v>6104</v>
      </c>
      <c r="G492" s="22" t="s">
        <v>144</v>
      </c>
      <c r="H492" s="5" t="s">
        <v>46</v>
      </c>
      <c r="I492" s="5" t="s">
        <v>21</v>
      </c>
      <c r="J492" s="5" t="s">
        <v>4885</v>
      </c>
      <c r="K492" s="5" t="s">
        <v>1463</v>
      </c>
    </row>
    <row r="493" spans="1:11">
      <c r="A493" s="21">
        <v>491</v>
      </c>
      <c r="B493" s="5" t="s">
        <v>1464</v>
      </c>
      <c r="C493" s="23" t="s">
        <v>3378</v>
      </c>
      <c r="D493" s="23" t="s">
        <v>34</v>
      </c>
      <c r="E493" s="5" t="s">
        <v>1465</v>
      </c>
      <c r="F493" s="71" t="s">
        <v>6104</v>
      </c>
      <c r="G493" s="22" t="s">
        <v>3933</v>
      </c>
      <c r="H493" s="5" t="s">
        <v>3932</v>
      </c>
      <c r="I493" s="5" t="s">
        <v>67</v>
      </c>
      <c r="J493" s="5" t="s">
        <v>5508</v>
      </c>
      <c r="K493" s="5" t="s">
        <v>1466</v>
      </c>
    </row>
    <row r="494" spans="1:11">
      <c r="A494" s="21">
        <v>492</v>
      </c>
      <c r="B494" s="5" t="s">
        <v>1467</v>
      </c>
      <c r="C494" s="23" t="s">
        <v>3907</v>
      </c>
      <c r="D494" s="23" t="s">
        <v>17</v>
      </c>
      <c r="E494" s="5" t="s">
        <v>1468</v>
      </c>
      <c r="F494" s="71" t="s">
        <v>6104</v>
      </c>
      <c r="G494" s="22" t="s">
        <v>119</v>
      </c>
      <c r="H494" s="5" t="s">
        <v>120</v>
      </c>
      <c r="I494" s="5" t="s">
        <v>50</v>
      </c>
      <c r="J494" s="5" t="s">
        <v>5486</v>
      </c>
      <c r="K494" s="5" t="s">
        <v>1469</v>
      </c>
    </row>
    <row r="495" spans="1:11">
      <c r="A495" s="21">
        <v>493</v>
      </c>
      <c r="B495" s="5" t="s">
        <v>1470</v>
      </c>
      <c r="C495" s="23" t="s">
        <v>3618</v>
      </c>
      <c r="D495" s="23" t="s">
        <v>59</v>
      </c>
      <c r="E495" s="5" t="s">
        <v>1471</v>
      </c>
      <c r="F495" s="71" t="s">
        <v>6104</v>
      </c>
      <c r="G495" s="22" t="s">
        <v>179</v>
      </c>
      <c r="H495" s="5" t="s">
        <v>36</v>
      </c>
      <c r="I495" s="5" t="s">
        <v>21</v>
      </c>
      <c r="J495" s="5" t="s">
        <v>5245</v>
      </c>
      <c r="K495" s="5" t="s">
        <v>1472</v>
      </c>
    </row>
    <row r="496" spans="1:11">
      <c r="A496" s="21">
        <v>494</v>
      </c>
      <c r="B496" s="5" t="s">
        <v>1473</v>
      </c>
      <c r="C496" s="23" t="s">
        <v>3908</v>
      </c>
      <c r="D496" s="23" t="s">
        <v>17</v>
      </c>
      <c r="E496" s="5" t="s">
        <v>1474</v>
      </c>
      <c r="F496" s="71" t="s">
        <v>6104</v>
      </c>
      <c r="G496" s="22" t="s">
        <v>85</v>
      </c>
      <c r="H496" s="5" t="s">
        <v>120</v>
      </c>
      <c r="I496" s="5" t="s">
        <v>26</v>
      </c>
      <c r="J496" s="5" t="s">
        <v>5469</v>
      </c>
      <c r="K496" s="5" t="s">
        <v>1475</v>
      </c>
    </row>
    <row r="497" spans="1:11">
      <c r="A497" s="21">
        <v>495</v>
      </c>
      <c r="B497" s="5" t="s">
        <v>1476</v>
      </c>
      <c r="C497" s="23" t="s">
        <v>3379</v>
      </c>
      <c r="D497" s="23" t="s">
        <v>34</v>
      </c>
      <c r="E497" s="5" t="s">
        <v>1477</v>
      </c>
      <c r="F497" s="71" t="s">
        <v>6104</v>
      </c>
      <c r="G497" s="22" t="s">
        <v>3933</v>
      </c>
      <c r="H497" s="5" t="s">
        <v>3932</v>
      </c>
      <c r="I497" s="5" t="s">
        <v>26</v>
      </c>
      <c r="J497" s="5" t="s">
        <v>5214</v>
      </c>
      <c r="K497" s="5" t="s">
        <v>1478</v>
      </c>
    </row>
    <row r="498" spans="1:11">
      <c r="A498" s="21">
        <v>496</v>
      </c>
      <c r="B498" s="5" t="s">
        <v>1479</v>
      </c>
      <c r="C498" s="23" t="s">
        <v>3380</v>
      </c>
      <c r="D498" s="23" t="s">
        <v>34</v>
      </c>
      <c r="E498" s="5" t="s">
        <v>1480</v>
      </c>
      <c r="F498" s="71" t="s">
        <v>6104</v>
      </c>
      <c r="G498" s="22" t="s">
        <v>3933</v>
      </c>
      <c r="H498" s="5" t="s">
        <v>3932</v>
      </c>
      <c r="I498" s="5" t="s">
        <v>26</v>
      </c>
      <c r="J498" s="5" t="s">
        <v>5196</v>
      </c>
      <c r="K498" s="5" t="s">
        <v>1481</v>
      </c>
    </row>
    <row r="499" spans="1:11">
      <c r="A499" s="21">
        <v>497</v>
      </c>
      <c r="B499" s="5" t="s">
        <v>1482</v>
      </c>
      <c r="C499" s="23" t="s">
        <v>3909</v>
      </c>
      <c r="D499" s="23" t="s">
        <v>17</v>
      </c>
      <c r="E499" s="5" t="s">
        <v>1483</v>
      </c>
      <c r="F499" s="71" t="s">
        <v>6104</v>
      </c>
      <c r="G499" s="22" t="s">
        <v>85</v>
      </c>
      <c r="H499" s="5" t="s">
        <v>120</v>
      </c>
      <c r="I499" s="5" t="s">
        <v>50</v>
      </c>
      <c r="J499" s="5" t="s">
        <v>5056</v>
      </c>
      <c r="K499" s="5" t="s">
        <v>1484</v>
      </c>
    </row>
    <row r="500" spans="1:11">
      <c r="A500" s="21">
        <v>498</v>
      </c>
      <c r="B500" s="5" t="s">
        <v>1485</v>
      </c>
      <c r="C500" s="23" t="s">
        <v>3243</v>
      </c>
      <c r="D500" s="23" t="s">
        <v>77</v>
      </c>
      <c r="E500" s="5" t="s">
        <v>1486</v>
      </c>
      <c r="F500" s="71" t="s">
        <v>6104</v>
      </c>
      <c r="G500" s="22" t="s">
        <v>179</v>
      </c>
      <c r="H500" s="5" t="s">
        <v>3932</v>
      </c>
      <c r="I500" s="5" t="s">
        <v>50</v>
      </c>
      <c r="J500" s="5" t="s">
        <v>5244</v>
      </c>
      <c r="K500" s="5" t="s">
        <v>1487</v>
      </c>
    </row>
    <row r="501" spans="1:11">
      <c r="A501" s="21">
        <v>499</v>
      </c>
      <c r="B501" s="5" t="s">
        <v>1488</v>
      </c>
      <c r="C501" s="23" t="s">
        <v>3560</v>
      </c>
      <c r="D501" s="23" t="s">
        <v>17</v>
      </c>
      <c r="E501" s="5" t="s">
        <v>1489</v>
      </c>
      <c r="F501" s="71" t="s">
        <v>6104</v>
      </c>
      <c r="G501" s="22" t="s">
        <v>12</v>
      </c>
      <c r="H501" s="5" t="s">
        <v>36</v>
      </c>
      <c r="I501" s="5" t="s">
        <v>50</v>
      </c>
      <c r="J501" s="5" t="s">
        <v>4950</v>
      </c>
      <c r="K501" s="5" t="s">
        <v>1490</v>
      </c>
    </row>
    <row r="502" spans="1:11">
      <c r="A502" s="21">
        <v>500</v>
      </c>
      <c r="B502" s="5" t="s">
        <v>1491</v>
      </c>
      <c r="C502" s="23" t="s">
        <v>3910</v>
      </c>
      <c r="D502" s="23" t="s">
        <v>17</v>
      </c>
      <c r="E502" s="5" t="s">
        <v>305</v>
      </c>
      <c r="F502" s="71" t="s">
        <v>6104</v>
      </c>
      <c r="G502" s="22" t="s">
        <v>85</v>
      </c>
      <c r="H502" s="5" t="s">
        <v>120</v>
      </c>
      <c r="I502" s="5" t="s">
        <v>50</v>
      </c>
      <c r="J502" s="5" t="s">
        <v>4860</v>
      </c>
      <c r="K502" s="5" t="s">
        <v>1492</v>
      </c>
    </row>
    <row r="503" spans="1:11">
      <c r="A503" s="21">
        <v>501</v>
      </c>
      <c r="B503" s="5" t="s">
        <v>1493</v>
      </c>
      <c r="C503" s="23" t="s">
        <v>3151</v>
      </c>
      <c r="D503" s="23" t="s">
        <v>77</v>
      </c>
      <c r="E503" s="5" t="s">
        <v>1494</v>
      </c>
      <c r="F503" s="71" t="s">
        <v>6104</v>
      </c>
      <c r="G503" s="22" t="s">
        <v>179</v>
      </c>
      <c r="H503" s="5" t="s">
        <v>3932</v>
      </c>
      <c r="I503" s="5" t="s">
        <v>21</v>
      </c>
      <c r="J503" s="5" t="s">
        <v>5191</v>
      </c>
      <c r="K503" s="5" t="s">
        <v>1495</v>
      </c>
    </row>
    <row r="504" spans="1:11">
      <c r="A504" s="21">
        <v>502</v>
      </c>
      <c r="B504" s="5" t="s">
        <v>1496</v>
      </c>
      <c r="C504" s="23" t="s">
        <v>3244</v>
      </c>
      <c r="D504" s="23" t="s">
        <v>77</v>
      </c>
      <c r="E504" s="5" t="s">
        <v>219</v>
      </c>
      <c r="F504" s="71" t="s">
        <v>6104</v>
      </c>
      <c r="G504" s="22" t="s">
        <v>179</v>
      </c>
      <c r="H504" s="5" t="s">
        <v>3932</v>
      </c>
      <c r="I504" s="5" t="s">
        <v>56</v>
      </c>
      <c r="J504" s="5" t="s">
        <v>4925</v>
      </c>
      <c r="K504" s="5" t="s">
        <v>1497</v>
      </c>
    </row>
    <row r="505" spans="1:11">
      <c r="A505" s="21">
        <v>503</v>
      </c>
      <c r="B505" s="5" t="s">
        <v>1498</v>
      </c>
      <c r="C505" s="23" t="s">
        <v>3485</v>
      </c>
      <c r="D505" s="23" t="s">
        <v>77</v>
      </c>
      <c r="E505" s="5" t="s">
        <v>1499</v>
      </c>
      <c r="F505" s="71" t="s">
        <v>6104</v>
      </c>
      <c r="G505" s="22" t="s">
        <v>160</v>
      </c>
      <c r="H505" s="5" t="s">
        <v>3932</v>
      </c>
      <c r="I505" s="5" t="s">
        <v>21</v>
      </c>
      <c r="J505" s="5" t="s">
        <v>5285</v>
      </c>
      <c r="K505" s="5" t="s">
        <v>1500</v>
      </c>
    </row>
    <row r="506" spans="1:11">
      <c r="A506" s="21">
        <v>504</v>
      </c>
      <c r="B506" s="5" t="s">
        <v>1501</v>
      </c>
      <c r="C506" s="23" t="s">
        <v>3708</v>
      </c>
      <c r="D506" s="23" t="s">
        <v>59</v>
      </c>
      <c r="E506" s="5" t="s">
        <v>1502</v>
      </c>
      <c r="F506" s="71" t="s">
        <v>6104</v>
      </c>
      <c r="G506" s="22" t="s">
        <v>3934</v>
      </c>
      <c r="H506" s="5" t="s">
        <v>13</v>
      </c>
      <c r="I506" s="5" t="s">
        <v>21</v>
      </c>
      <c r="J506" s="5" t="s">
        <v>5134</v>
      </c>
      <c r="K506" s="5" t="s">
        <v>1503</v>
      </c>
    </row>
    <row r="507" spans="1:11">
      <c r="A507" s="21">
        <v>505</v>
      </c>
      <c r="B507" s="5" t="s">
        <v>1504</v>
      </c>
      <c r="C507" s="23" t="s">
        <v>3019</v>
      </c>
      <c r="D507" s="23" t="s">
        <v>34</v>
      </c>
      <c r="E507" s="5" t="s">
        <v>1505</v>
      </c>
      <c r="F507" s="71" t="s">
        <v>6104</v>
      </c>
      <c r="G507" s="22" t="s">
        <v>74</v>
      </c>
      <c r="H507" s="5" t="s">
        <v>41</v>
      </c>
      <c r="I507" s="5" t="s">
        <v>14</v>
      </c>
      <c r="J507" s="5" t="s">
        <v>5600</v>
      </c>
      <c r="K507" s="5" t="s">
        <v>1506</v>
      </c>
    </row>
    <row r="508" spans="1:11">
      <c r="A508" s="21">
        <v>506</v>
      </c>
      <c r="B508" s="5" t="s">
        <v>1507</v>
      </c>
      <c r="C508" s="23" t="s">
        <v>3619</v>
      </c>
      <c r="D508" s="23" t="s">
        <v>59</v>
      </c>
      <c r="E508" s="5" t="s">
        <v>1094</v>
      </c>
      <c r="F508" s="71" t="s">
        <v>6104</v>
      </c>
      <c r="G508" s="22" t="s">
        <v>160</v>
      </c>
      <c r="H508" s="5" t="s">
        <v>13</v>
      </c>
      <c r="I508" s="5" t="s">
        <v>26</v>
      </c>
      <c r="J508" s="5" t="s">
        <v>5058</v>
      </c>
      <c r="K508" s="5" t="s">
        <v>1508</v>
      </c>
    </row>
    <row r="509" spans="1:11">
      <c r="A509" s="21">
        <v>507</v>
      </c>
      <c r="B509" s="5" t="s">
        <v>1509</v>
      </c>
      <c r="C509" s="23" t="s">
        <v>3620</v>
      </c>
      <c r="D509" s="23" t="s">
        <v>59</v>
      </c>
      <c r="E509" s="5" t="s">
        <v>1510</v>
      </c>
      <c r="F509" s="71" t="s">
        <v>6104</v>
      </c>
      <c r="G509" s="22" t="s">
        <v>179</v>
      </c>
      <c r="H509" s="5" t="s">
        <v>13</v>
      </c>
      <c r="I509" s="5" t="s">
        <v>50</v>
      </c>
      <c r="J509" s="5" t="s">
        <v>5030</v>
      </c>
      <c r="K509" s="5">
        <v>859530072</v>
      </c>
    </row>
    <row r="510" spans="1:11">
      <c r="A510" s="21">
        <v>508</v>
      </c>
      <c r="B510" s="5" t="s">
        <v>1511</v>
      </c>
      <c r="C510" s="23" t="s">
        <v>3305</v>
      </c>
      <c r="D510" s="23" t="s">
        <v>77</v>
      </c>
      <c r="E510" s="5" t="s">
        <v>1512</v>
      </c>
      <c r="F510" s="71" t="s">
        <v>6104</v>
      </c>
      <c r="G510" s="22" t="s">
        <v>61</v>
      </c>
      <c r="H510" s="5" t="s">
        <v>98</v>
      </c>
      <c r="I510" s="5" t="s">
        <v>56</v>
      </c>
      <c r="J510" s="5" t="s">
        <v>5153</v>
      </c>
      <c r="K510" s="5" t="s">
        <v>1513</v>
      </c>
    </row>
    <row r="511" spans="1:11">
      <c r="A511" s="21">
        <v>509</v>
      </c>
      <c r="B511" s="5" t="s">
        <v>1514</v>
      </c>
      <c r="C511" s="23" t="s">
        <v>3621</v>
      </c>
      <c r="D511" s="23" t="s">
        <v>59</v>
      </c>
      <c r="E511" s="5" t="s">
        <v>1515</v>
      </c>
      <c r="F511" s="71" t="s">
        <v>6104</v>
      </c>
      <c r="G511" s="22" t="s">
        <v>160</v>
      </c>
      <c r="H511" s="5" t="s">
        <v>36</v>
      </c>
      <c r="I511" s="5" t="s">
        <v>50</v>
      </c>
      <c r="J511" s="5" t="s">
        <v>5249</v>
      </c>
      <c r="K511" s="5" t="s">
        <v>1516</v>
      </c>
    </row>
    <row r="512" spans="1:11">
      <c r="A512" s="21">
        <v>510</v>
      </c>
      <c r="B512" s="5" t="s">
        <v>1517</v>
      </c>
      <c r="C512" s="23" t="s">
        <v>3788</v>
      </c>
      <c r="D512" s="23" t="s">
        <v>59</v>
      </c>
      <c r="E512" s="5" t="s">
        <v>1518</v>
      </c>
      <c r="F512" s="71" t="s">
        <v>6104</v>
      </c>
      <c r="G512" s="22" t="s">
        <v>24</v>
      </c>
      <c r="H512" s="5" t="s">
        <v>25</v>
      </c>
      <c r="I512" s="5" t="s">
        <v>56</v>
      </c>
      <c r="J512" s="5" t="s">
        <v>5160</v>
      </c>
      <c r="K512" s="5" t="s">
        <v>1519</v>
      </c>
    </row>
    <row r="513" spans="1:11">
      <c r="A513" s="21">
        <v>511</v>
      </c>
      <c r="B513" s="5" t="s">
        <v>1520</v>
      </c>
      <c r="C513" s="23" t="s">
        <v>3911</v>
      </c>
      <c r="D513" s="23" t="s">
        <v>17</v>
      </c>
      <c r="E513" s="5" t="s">
        <v>1521</v>
      </c>
      <c r="F513" s="71" t="s">
        <v>6104</v>
      </c>
      <c r="G513" s="22" t="s">
        <v>85</v>
      </c>
      <c r="H513" s="5" t="s">
        <v>86</v>
      </c>
      <c r="I513" s="5" t="s">
        <v>50</v>
      </c>
      <c r="J513" s="5" t="s">
        <v>5014</v>
      </c>
      <c r="K513" s="5" t="s">
        <v>1522</v>
      </c>
    </row>
    <row r="514" spans="1:11">
      <c r="A514" s="21">
        <v>512</v>
      </c>
      <c r="B514" s="5" t="s">
        <v>1523</v>
      </c>
      <c r="C514" s="23" t="s">
        <v>3789</v>
      </c>
      <c r="D514" s="23" t="s">
        <v>59</v>
      </c>
      <c r="E514" s="5" t="s">
        <v>1524</v>
      </c>
      <c r="F514" s="71" t="s">
        <v>6104</v>
      </c>
      <c r="G514" s="22" t="s">
        <v>24</v>
      </c>
      <c r="H514" s="5" t="s">
        <v>25</v>
      </c>
      <c r="I514" s="5" t="s">
        <v>21</v>
      </c>
      <c r="J514" s="5" t="s">
        <v>5736</v>
      </c>
      <c r="K514" s="5" t="s">
        <v>1525</v>
      </c>
    </row>
    <row r="515" spans="1:11">
      <c r="A515" s="21">
        <v>513</v>
      </c>
      <c r="B515" s="5" t="s">
        <v>1526</v>
      </c>
      <c r="C515" s="23" t="s">
        <v>3622</v>
      </c>
      <c r="D515" s="23" t="s">
        <v>59</v>
      </c>
      <c r="E515" s="5" t="s">
        <v>1527</v>
      </c>
      <c r="F515" s="71" t="s">
        <v>6104</v>
      </c>
      <c r="G515" s="22" t="s">
        <v>160</v>
      </c>
      <c r="H515" s="5" t="s">
        <v>36</v>
      </c>
      <c r="I515" s="5" t="s">
        <v>26</v>
      </c>
      <c r="J515" s="5" t="s">
        <v>5407</v>
      </c>
      <c r="K515" s="5" t="s">
        <v>1528</v>
      </c>
    </row>
    <row r="516" spans="1:11">
      <c r="A516" s="21">
        <v>514</v>
      </c>
      <c r="B516" s="5" t="s">
        <v>1529</v>
      </c>
      <c r="C516" s="23" t="s">
        <v>3381</v>
      </c>
      <c r="D516" s="23" t="s">
        <v>34</v>
      </c>
      <c r="E516" s="5" t="s">
        <v>1047</v>
      </c>
      <c r="F516" s="71" t="s">
        <v>6104</v>
      </c>
      <c r="G516" s="22" t="s">
        <v>3933</v>
      </c>
      <c r="H516" s="5" t="s">
        <v>3932</v>
      </c>
      <c r="I516" s="5" t="s">
        <v>50</v>
      </c>
      <c r="J516" s="5" t="s">
        <v>5158</v>
      </c>
      <c r="K516" s="5" t="s">
        <v>1530</v>
      </c>
    </row>
    <row r="517" spans="1:11">
      <c r="A517" s="21">
        <v>515</v>
      </c>
      <c r="B517" s="5" t="s">
        <v>1531</v>
      </c>
      <c r="C517" s="23" t="s">
        <v>3245</v>
      </c>
      <c r="D517" s="23" t="s">
        <v>77</v>
      </c>
      <c r="E517" s="5" t="s">
        <v>1532</v>
      </c>
      <c r="F517" s="71" t="s">
        <v>6104</v>
      </c>
      <c r="G517" s="22" t="s">
        <v>179</v>
      </c>
      <c r="H517" s="5" t="s">
        <v>3932</v>
      </c>
      <c r="I517" s="5" t="s">
        <v>21</v>
      </c>
      <c r="J517" s="5" t="s">
        <v>5065</v>
      </c>
      <c r="K517" s="5" t="s">
        <v>1533</v>
      </c>
    </row>
    <row r="518" spans="1:11">
      <c r="A518" s="21">
        <v>516</v>
      </c>
      <c r="B518" s="5" t="s">
        <v>1534</v>
      </c>
      <c r="C518" s="23" t="s">
        <v>3790</v>
      </c>
      <c r="D518" s="23" t="s">
        <v>59</v>
      </c>
      <c r="E518" s="5" t="s">
        <v>1535</v>
      </c>
      <c r="F518" s="71" t="s">
        <v>6104</v>
      </c>
      <c r="G518" s="22" t="s">
        <v>24</v>
      </c>
      <c r="H518" s="5" t="s">
        <v>25</v>
      </c>
      <c r="I518" s="5" t="s">
        <v>56</v>
      </c>
      <c r="J518" s="5" t="s">
        <v>5114</v>
      </c>
      <c r="K518" s="5" t="s">
        <v>1536</v>
      </c>
    </row>
    <row r="519" spans="1:11">
      <c r="A519" s="21">
        <v>517</v>
      </c>
      <c r="B519" s="5" t="s">
        <v>1537</v>
      </c>
      <c r="C519" s="23" t="s">
        <v>2951</v>
      </c>
      <c r="D519" s="23" t="s">
        <v>34</v>
      </c>
      <c r="E519" s="5" t="s">
        <v>1538</v>
      </c>
      <c r="F519" s="71" t="s">
        <v>6104</v>
      </c>
      <c r="G519" s="22" t="s">
        <v>3933</v>
      </c>
      <c r="H519" s="5" t="s">
        <v>3932</v>
      </c>
      <c r="I519" s="5" t="s">
        <v>14</v>
      </c>
      <c r="J519" s="5" t="s">
        <v>5348</v>
      </c>
      <c r="K519" s="5" t="s">
        <v>1539</v>
      </c>
    </row>
    <row r="520" spans="1:11">
      <c r="A520" s="21">
        <v>518</v>
      </c>
      <c r="B520" s="5" t="s">
        <v>1540</v>
      </c>
      <c r="C520" s="23" t="s">
        <v>3486</v>
      </c>
      <c r="D520" s="23" t="s">
        <v>77</v>
      </c>
      <c r="E520" s="5" t="s">
        <v>1541</v>
      </c>
      <c r="F520" s="71" t="s">
        <v>6104</v>
      </c>
      <c r="G520" s="22" t="s">
        <v>160</v>
      </c>
      <c r="H520" s="5" t="s">
        <v>3932</v>
      </c>
      <c r="I520" s="5" t="s">
        <v>42</v>
      </c>
      <c r="J520" s="5" t="s">
        <v>5654</v>
      </c>
      <c r="K520" s="5" t="s">
        <v>1542</v>
      </c>
    </row>
    <row r="521" spans="1:11">
      <c r="A521" s="21">
        <v>519</v>
      </c>
      <c r="B521" s="5" t="s">
        <v>1543</v>
      </c>
      <c r="C521" s="23" t="s">
        <v>3487</v>
      </c>
      <c r="D521" s="23" t="s">
        <v>77</v>
      </c>
      <c r="E521" s="5" t="s">
        <v>1544</v>
      </c>
      <c r="F521" s="71" t="s">
        <v>6104</v>
      </c>
      <c r="G521" s="22" t="s">
        <v>160</v>
      </c>
      <c r="H521" s="5" t="s">
        <v>3932</v>
      </c>
      <c r="I521" s="5" t="s">
        <v>14</v>
      </c>
      <c r="J521" s="5" t="s">
        <v>5689</v>
      </c>
      <c r="K521" s="5" t="s">
        <v>1545</v>
      </c>
    </row>
    <row r="522" spans="1:11">
      <c r="A522" s="21">
        <v>520</v>
      </c>
      <c r="B522" s="5" t="s">
        <v>1546</v>
      </c>
      <c r="C522" s="23" t="s">
        <v>3020</v>
      </c>
      <c r="D522" s="23" t="s">
        <v>34</v>
      </c>
      <c r="E522" s="5" t="s">
        <v>1547</v>
      </c>
      <c r="F522" s="71" t="s">
        <v>6104</v>
      </c>
      <c r="G522" s="22" t="s">
        <v>74</v>
      </c>
      <c r="H522" s="5" t="s">
        <v>41</v>
      </c>
      <c r="I522" s="5" t="s">
        <v>50</v>
      </c>
      <c r="J522" s="5" t="s">
        <v>5536</v>
      </c>
      <c r="K522" s="5" t="s">
        <v>1548</v>
      </c>
    </row>
    <row r="523" spans="1:11">
      <c r="A523" s="21">
        <v>521</v>
      </c>
      <c r="B523" s="5" t="s">
        <v>1549</v>
      </c>
      <c r="C523" s="23" t="s">
        <v>3488</v>
      </c>
      <c r="D523" s="23" t="s">
        <v>77</v>
      </c>
      <c r="E523" s="5" t="s">
        <v>1550</v>
      </c>
      <c r="F523" s="71" t="s">
        <v>6104</v>
      </c>
      <c r="G523" s="22" t="s">
        <v>160</v>
      </c>
      <c r="H523" s="5" t="s">
        <v>3932</v>
      </c>
      <c r="I523" s="5" t="s">
        <v>26</v>
      </c>
      <c r="J523" s="5" t="s">
        <v>5712</v>
      </c>
      <c r="K523" s="5" t="s">
        <v>1551</v>
      </c>
    </row>
    <row r="524" spans="1:11">
      <c r="A524" s="21">
        <v>522</v>
      </c>
      <c r="B524" s="5" t="s">
        <v>1552</v>
      </c>
      <c r="C524" s="23" t="s">
        <v>3835</v>
      </c>
      <c r="D524" s="23" t="s">
        <v>59</v>
      </c>
      <c r="E524" s="5" t="s">
        <v>1553</v>
      </c>
      <c r="F524" s="71" t="s">
        <v>6104</v>
      </c>
      <c r="G524" s="22" t="s">
        <v>144</v>
      </c>
      <c r="H524" s="5" t="s">
        <v>25</v>
      </c>
      <c r="I524" s="5" t="s">
        <v>56</v>
      </c>
      <c r="J524" s="5" t="s">
        <v>5282</v>
      </c>
      <c r="K524" s="5" t="s">
        <v>1554</v>
      </c>
    </row>
    <row r="525" spans="1:11">
      <c r="A525" s="21">
        <v>523</v>
      </c>
      <c r="B525" s="5" t="s">
        <v>1555</v>
      </c>
      <c r="C525" s="23" t="s">
        <v>3021</v>
      </c>
      <c r="D525" s="23" t="s">
        <v>34</v>
      </c>
      <c r="E525" s="5" t="s">
        <v>108</v>
      </c>
      <c r="F525" s="71" t="s">
        <v>6104</v>
      </c>
      <c r="G525" s="22" t="s">
        <v>179</v>
      </c>
      <c r="H525" s="5" t="s">
        <v>3932</v>
      </c>
      <c r="I525" s="5" t="s">
        <v>67</v>
      </c>
      <c r="J525" s="5" t="s">
        <v>5518</v>
      </c>
      <c r="K525" s="5" t="s">
        <v>1556</v>
      </c>
    </row>
    <row r="526" spans="1:11">
      <c r="A526" s="21">
        <v>524</v>
      </c>
      <c r="B526" s="5" t="s">
        <v>1557</v>
      </c>
      <c r="C526" s="23" t="s">
        <v>3382</v>
      </c>
      <c r="D526" s="23" t="s">
        <v>34</v>
      </c>
      <c r="E526" s="5" t="s">
        <v>1558</v>
      </c>
      <c r="F526" s="71" t="s">
        <v>6104</v>
      </c>
      <c r="G526" s="22" t="s">
        <v>3933</v>
      </c>
      <c r="H526" s="5" t="s">
        <v>3932</v>
      </c>
      <c r="I526" s="5" t="s">
        <v>67</v>
      </c>
      <c r="J526" s="5" t="s">
        <v>4982</v>
      </c>
      <c r="K526" s="5">
        <v>89756465587</v>
      </c>
    </row>
    <row r="527" spans="1:11">
      <c r="A527" s="21">
        <v>525</v>
      </c>
      <c r="B527" s="5" t="s">
        <v>1559</v>
      </c>
      <c r="C527" s="23" t="s">
        <v>3489</v>
      </c>
      <c r="D527" s="23" t="s">
        <v>77</v>
      </c>
      <c r="E527" s="5" t="s">
        <v>1560</v>
      </c>
      <c r="F527" s="71" t="s">
        <v>6104</v>
      </c>
      <c r="G527" s="22" t="s">
        <v>160</v>
      </c>
      <c r="H527" s="5" t="s">
        <v>3932</v>
      </c>
      <c r="I527" s="5" t="s">
        <v>42</v>
      </c>
      <c r="J527" s="5" t="s">
        <v>5352</v>
      </c>
      <c r="K527" s="5" t="s">
        <v>1561</v>
      </c>
    </row>
    <row r="528" spans="1:11">
      <c r="A528" s="21">
        <v>526</v>
      </c>
      <c r="B528" s="5" t="s">
        <v>1562</v>
      </c>
      <c r="C528" s="23" t="s">
        <v>3490</v>
      </c>
      <c r="D528" s="23" t="s">
        <v>17</v>
      </c>
      <c r="E528" s="5" t="s">
        <v>1563</v>
      </c>
      <c r="F528" s="71" t="s">
        <v>6104</v>
      </c>
      <c r="G528" s="22" t="s">
        <v>160</v>
      </c>
      <c r="H528" s="5" t="s">
        <v>3932</v>
      </c>
      <c r="I528" s="5" t="s">
        <v>26</v>
      </c>
      <c r="J528" s="5" t="s">
        <v>5149</v>
      </c>
      <c r="K528" s="5" t="s">
        <v>1564</v>
      </c>
    </row>
    <row r="529" spans="1:11">
      <c r="A529" s="21">
        <v>527</v>
      </c>
      <c r="B529" s="5" t="s">
        <v>1565</v>
      </c>
      <c r="C529" s="23" t="s">
        <v>3383</v>
      </c>
      <c r="D529" s="23" t="s">
        <v>34</v>
      </c>
      <c r="E529" s="5" t="s">
        <v>1566</v>
      </c>
      <c r="F529" s="71" t="s">
        <v>6104</v>
      </c>
      <c r="G529" s="22" t="s">
        <v>3933</v>
      </c>
      <c r="H529" s="5" t="s">
        <v>3932</v>
      </c>
      <c r="I529" s="5" t="s">
        <v>67</v>
      </c>
      <c r="J529" s="5" t="s">
        <v>5666</v>
      </c>
      <c r="K529" s="5" t="s">
        <v>1567</v>
      </c>
    </row>
    <row r="530" spans="1:11">
      <c r="A530" s="21">
        <v>528</v>
      </c>
      <c r="B530" s="5" t="s">
        <v>1568</v>
      </c>
      <c r="C530" s="23" t="s">
        <v>3623</v>
      </c>
      <c r="D530" s="23" t="s">
        <v>59</v>
      </c>
      <c r="E530" s="5" t="s">
        <v>1569</v>
      </c>
      <c r="F530" s="71" t="s">
        <v>6104</v>
      </c>
      <c r="G530" s="22" t="s">
        <v>160</v>
      </c>
      <c r="H530" s="5" t="s">
        <v>36</v>
      </c>
      <c r="I530" s="5" t="s">
        <v>21</v>
      </c>
      <c r="J530" s="5" t="s">
        <v>5287</v>
      </c>
      <c r="K530" s="5" t="s">
        <v>1570</v>
      </c>
    </row>
    <row r="531" spans="1:11">
      <c r="A531" s="21">
        <v>529</v>
      </c>
      <c r="B531" s="5" t="s">
        <v>1571</v>
      </c>
      <c r="C531" s="23" t="s">
        <v>3094</v>
      </c>
      <c r="D531" s="23" t="s">
        <v>77</v>
      </c>
      <c r="E531" s="5" t="s">
        <v>1572</v>
      </c>
      <c r="F531" s="71" t="s">
        <v>6104</v>
      </c>
      <c r="G531" s="22" t="s">
        <v>179</v>
      </c>
      <c r="H531" s="5" t="s">
        <v>3932</v>
      </c>
      <c r="I531" s="5" t="s">
        <v>21</v>
      </c>
      <c r="J531" s="5" t="s">
        <v>5087</v>
      </c>
      <c r="K531" s="5" t="s">
        <v>1573</v>
      </c>
    </row>
    <row r="532" spans="1:11">
      <c r="A532" s="21">
        <v>530</v>
      </c>
      <c r="B532" s="5" t="s">
        <v>1574</v>
      </c>
      <c r="C532" s="23" t="s">
        <v>3836</v>
      </c>
      <c r="D532" s="23" t="s">
        <v>59</v>
      </c>
      <c r="E532" s="5" t="s">
        <v>1575</v>
      </c>
      <c r="F532" s="71" t="s">
        <v>6104</v>
      </c>
      <c r="G532" s="22" t="s">
        <v>144</v>
      </c>
      <c r="H532" s="5" t="s">
        <v>25</v>
      </c>
      <c r="I532" s="5" t="s">
        <v>50</v>
      </c>
      <c r="J532" s="5" t="s">
        <v>5091</v>
      </c>
      <c r="K532" s="5" t="s">
        <v>1576</v>
      </c>
    </row>
    <row r="533" spans="1:11">
      <c r="A533" s="21">
        <v>531</v>
      </c>
      <c r="B533" s="5" t="s">
        <v>1577</v>
      </c>
      <c r="C533" s="23" t="s">
        <v>3709</v>
      </c>
      <c r="D533" s="23" t="s">
        <v>59</v>
      </c>
      <c r="E533" s="5" t="s">
        <v>237</v>
      </c>
      <c r="F533" s="71" t="s">
        <v>6104</v>
      </c>
      <c r="G533" s="22" t="s">
        <v>3934</v>
      </c>
      <c r="H533" s="5" t="s">
        <v>13</v>
      </c>
      <c r="I533" s="5" t="s">
        <v>14</v>
      </c>
      <c r="J533" s="5" t="s">
        <v>4895</v>
      </c>
      <c r="K533" s="5" t="s">
        <v>1578</v>
      </c>
    </row>
    <row r="534" spans="1:11">
      <c r="A534" s="21">
        <v>532</v>
      </c>
      <c r="B534" s="5" t="s">
        <v>1579</v>
      </c>
      <c r="C534" s="23" t="s">
        <v>3022</v>
      </c>
      <c r="D534" s="23" t="s">
        <v>34</v>
      </c>
      <c r="E534" s="5" t="s">
        <v>1580</v>
      </c>
      <c r="F534" s="71" t="s">
        <v>6104</v>
      </c>
      <c r="G534" s="22" t="s">
        <v>40</v>
      </c>
      <c r="H534" s="5" t="s">
        <v>71</v>
      </c>
      <c r="I534" s="5" t="s">
        <v>50</v>
      </c>
      <c r="J534" s="5" t="s">
        <v>5497</v>
      </c>
      <c r="K534" s="5">
        <v>866674754</v>
      </c>
    </row>
    <row r="535" spans="1:11">
      <c r="A535" s="21">
        <v>533</v>
      </c>
      <c r="B535" s="5" t="s">
        <v>1581</v>
      </c>
      <c r="C535" s="23" t="s">
        <v>3246</v>
      </c>
      <c r="D535" s="23" t="s">
        <v>77</v>
      </c>
      <c r="E535" s="5" t="s">
        <v>1582</v>
      </c>
      <c r="F535" s="71" t="s">
        <v>6104</v>
      </c>
      <c r="G535" s="22" t="s">
        <v>179</v>
      </c>
      <c r="H535" s="5" t="s">
        <v>3932</v>
      </c>
      <c r="I535" s="5" t="s">
        <v>42</v>
      </c>
      <c r="J535" s="5" t="s">
        <v>5274</v>
      </c>
      <c r="K535" s="5" t="s">
        <v>1583</v>
      </c>
    </row>
    <row r="536" spans="1:11">
      <c r="A536" s="21">
        <v>534</v>
      </c>
      <c r="B536" s="5" t="s">
        <v>1584</v>
      </c>
      <c r="C536" s="23" t="s">
        <v>3384</v>
      </c>
      <c r="D536" s="23" t="s">
        <v>34</v>
      </c>
      <c r="E536" s="5" t="s">
        <v>1349</v>
      </c>
      <c r="F536" s="71" t="s">
        <v>6104</v>
      </c>
      <c r="G536" s="22" t="s">
        <v>3933</v>
      </c>
      <c r="H536" s="5" t="s">
        <v>3932</v>
      </c>
      <c r="I536" s="5" t="s">
        <v>14</v>
      </c>
      <c r="J536" s="5" t="s">
        <v>5657</v>
      </c>
      <c r="K536" s="5" t="s">
        <v>1585</v>
      </c>
    </row>
    <row r="537" spans="1:11">
      <c r="A537" s="21">
        <v>535</v>
      </c>
      <c r="B537" s="5" t="s">
        <v>1586</v>
      </c>
      <c r="C537" s="23" t="s">
        <v>3912</v>
      </c>
      <c r="D537" s="23" t="s">
        <v>17</v>
      </c>
      <c r="E537" s="5" t="s">
        <v>1587</v>
      </c>
      <c r="F537" s="71" t="s">
        <v>6104</v>
      </c>
      <c r="G537" s="22" t="s">
        <v>119</v>
      </c>
      <c r="H537" s="5" t="s">
        <v>120</v>
      </c>
      <c r="I537" s="5" t="s">
        <v>67</v>
      </c>
      <c r="J537" s="5" t="s">
        <v>5225</v>
      </c>
      <c r="K537" s="5" t="s">
        <v>1588</v>
      </c>
    </row>
    <row r="538" spans="1:11">
      <c r="A538" s="21">
        <v>536</v>
      </c>
      <c r="B538" s="5" t="s">
        <v>1589</v>
      </c>
      <c r="C538" s="23" t="s">
        <v>3913</v>
      </c>
      <c r="D538" s="23" t="s">
        <v>17</v>
      </c>
      <c r="E538" s="5" t="s">
        <v>1590</v>
      </c>
      <c r="F538" s="71" t="s">
        <v>6104</v>
      </c>
      <c r="G538" s="22" t="s">
        <v>119</v>
      </c>
      <c r="H538" s="5" t="s">
        <v>120</v>
      </c>
      <c r="I538" s="5" t="s">
        <v>42</v>
      </c>
      <c r="J538" s="5" t="s">
        <v>5001</v>
      </c>
      <c r="K538" s="5" t="s">
        <v>1591</v>
      </c>
    </row>
    <row r="539" spans="1:11">
      <c r="A539" s="21">
        <v>537</v>
      </c>
      <c r="B539" s="5" t="s">
        <v>1592</v>
      </c>
      <c r="C539" s="23" t="s">
        <v>3385</v>
      </c>
      <c r="D539" s="23" t="s">
        <v>34</v>
      </c>
      <c r="E539" s="5" t="s">
        <v>1593</v>
      </c>
      <c r="F539" s="71" t="s">
        <v>6104</v>
      </c>
      <c r="G539" s="22" t="s">
        <v>3933</v>
      </c>
      <c r="H539" s="5" t="s">
        <v>3932</v>
      </c>
      <c r="I539" s="5" t="s">
        <v>14</v>
      </c>
      <c r="J539" s="5" t="s">
        <v>5750</v>
      </c>
      <c r="K539" s="5" t="s">
        <v>1594</v>
      </c>
    </row>
    <row r="540" spans="1:11">
      <c r="A540" s="21">
        <v>538</v>
      </c>
      <c r="B540" s="5" t="s">
        <v>1595</v>
      </c>
      <c r="C540" s="23" t="s">
        <v>3491</v>
      </c>
      <c r="D540" s="23" t="s">
        <v>77</v>
      </c>
      <c r="E540" s="5" t="s">
        <v>1596</v>
      </c>
      <c r="F540" s="71" t="s">
        <v>6104</v>
      </c>
      <c r="G540" s="22" t="s">
        <v>160</v>
      </c>
      <c r="H540" s="5" t="s">
        <v>3932</v>
      </c>
      <c r="I540" s="5" t="s">
        <v>67</v>
      </c>
      <c r="J540" s="5" t="s">
        <v>4939</v>
      </c>
      <c r="K540" s="5" t="s">
        <v>1597</v>
      </c>
    </row>
    <row r="541" spans="1:11">
      <c r="A541" s="21">
        <v>539</v>
      </c>
      <c r="B541" s="5" t="s">
        <v>1598</v>
      </c>
      <c r="C541" s="23" t="s">
        <v>3386</v>
      </c>
      <c r="D541" s="23" t="s">
        <v>34</v>
      </c>
      <c r="E541" s="5" t="s">
        <v>1599</v>
      </c>
      <c r="F541" s="71" t="s">
        <v>6104</v>
      </c>
      <c r="G541" s="22" t="s">
        <v>3933</v>
      </c>
      <c r="H541" s="5" t="s">
        <v>3932</v>
      </c>
      <c r="I541" s="5" t="s">
        <v>26</v>
      </c>
      <c r="J541" s="5" t="s">
        <v>5637</v>
      </c>
      <c r="K541" s="5" t="s">
        <v>1600</v>
      </c>
    </row>
    <row r="542" spans="1:11">
      <c r="A542" s="21">
        <v>540</v>
      </c>
      <c r="B542" s="5" t="s">
        <v>1601</v>
      </c>
      <c r="C542" s="23" t="s">
        <v>3914</v>
      </c>
      <c r="D542" s="23" t="s">
        <v>17</v>
      </c>
      <c r="E542" s="5" t="s">
        <v>1602</v>
      </c>
      <c r="F542" s="71" t="s">
        <v>6104</v>
      </c>
      <c r="G542" s="22" t="s">
        <v>85</v>
      </c>
      <c r="H542" s="5" t="s">
        <v>120</v>
      </c>
      <c r="I542" s="5" t="s">
        <v>26</v>
      </c>
      <c r="J542" s="5" t="s">
        <v>5541</v>
      </c>
      <c r="K542" s="5" t="s">
        <v>1603</v>
      </c>
    </row>
    <row r="543" spans="1:11">
      <c r="A543" s="21">
        <v>541</v>
      </c>
      <c r="B543" s="5" t="s">
        <v>1604</v>
      </c>
      <c r="C543" s="23" t="s">
        <v>3247</v>
      </c>
      <c r="D543" s="23" t="s">
        <v>77</v>
      </c>
      <c r="E543" s="5" t="s">
        <v>1605</v>
      </c>
      <c r="F543" s="71" t="s">
        <v>6104</v>
      </c>
      <c r="G543" s="22" t="s">
        <v>179</v>
      </c>
      <c r="H543" s="5" t="s">
        <v>3932</v>
      </c>
      <c r="I543" s="5" t="s">
        <v>50</v>
      </c>
      <c r="J543" s="5" t="s">
        <v>5255</v>
      </c>
      <c r="K543" s="5">
        <v>846693458</v>
      </c>
    </row>
    <row r="544" spans="1:11">
      <c r="A544" s="21">
        <v>542</v>
      </c>
      <c r="B544" s="5" t="s">
        <v>1606</v>
      </c>
      <c r="C544" s="23" t="s">
        <v>3915</v>
      </c>
      <c r="D544" s="23" t="s">
        <v>17</v>
      </c>
      <c r="E544" s="5" t="s">
        <v>1607</v>
      </c>
      <c r="F544" s="71" t="s">
        <v>6104</v>
      </c>
      <c r="G544" s="22" t="s">
        <v>85</v>
      </c>
      <c r="H544" s="5" t="s">
        <v>120</v>
      </c>
      <c r="I544" s="5" t="s">
        <v>67</v>
      </c>
      <c r="J544" s="5" t="s">
        <v>5605</v>
      </c>
      <c r="K544" s="5" t="s">
        <v>1608</v>
      </c>
    </row>
    <row r="545" spans="1:11">
      <c r="A545" s="21">
        <v>543</v>
      </c>
      <c r="B545" s="5" t="s">
        <v>1609</v>
      </c>
      <c r="C545" s="23" t="s">
        <v>3710</v>
      </c>
      <c r="D545" s="23" t="s">
        <v>59</v>
      </c>
      <c r="E545" s="5" t="s">
        <v>1610</v>
      </c>
      <c r="F545" s="71" t="s">
        <v>6104</v>
      </c>
      <c r="G545" s="22" t="s">
        <v>3934</v>
      </c>
      <c r="H545" s="5" t="s">
        <v>13</v>
      </c>
      <c r="I545" s="5" t="s">
        <v>26</v>
      </c>
      <c r="J545" s="5" t="s">
        <v>5552</v>
      </c>
      <c r="K545" s="5" t="s">
        <v>1611</v>
      </c>
    </row>
    <row r="546" spans="1:11">
      <c r="A546" s="21">
        <v>544</v>
      </c>
      <c r="B546" s="5" t="s">
        <v>1612</v>
      </c>
      <c r="C546" s="23" t="s">
        <v>3023</v>
      </c>
      <c r="D546" s="23" t="s">
        <v>34</v>
      </c>
      <c r="E546" s="5" t="s">
        <v>255</v>
      </c>
      <c r="F546" s="71" t="s">
        <v>6104</v>
      </c>
      <c r="G546" s="22" t="s">
        <v>179</v>
      </c>
      <c r="H546" s="5" t="s">
        <v>3932</v>
      </c>
      <c r="I546" s="5" t="s">
        <v>56</v>
      </c>
      <c r="J546" s="5" t="s">
        <v>5467</v>
      </c>
      <c r="K546" s="5" t="s">
        <v>1613</v>
      </c>
    </row>
    <row r="547" spans="1:11">
      <c r="A547" s="21">
        <v>545</v>
      </c>
      <c r="B547" s="5" t="s">
        <v>1614</v>
      </c>
      <c r="C547" s="23" t="s">
        <v>3837</v>
      </c>
      <c r="D547" s="23" t="s">
        <v>59</v>
      </c>
      <c r="E547" s="5" t="s">
        <v>1615</v>
      </c>
      <c r="F547" s="71" t="s">
        <v>6104</v>
      </c>
      <c r="G547" s="22" t="s">
        <v>144</v>
      </c>
      <c r="H547" s="5" t="s">
        <v>25</v>
      </c>
      <c r="I547" s="5" t="s">
        <v>56</v>
      </c>
      <c r="J547" s="5" t="s">
        <v>5521</v>
      </c>
      <c r="K547" s="5" t="s">
        <v>1616</v>
      </c>
    </row>
    <row r="548" spans="1:11">
      <c r="A548" s="21">
        <v>546</v>
      </c>
      <c r="B548" s="5" t="s">
        <v>1617</v>
      </c>
      <c r="C548" s="23" t="s">
        <v>3024</v>
      </c>
      <c r="D548" s="23" t="s">
        <v>34</v>
      </c>
      <c r="E548" s="5" t="s">
        <v>1618</v>
      </c>
      <c r="F548" s="71" t="s">
        <v>6104</v>
      </c>
      <c r="G548" s="22" t="s">
        <v>74</v>
      </c>
      <c r="H548" s="5" t="s">
        <v>41</v>
      </c>
      <c r="I548" s="5" t="s">
        <v>14</v>
      </c>
      <c r="J548" s="5" t="s">
        <v>5461</v>
      </c>
      <c r="K548" s="5" t="s">
        <v>1619</v>
      </c>
    </row>
    <row r="549" spans="1:11">
      <c r="A549" s="21">
        <v>547</v>
      </c>
      <c r="B549" s="5" t="s">
        <v>1620</v>
      </c>
      <c r="C549" s="23" t="s">
        <v>3838</v>
      </c>
      <c r="D549" s="23" t="s">
        <v>59</v>
      </c>
      <c r="E549" s="5" t="s">
        <v>1621</v>
      </c>
      <c r="F549" s="71" t="s">
        <v>6104</v>
      </c>
      <c r="G549" s="22" t="s">
        <v>144</v>
      </c>
      <c r="H549" s="5" t="s">
        <v>25</v>
      </c>
      <c r="I549" s="5" t="s">
        <v>67</v>
      </c>
      <c r="J549" s="5" t="s">
        <v>5183</v>
      </c>
      <c r="K549" s="5" t="s">
        <v>1622</v>
      </c>
    </row>
    <row r="550" spans="1:11">
      <c r="A550" s="21">
        <v>548</v>
      </c>
      <c r="B550" s="5" t="s">
        <v>1623</v>
      </c>
      <c r="C550" s="23" t="s">
        <v>3387</v>
      </c>
      <c r="D550" s="23" t="s">
        <v>17</v>
      </c>
      <c r="E550" s="5" t="s">
        <v>1624</v>
      </c>
      <c r="F550" s="71" t="s">
        <v>6104</v>
      </c>
      <c r="G550" s="22" t="s">
        <v>3933</v>
      </c>
      <c r="H550" s="5" t="s">
        <v>3932</v>
      </c>
      <c r="I550" s="5" t="s">
        <v>50</v>
      </c>
      <c r="J550" s="5" t="s">
        <v>4796</v>
      </c>
      <c r="K550" s="5" t="s">
        <v>1625</v>
      </c>
    </row>
    <row r="551" spans="1:11">
      <c r="A551" s="21">
        <v>549</v>
      </c>
      <c r="B551" s="5" t="s">
        <v>1626</v>
      </c>
      <c r="C551" s="23" t="s">
        <v>3248</v>
      </c>
      <c r="D551" s="23" t="s">
        <v>77</v>
      </c>
      <c r="E551" s="5" t="s">
        <v>1627</v>
      </c>
      <c r="F551" s="71" t="s">
        <v>6104</v>
      </c>
      <c r="G551" s="22" t="s">
        <v>179</v>
      </c>
      <c r="H551" s="5" t="s">
        <v>3932</v>
      </c>
      <c r="I551" s="5" t="s">
        <v>67</v>
      </c>
      <c r="J551" s="5" t="s">
        <v>5083</v>
      </c>
      <c r="K551" s="5" t="s">
        <v>1628</v>
      </c>
    </row>
    <row r="552" spans="1:11">
      <c r="A552" s="21">
        <v>550</v>
      </c>
      <c r="B552" s="5" t="s">
        <v>1629</v>
      </c>
      <c r="C552" s="23" t="s">
        <v>3025</v>
      </c>
      <c r="D552" s="23" t="s">
        <v>34</v>
      </c>
      <c r="E552" s="5" t="s">
        <v>1630</v>
      </c>
      <c r="F552" s="71" t="s">
        <v>6104</v>
      </c>
      <c r="G552" s="22" t="s">
        <v>74</v>
      </c>
      <c r="H552" s="5" t="s">
        <v>41</v>
      </c>
      <c r="I552" s="5" t="s">
        <v>50</v>
      </c>
      <c r="J552" s="5" t="s">
        <v>4845</v>
      </c>
      <c r="K552" s="5" t="s">
        <v>1631</v>
      </c>
    </row>
    <row r="553" spans="1:11">
      <c r="A553" s="21">
        <v>551</v>
      </c>
      <c r="B553" s="5" t="s">
        <v>1632</v>
      </c>
      <c r="C553" s="23" t="s">
        <v>3152</v>
      </c>
      <c r="D553" s="23" t="s">
        <v>77</v>
      </c>
      <c r="E553" s="5" t="s">
        <v>1633</v>
      </c>
      <c r="F553" s="71" t="s">
        <v>6104</v>
      </c>
      <c r="G553" s="22" t="s">
        <v>179</v>
      </c>
      <c r="H553" s="5" t="s">
        <v>3932</v>
      </c>
      <c r="I553" s="5" t="s">
        <v>21</v>
      </c>
      <c r="J553" s="5" t="s">
        <v>4801</v>
      </c>
      <c r="K553" s="5" t="s">
        <v>1634</v>
      </c>
    </row>
    <row r="554" spans="1:11">
      <c r="A554" s="21">
        <v>552</v>
      </c>
      <c r="B554" s="5" t="s">
        <v>1635</v>
      </c>
      <c r="C554" s="23" t="s">
        <v>3791</v>
      </c>
      <c r="D554" s="23" t="s">
        <v>59</v>
      </c>
      <c r="E554" s="5" t="s">
        <v>1636</v>
      </c>
      <c r="F554" s="71" t="s">
        <v>6104</v>
      </c>
      <c r="G554" s="22" t="s">
        <v>24</v>
      </c>
      <c r="H554" s="5" t="s">
        <v>25</v>
      </c>
      <c r="I554" s="5" t="s">
        <v>67</v>
      </c>
      <c r="J554" s="5" t="s">
        <v>5382</v>
      </c>
      <c r="K554" s="5" t="s">
        <v>1637</v>
      </c>
    </row>
    <row r="555" spans="1:11">
      <c r="A555" s="21">
        <v>553</v>
      </c>
      <c r="B555" s="5" t="s">
        <v>1638</v>
      </c>
      <c r="C555" s="23" t="s">
        <v>3492</v>
      </c>
      <c r="D555" s="23" t="s">
        <v>77</v>
      </c>
      <c r="E555" s="5" t="s">
        <v>1639</v>
      </c>
      <c r="F555" s="71" t="s">
        <v>6104</v>
      </c>
      <c r="G555" s="22" t="s">
        <v>160</v>
      </c>
      <c r="H555" s="5" t="s">
        <v>3932</v>
      </c>
      <c r="I555" s="5" t="s">
        <v>50</v>
      </c>
      <c r="J555" s="5" t="s">
        <v>4897</v>
      </c>
      <c r="K555" s="5" t="s">
        <v>1640</v>
      </c>
    </row>
    <row r="556" spans="1:11">
      <c r="A556" s="21">
        <v>554</v>
      </c>
      <c r="B556" s="5" t="s">
        <v>1641</v>
      </c>
      <c r="C556" s="23" t="s">
        <v>3306</v>
      </c>
      <c r="D556" s="23" t="s">
        <v>77</v>
      </c>
      <c r="E556" s="5" t="s">
        <v>1642</v>
      </c>
      <c r="F556" s="71" t="s">
        <v>6104</v>
      </c>
      <c r="G556" s="22" t="s">
        <v>179</v>
      </c>
      <c r="H556" s="5" t="s">
        <v>3932</v>
      </c>
      <c r="I556" s="5" t="s">
        <v>26</v>
      </c>
      <c r="J556" s="5" t="s">
        <v>5704</v>
      </c>
      <c r="K556" s="5" t="s">
        <v>1643</v>
      </c>
    </row>
    <row r="557" spans="1:11">
      <c r="A557" s="21">
        <v>555</v>
      </c>
      <c r="B557" s="5" t="s">
        <v>1644</v>
      </c>
      <c r="C557" s="23" t="s">
        <v>3493</v>
      </c>
      <c r="D557" s="23" t="s">
        <v>77</v>
      </c>
      <c r="E557" s="5" t="s">
        <v>1645</v>
      </c>
      <c r="F557" s="71" t="s">
        <v>6104</v>
      </c>
      <c r="G557" s="22" t="s">
        <v>160</v>
      </c>
      <c r="H557" s="5" t="s">
        <v>3932</v>
      </c>
      <c r="I557" s="5" t="s">
        <v>56</v>
      </c>
      <c r="J557" s="5" t="s">
        <v>5072</v>
      </c>
      <c r="K557" s="5" t="s">
        <v>1646</v>
      </c>
    </row>
    <row r="558" spans="1:11">
      <c r="A558" s="21">
        <v>556</v>
      </c>
      <c r="B558" s="5" t="s">
        <v>1647</v>
      </c>
      <c r="C558" s="23" t="s">
        <v>3916</v>
      </c>
      <c r="D558" s="23" t="s">
        <v>17</v>
      </c>
      <c r="E558" s="5" t="s">
        <v>1648</v>
      </c>
      <c r="F558" s="71" t="s">
        <v>6104</v>
      </c>
      <c r="G558" s="22" t="s">
        <v>119</v>
      </c>
      <c r="H558" s="5" t="s">
        <v>120</v>
      </c>
      <c r="I558" s="5" t="s">
        <v>42</v>
      </c>
      <c r="J558" s="5" t="s">
        <v>5076</v>
      </c>
      <c r="K558" s="5" t="s">
        <v>1649</v>
      </c>
    </row>
    <row r="559" spans="1:11">
      <c r="A559" s="21">
        <v>557</v>
      </c>
      <c r="B559" s="5" t="s">
        <v>1650</v>
      </c>
      <c r="C559" s="23" t="s">
        <v>3711</v>
      </c>
      <c r="D559" s="23" t="s">
        <v>59</v>
      </c>
      <c r="E559" s="5" t="s">
        <v>1651</v>
      </c>
      <c r="F559" s="71" t="s">
        <v>6104</v>
      </c>
      <c r="G559" s="22" t="s">
        <v>3934</v>
      </c>
      <c r="H559" s="5" t="s">
        <v>13</v>
      </c>
      <c r="I559" s="5" t="s">
        <v>67</v>
      </c>
      <c r="J559" s="5" t="s">
        <v>5392</v>
      </c>
      <c r="K559" s="5" t="s">
        <v>1652</v>
      </c>
    </row>
    <row r="560" spans="1:11">
      <c r="A560" s="21">
        <v>558</v>
      </c>
      <c r="B560" s="5" t="s">
        <v>1653</v>
      </c>
      <c r="C560" s="23" t="s">
        <v>3026</v>
      </c>
      <c r="D560" s="23" t="s">
        <v>34</v>
      </c>
      <c r="E560" s="5" t="s">
        <v>1654</v>
      </c>
      <c r="F560" s="71" t="s">
        <v>6104</v>
      </c>
      <c r="G560" s="22" t="s">
        <v>74</v>
      </c>
      <c r="H560" s="5" t="s">
        <v>71</v>
      </c>
      <c r="I560" s="5" t="s">
        <v>50</v>
      </c>
      <c r="J560" s="5" t="s">
        <v>5532</v>
      </c>
      <c r="K560" s="5" t="s">
        <v>1655</v>
      </c>
    </row>
    <row r="561" spans="1:11">
      <c r="A561" s="21">
        <v>559</v>
      </c>
      <c r="B561" s="5" t="s">
        <v>1656</v>
      </c>
      <c r="C561" s="23" t="s">
        <v>3494</v>
      </c>
      <c r="D561" s="23" t="s">
        <v>77</v>
      </c>
      <c r="E561" s="5" t="s">
        <v>1657</v>
      </c>
      <c r="F561" s="71" t="s">
        <v>6104</v>
      </c>
      <c r="G561" s="22" t="s">
        <v>160</v>
      </c>
      <c r="H561" s="5" t="s">
        <v>3932</v>
      </c>
      <c r="I561" s="5" t="s">
        <v>26</v>
      </c>
      <c r="J561" s="5" t="s">
        <v>5391</v>
      </c>
      <c r="K561" s="5" t="s">
        <v>1658</v>
      </c>
    </row>
    <row r="562" spans="1:11">
      <c r="A562" s="21">
        <v>560</v>
      </c>
      <c r="B562" s="5" t="s">
        <v>3951</v>
      </c>
      <c r="C562" s="23" t="s">
        <v>3153</v>
      </c>
      <c r="D562" s="23" t="s">
        <v>77</v>
      </c>
      <c r="E562" s="5" t="s">
        <v>1659</v>
      </c>
      <c r="F562" s="71" t="s">
        <v>6104</v>
      </c>
      <c r="G562" s="22" t="s">
        <v>179</v>
      </c>
      <c r="H562" s="22" t="s">
        <v>179</v>
      </c>
      <c r="I562" s="5" t="s">
        <v>50</v>
      </c>
      <c r="J562" s="5" t="s">
        <v>5372</v>
      </c>
      <c r="K562" s="5" t="s">
        <v>1660</v>
      </c>
    </row>
    <row r="563" spans="1:11">
      <c r="A563" s="21">
        <v>561</v>
      </c>
      <c r="B563" s="5" t="s">
        <v>1661</v>
      </c>
      <c r="C563" s="23" t="s">
        <v>3388</v>
      </c>
      <c r="D563" s="23" t="s">
        <v>17</v>
      </c>
      <c r="E563" s="5" t="s">
        <v>1662</v>
      </c>
      <c r="F563" s="71" t="s">
        <v>6104</v>
      </c>
      <c r="G563" s="22" t="s">
        <v>3933</v>
      </c>
      <c r="H563" s="5" t="s">
        <v>3932</v>
      </c>
      <c r="I563" s="5" t="s">
        <v>56</v>
      </c>
      <c r="J563" s="5" t="s">
        <v>4992</v>
      </c>
      <c r="K563" s="5" t="s">
        <v>1663</v>
      </c>
    </row>
    <row r="564" spans="1:11">
      <c r="A564" s="21">
        <v>562</v>
      </c>
      <c r="B564" s="5" t="s">
        <v>1664</v>
      </c>
      <c r="C564" s="23" t="s">
        <v>3495</v>
      </c>
      <c r="D564" s="23" t="s">
        <v>77</v>
      </c>
      <c r="E564" s="5" t="s">
        <v>1665</v>
      </c>
      <c r="F564" s="71" t="s">
        <v>6104</v>
      </c>
      <c r="G564" s="22" t="s">
        <v>160</v>
      </c>
      <c r="H564" s="5" t="s">
        <v>3932</v>
      </c>
      <c r="I564" s="5" t="s">
        <v>56</v>
      </c>
      <c r="J564" s="5" t="s">
        <v>5635</v>
      </c>
      <c r="K564" s="5" t="s">
        <v>1666</v>
      </c>
    </row>
    <row r="565" spans="1:11">
      <c r="A565" s="21">
        <v>563</v>
      </c>
      <c r="B565" s="5" t="s">
        <v>1667</v>
      </c>
      <c r="C565" s="23" t="s">
        <v>3839</v>
      </c>
      <c r="D565" s="23" t="s">
        <v>59</v>
      </c>
      <c r="E565" s="5" t="s">
        <v>1668</v>
      </c>
      <c r="F565" s="71" t="s">
        <v>6104</v>
      </c>
      <c r="G565" s="22" t="s">
        <v>144</v>
      </c>
      <c r="H565" s="5" t="s">
        <v>25</v>
      </c>
      <c r="I565" s="5" t="s">
        <v>26</v>
      </c>
      <c r="J565" s="5" t="s">
        <v>5178</v>
      </c>
      <c r="K565" s="5" t="s">
        <v>1669</v>
      </c>
    </row>
    <row r="566" spans="1:11">
      <c r="A566" s="21">
        <v>564</v>
      </c>
      <c r="B566" s="5" t="s">
        <v>1670</v>
      </c>
      <c r="C566" s="23" t="s">
        <v>3249</v>
      </c>
      <c r="D566" s="23" t="s">
        <v>77</v>
      </c>
      <c r="E566" s="5" t="s">
        <v>1671</v>
      </c>
      <c r="F566" s="71" t="s">
        <v>6104</v>
      </c>
      <c r="G566" s="22" t="s">
        <v>179</v>
      </c>
      <c r="H566" s="5" t="s">
        <v>3932</v>
      </c>
      <c r="I566" s="5" t="s">
        <v>26</v>
      </c>
      <c r="J566" s="5" t="s">
        <v>4870</v>
      </c>
      <c r="K566" s="5" t="s">
        <v>1672</v>
      </c>
    </row>
    <row r="567" spans="1:11">
      <c r="A567" s="21">
        <v>565</v>
      </c>
      <c r="B567" s="5" t="s">
        <v>1673</v>
      </c>
      <c r="C567" s="23" t="s">
        <v>3389</v>
      </c>
      <c r="D567" s="23" t="s">
        <v>17</v>
      </c>
      <c r="E567" s="5" t="s">
        <v>1674</v>
      </c>
      <c r="F567" s="71" t="s">
        <v>6104</v>
      </c>
      <c r="G567" s="22" t="s">
        <v>3933</v>
      </c>
      <c r="H567" s="5" t="s">
        <v>3932</v>
      </c>
      <c r="I567" s="5" t="s">
        <v>14</v>
      </c>
      <c r="J567" s="5" t="s">
        <v>4997</v>
      </c>
      <c r="K567" s="5" t="s">
        <v>1675</v>
      </c>
    </row>
    <row r="568" spans="1:11">
      <c r="A568" s="21">
        <v>566</v>
      </c>
      <c r="B568" s="5" t="s">
        <v>1676</v>
      </c>
      <c r="C568" s="23" t="s">
        <v>3095</v>
      </c>
      <c r="D568" s="23" t="s">
        <v>77</v>
      </c>
      <c r="E568" s="5" t="s">
        <v>1677</v>
      </c>
      <c r="F568" s="71" t="s">
        <v>6104</v>
      </c>
      <c r="G568" s="22" t="s">
        <v>179</v>
      </c>
      <c r="H568" s="22" t="s">
        <v>3932</v>
      </c>
      <c r="I568" s="5" t="s">
        <v>67</v>
      </c>
      <c r="J568" s="5" t="s">
        <v>4816</v>
      </c>
      <c r="K568" s="5" t="s">
        <v>1678</v>
      </c>
    </row>
    <row r="569" spans="1:11">
      <c r="A569" s="21">
        <v>567</v>
      </c>
      <c r="B569" s="5" t="s">
        <v>1679</v>
      </c>
      <c r="C569" s="23" t="s">
        <v>3154</v>
      </c>
      <c r="D569" s="23" t="s">
        <v>34</v>
      </c>
      <c r="E569" s="5" t="s">
        <v>1680</v>
      </c>
      <c r="F569" s="71" t="s">
        <v>6104</v>
      </c>
      <c r="G569" s="22" t="s">
        <v>179</v>
      </c>
      <c r="H569" s="5" t="s">
        <v>3932</v>
      </c>
      <c r="I569" s="5" t="s">
        <v>21</v>
      </c>
      <c r="J569" s="5" t="s">
        <v>4991</v>
      </c>
      <c r="K569" s="5" t="s">
        <v>1681</v>
      </c>
    </row>
    <row r="570" spans="1:11">
      <c r="A570" s="21">
        <v>568</v>
      </c>
      <c r="B570" s="5" t="s">
        <v>1682</v>
      </c>
      <c r="C570" s="23" t="s">
        <v>3496</v>
      </c>
      <c r="D570" s="23" t="s">
        <v>77</v>
      </c>
      <c r="E570" s="5" t="s">
        <v>1683</v>
      </c>
      <c r="F570" s="71" t="s">
        <v>6104</v>
      </c>
      <c r="G570" s="22" t="s">
        <v>160</v>
      </c>
      <c r="H570" s="5" t="s">
        <v>3932</v>
      </c>
      <c r="I570" s="5" t="s">
        <v>14</v>
      </c>
      <c r="J570" s="5" t="s">
        <v>5109</v>
      </c>
      <c r="K570" s="5" t="s">
        <v>1684</v>
      </c>
    </row>
    <row r="571" spans="1:11">
      <c r="A571" s="21">
        <v>569</v>
      </c>
      <c r="B571" s="5" t="s">
        <v>1685</v>
      </c>
      <c r="C571" s="23" t="s">
        <v>3497</v>
      </c>
      <c r="D571" s="23" t="s">
        <v>77</v>
      </c>
      <c r="E571" s="5" t="s">
        <v>1686</v>
      </c>
      <c r="F571" s="71" t="s">
        <v>6104</v>
      </c>
      <c r="G571" s="22" t="s">
        <v>160</v>
      </c>
      <c r="H571" s="5" t="s">
        <v>3932</v>
      </c>
      <c r="I571" s="5" t="s">
        <v>42</v>
      </c>
      <c r="J571" s="5" t="s">
        <v>5062</v>
      </c>
      <c r="K571" s="5" t="s">
        <v>1687</v>
      </c>
    </row>
    <row r="572" spans="1:11">
      <c r="A572" s="21">
        <v>570</v>
      </c>
      <c r="B572" s="5" t="s">
        <v>1688</v>
      </c>
      <c r="C572" s="23" t="s">
        <v>3624</v>
      </c>
      <c r="D572" s="23" t="s">
        <v>59</v>
      </c>
      <c r="E572" s="5" t="s">
        <v>1689</v>
      </c>
      <c r="F572" s="71" t="s">
        <v>6104</v>
      </c>
      <c r="G572" s="22" t="s">
        <v>179</v>
      </c>
      <c r="H572" s="5" t="s">
        <v>36</v>
      </c>
      <c r="I572" s="5" t="s">
        <v>14</v>
      </c>
      <c r="J572" s="5" t="s">
        <v>5293</v>
      </c>
      <c r="K572" s="5" t="s">
        <v>1690</v>
      </c>
    </row>
    <row r="573" spans="1:11">
      <c r="A573" s="21">
        <v>571</v>
      </c>
      <c r="B573" s="5" t="s">
        <v>1691</v>
      </c>
      <c r="C573" s="23" t="s">
        <v>3792</v>
      </c>
      <c r="D573" s="23" t="s">
        <v>59</v>
      </c>
      <c r="E573" s="5" t="s">
        <v>1692</v>
      </c>
      <c r="F573" s="71" t="s">
        <v>6104</v>
      </c>
      <c r="G573" s="22" t="s">
        <v>24</v>
      </c>
      <c r="H573" s="5" t="s">
        <v>25</v>
      </c>
      <c r="I573" s="5" t="s">
        <v>67</v>
      </c>
      <c r="J573" s="5" t="s">
        <v>5423</v>
      </c>
      <c r="K573" s="5" t="s">
        <v>1693</v>
      </c>
    </row>
    <row r="574" spans="1:11">
      <c r="A574" s="21">
        <v>572</v>
      </c>
      <c r="B574" s="5" t="s">
        <v>1694</v>
      </c>
      <c r="C574" s="23" t="s">
        <v>3840</v>
      </c>
      <c r="D574" s="23" t="s">
        <v>59</v>
      </c>
      <c r="E574" s="5" t="s">
        <v>1695</v>
      </c>
      <c r="F574" s="71" t="s">
        <v>6104</v>
      </c>
      <c r="G574" s="22" t="s">
        <v>144</v>
      </c>
      <c r="H574" s="5" t="s">
        <v>25</v>
      </c>
      <c r="I574" s="5" t="s">
        <v>67</v>
      </c>
      <c r="J574" s="5" t="s">
        <v>5643</v>
      </c>
      <c r="K574" s="5" t="s">
        <v>1696</v>
      </c>
    </row>
    <row r="575" spans="1:11">
      <c r="A575" s="21">
        <v>573</v>
      </c>
      <c r="B575" s="5" t="s">
        <v>1697</v>
      </c>
      <c r="C575" s="23" t="s">
        <v>3917</v>
      </c>
      <c r="D575" s="23" t="s">
        <v>17</v>
      </c>
      <c r="E575" s="5" t="s">
        <v>1698</v>
      </c>
      <c r="F575" s="71" t="s">
        <v>6104</v>
      </c>
      <c r="G575" s="22" t="s">
        <v>85</v>
      </c>
      <c r="H575" s="5" t="s">
        <v>120</v>
      </c>
      <c r="I575" s="5" t="s">
        <v>14</v>
      </c>
      <c r="J575" s="5" t="s">
        <v>4797</v>
      </c>
      <c r="K575" s="5" t="s">
        <v>1699</v>
      </c>
    </row>
    <row r="576" spans="1:11">
      <c r="A576" s="21">
        <v>574</v>
      </c>
      <c r="B576" s="5" t="s">
        <v>1700</v>
      </c>
      <c r="C576" s="23" t="s">
        <v>3625</v>
      </c>
      <c r="D576" s="23" t="s">
        <v>59</v>
      </c>
      <c r="E576" s="5" t="s">
        <v>1701</v>
      </c>
      <c r="F576" s="71" t="s">
        <v>6104</v>
      </c>
      <c r="G576" s="22" t="s">
        <v>160</v>
      </c>
      <c r="H576" s="5" t="s">
        <v>36</v>
      </c>
      <c r="I576" s="5" t="s">
        <v>50</v>
      </c>
      <c r="J576" s="5" t="s">
        <v>5659</v>
      </c>
      <c r="K576" s="5" t="s">
        <v>1702</v>
      </c>
    </row>
    <row r="577" spans="1:11">
      <c r="A577" s="21">
        <v>575</v>
      </c>
      <c r="B577" s="5" t="s">
        <v>1703</v>
      </c>
      <c r="C577" s="23" t="s">
        <v>3918</v>
      </c>
      <c r="D577" s="23" t="s">
        <v>17</v>
      </c>
      <c r="E577" s="5" t="s">
        <v>1704</v>
      </c>
      <c r="F577" s="71" t="s">
        <v>6104</v>
      </c>
      <c r="G577" s="22" t="s">
        <v>119</v>
      </c>
      <c r="H577" s="5" t="s">
        <v>86</v>
      </c>
      <c r="I577" s="5" t="s">
        <v>56</v>
      </c>
      <c r="J577" s="5" t="s">
        <v>5609</v>
      </c>
      <c r="K577" s="5" t="s">
        <v>1705</v>
      </c>
    </row>
    <row r="578" spans="1:11">
      <c r="A578" s="21">
        <v>576</v>
      </c>
      <c r="B578" s="5" t="s">
        <v>1706</v>
      </c>
      <c r="C578" s="23" t="s">
        <v>3626</v>
      </c>
      <c r="D578" s="23" t="s">
        <v>59</v>
      </c>
      <c r="E578" s="5" t="s">
        <v>1707</v>
      </c>
      <c r="F578" s="71" t="s">
        <v>6104</v>
      </c>
      <c r="G578" s="22" t="s">
        <v>160</v>
      </c>
      <c r="H578" s="5" t="s">
        <v>13</v>
      </c>
      <c r="I578" s="5" t="s">
        <v>21</v>
      </c>
      <c r="J578" s="5" t="s">
        <v>5104</v>
      </c>
      <c r="K578" s="5" t="s">
        <v>1708</v>
      </c>
    </row>
    <row r="579" spans="1:11">
      <c r="A579" s="21">
        <v>577</v>
      </c>
      <c r="B579" s="5" t="s">
        <v>1709</v>
      </c>
      <c r="C579" s="23" t="s">
        <v>3155</v>
      </c>
      <c r="D579" s="23" t="s">
        <v>77</v>
      </c>
      <c r="E579" s="5" t="s">
        <v>1710</v>
      </c>
      <c r="F579" s="71" t="s">
        <v>6104</v>
      </c>
      <c r="G579" s="22" t="s">
        <v>179</v>
      </c>
      <c r="H579" s="5" t="s">
        <v>3932</v>
      </c>
      <c r="I579" s="5" t="s">
        <v>21</v>
      </c>
      <c r="J579" s="5" t="s">
        <v>5028</v>
      </c>
      <c r="K579" s="5" t="s">
        <v>1711</v>
      </c>
    </row>
    <row r="580" spans="1:11">
      <c r="A580" s="21">
        <v>578</v>
      </c>
      <c r="B580" s="5" t="s">
        <v>1712</v>
      </c>
      <c r="C580" s="23" t="s">
        <v>3156</v>
      </c>
      <c r="D580" s="23" t="s">
        <v>77</v>
      </c>
      <c r="E580" s="5" t="s">
        <v>1713</v>
      </c>
      <c r="F580" s="71" t="s">
        <v>6104</v>
      </c>
      <c r="G580" s="22" t="s">
        <v>179</v>
      </c>
      <c r="H580" s="22" t="s">
        <v>3932</v>
      </c>
      <c r="I580" s="5" t="s">
        <v>56</v>
      </c>
      <c r="J580" s="5" t="s">
        <v>5754</v>
      </c>
      <c r="K580" s="5" t="s">
        <v>1714</v>
      </c>
    </row>
    <row r="581" spans="1:11">
      <c r="A581" s="21">
        <v>579</v>
      </c>
      <c r="B581" s="5" t="s">
        <v>1715</v>
      </c>
      <c r="C581" s="23" t="s">
        <v>3841</v>
      </c>
      <c r="D581" s="23" t="s">
        <v>59</v>
      </c>
      <c r="E581" s="5" t="s">
        <v>1716</v>
      </c>
      <c r="F581" s="71" t="s">
        <v>6104</v>
      </c>
      <c r="G581" s="22" t="s">
        <v>144</v>
      </c>
      <c r="H581" s="5" t="s">
        <v>25</v>
      </c>
      <c r="I581" s="5" t="s">
        <v>56</v>
      </c>
      <c r="J581" s="5" t="s">
        <v>5252</v>
      </c>
      <c r="K581" s="5" t="s">
        <v>1717</v>
      </c>
    </row>
    <row r="582" spans="1:11">
      <c r="A582" s="21">
        <v>580</v>
      </c>
      <c r="B582" s="5" t="s">
        <v>1718</v>
      </c>
      <c r="C582" s="23" t="s">
        <v>3390</v>
      </c>
      <c r="D582" s="23" t="s">
        <v>17</v>
      </c>
      <c r="E582" s="5" t="s">
        <v>1719</v>
      </c>
      <c r="F582" s="71" t="s">
        <v>6104</v>
      </c>
      <c r="G582" s="22" t="s">
        <v>3933</v>
      </c>
      <c r="H582" s="5" t="s">
        <v>3932</v>
      </c>
      <c r="I582" s="5" t="s">
        <v>14</v>
      </c>
      <c r="J582" s="5" t="s">
        <v>5589</v>
      </c>
      <c r="K582" s="5" t="s">
        <v>1720</v>
      </c>
    </row>
    <row r="583" spans="1:11">
      <c r="A583" s="21">
        <v>581</v>
      </c>
      <c r="B583" s="5" t="s">
        <v>1721</v>
      </c>
      <c r="C583" s="23" t="s">
        <v>3712</v>
      </c>
      <c r="D583" s="23" t="s">
        <v>59</v>
      </c>
      <c r="E583" s="5" t="s">
        <v>1722</v>
      </c>
      <c r="F583" s="71" t="s">
        <v>6104</v>
      </c>
      <c r="G583" s="22" t="s">
        <v>3934</v>
      </c>
      <c r="H583" s="5" t="s">
        <v>13</v>
      </c>
      <c r="I583" s="5" t="s">
        <v>67</v>
      </c>
      <c r="J583" s="5" t="s">
        <v>5306</v>
      </c>
      <c r="K583" s="5" t="s">
        <v>1723</v>
      </c>
    </row>
    <row r="584" spans="1:11">
      <c r="A584" s="21">
        <v>582</v>
      </c>
      <c r="B584" s="5" t="s">
        <v>1724</v>
      </c>
      <c r="C584" s="23" t="s">
        <v>3627</v>
      </c>
      <c r="D584" s="23" t="s">
        <v>59</v>
      </c>
      <c r="E584" s="5" t="s">
        <v>1725</v>
      </c>
      <c r="F584" s="71" t="s">
        <v>6104</v>
      </c>
      <c r="G584" s="22" t="s">
        <v>179</v>
      </c>
      <c r="H584" s="5" t="s">
        <v>36</v>
      </c>
      <c r="I584" s="5" t="s">
        <v>21</v>
      </c>
      <c r="J584" s="5" t="s">
        <v>5419</v>
      </c>
      <c r="K584" s="5" t="s">
        <v>1726</v>
      </c>
    </row>
    <row r="585" spans="1:11">
      <c r="A585" s="21">
        <v>583</v>
      </c>
      <c r="B585" s="5" t="s">
        <v>1727</v>
      </c>
      <c r="C585" s="23" t="s">
        <v>3713</v>
      </c>
      <c r="D585" s="23" t="s">
        <v>59</v>
      </c>
      <c r="E585" s="5" t="s">
        <v>1728</v>
      </c>
      <c r="F585" s="71" t="s">
        <v>6104</v>
      </c>
      <c r="G585" s="22" t="s">
        <v>3934</v>
      </c>
      <c r="H585" s="5" t="s">
        <v>13</v>
      </c>
      <c r="I585" s="5" t="s">
        <v>50</v>
      </c>
      <c r="J585" s="5" t="s">
        <v>4937</v>
      </c>
      <c r="K585" s="5" t="s">
        <v>1729</v>
      </c>
    </row>
    <row r="586" spans="1:11">
      <c r="A586" s="21">
        <v>584</v>
      </c>
      <c r="B586" s="5" t="s">
        <v>1730</v>
      </c>
      <c r="C586" s="23" t="s">
        <v>3628</v>
      </c>
      <c r="D586" s="23" t="s">
        <v>59</v>
      </c>
      <c r="E586" s="5" t="s">
        <v>1731</v>
      </c>
      <c r="F586" s="71" t="s">
        <v>6105</v>
      </c>
      <c r="G586" s="22" t="s">
        <v>160</v>
      </c>
      <c r="H586" s="5" t="s">
        <v>36</v>
      </c>
      <c r="I586" s="5" t="s">
        <v>67</v>
      </c>
      <c r="J586" s="5" t="s">
        <v>5634</v>
      </c>
      <c r="K586" s="5" t="s">
        <v>1732</v>
      </c>
    </row>
    <row r="587" spans="1:11">
      <c r="A587" s="21">
        <v>585</v>
      </c>
      <c r="B587" s="5" t="s">
        <v>1733</v>
      </c>
      <c r="C587" s="23" t="s">
        <v>3157</v>
      </c>
      <c r="D587" s="23" t="s">
        <v>77</v>
      </c>
      <c r="E587" s="5" t="s">
        <v>1734</v>
      </c>
      <c r="F587" s="71" t="s">
        <v>6105</v>
      </c>
      <c r="G587" s="22" t="s">
        <v>179</v>
      </c>
      <c r="H587" s="22" t="s">
        <v>179</v>
      </c>
      <c r="I587" s="5" t="s">
        <v>50</v>
      </c>
      <c r="J587" s="5" t="s">
        <v>5362</v>
      </c>
      <c r="K587" s="5" t="s">
        <v>1735</v>
      </c>
    </row>
    <row r="588" spans="1:11">
      <c r="A588" s="21">
        <v>586</v>
      </c>
      <c r="B588" s="5" t="s">
        <v>1736</v>
      </c>
      <c r="C588" s="23" t="s">
        <v>3629</v>
      </c>
      <c r="D588" s="23" t="s">
        <v>59</v>
      </c>
      <c r="E588" s="5" t="s">
        <v>1737</v>
      </c>
      <c r="F588" s="71" t="s">
        <v>6105</v>
      </c>
      <c r="G588" s="22" t="s">
        <v>160</v>
      </c>
      <c r="H588" s="5" t="s">
        <v>13</v>
      </c>
      <c r="I588" s="5" t="s">
        <v>67</v>
      </c>
      <c r="J588" s="5" t="s">
        <v>5093</v>
      </c>
      <c r="K588" s="5" t="s">
        <v>1738</v>
      </c>
    </row>
    <row r="589" spans="1:11">
      <c r="A589" s="21">
        <v>587</v>
      </c>
      <c r="B589" s="5" t="s">
        <v>1739</v>
      </c>
      <c r="C589" s="23" t="s">
        <v>3842</v>
      </c>
      <c r="D589" s="23" t="s">
        <v>59</v>
      </c>
      <c r="E589" s="5" t="s">
        <v>1740</v>
      </c>
      <c r="F589" s="71" t="s">
        <v>6105</v>
      </c>
      <c r="G589" s="22" t="s">
        <v>144</v>
      </c>
      <c r="H589" s="5" t="s">
        <v>25</v>
      </c>
      <c r="I589" s="5" t="s">
        <v>26</v>
      </c>
      <c r="J589" s="5" t="s">
        <v>5110</v>
      </c>
      <c r="K589" s="5" t="s">
        <v>1741</v>
      </c>
    </row>
    <row r="590" spans="1:11">
      <c r="A590" s="21">
        <v>588</v>
      </c>
      <c r="B590" s="5" t="s">
        <v>1742</v>
      </c>
      <c r="C590" s="23" t="s">
        <v>3391</v>
      </c>
      <c r="D590" s="23" t="s">
        <v>17</v>
      </c>
      <c r="E590" s="5" t="s">
        <v>1743</v>
      </c>
      <c r="F590" s="71" t="s">
        <v>6105</v>
      </c>
      <c r="G590" s="22" t="s">
        <v>3933</v>
      </c>
      <c r="H590" s="5" t="s">
        <v>3932</v>
      </c>
      <c r="I590" s="5" t="s">
        <v>42</v>
      </c>
      <c r="J590" s="5" t="s">
        <v>4821</v>
      </c>
      <c r="K590" s="5">
        <v>89756465588</v>
      </c>
    </row>
    <row r="591" spans="1:11">
      <c r="A591" s="21">
        <v>589</v>
      </c>
      <c r="B591" s="5" t="s">
        <v>1744</v>
      </c>
      <c r="C591" s="23" t="s">
        <v>3793</v>
      </c>
      <c r="D591" s="23" t="s">
        <v>59</v>
      </c>
      <c r="E591" s="5" t="s">
        <v>1745</v>
      </c>
      <c r="F591" s="71" t="s">
        <v>6105</v>
      </c>
      <c r="G591" s="22" t="s">
        <v>24</v>
      </c>
      <c r="H591" s="5" t="s">
        <v>25</v>
      </c>
      <c r="I591" s="5" t="s">
        <v>50</v>
      </c>
      <c r="J591" s="5" t="s">
        <v>5607</v>
      </c>
      <c r="K591" s="5">
        <v>89756465589</v>
      </c>
    </row>
    <row r="592" spans="1:11">
      <c r="A592" s="21">
        <v>590</v>
      </c>
      <c r="B592" s="5" t="s">
        <v>1746</v>
      </c>
      <c r="C592" s="23" t="s">
        <v>3919</v>
      </c>
      <c r="D592" s="23" t="s">
        <v>17</v>
      </c>
      <c r="E592" s="5" t="s">
        <v>1747</v>
      </c>
      <c r="F592" s="71" t="s">
        <v>6105</v>
      </c>
      <c r="G592" s="22" t="s">
        <v>85</v>
      </c>
      <c r="H592" s="5" t="s">
        <v>120</v>
      </c>
      <c r="I592" s="5" t="s">
        <v>42</v>
      </c>
      <c r="J592" s="5" t="s">
        <v>5624</v>
      </c>
      <c r="K592" s="5" t="s">
        <v>1748</v>
      </c>
    </row>
    <row r="593" spans="1:11">
      <c r="A593" s="21">
        <v>591</v>
      </c>
      <c r="B593" s="5" t="s">
        <v>1749</v>
      </c>
      <c r="C593" s="23" t="s">
        <v>3561</v>
      </c>
      <c r="D593" s="23" t="s">
        <v>77</v>
      </c>
      <c r="E593" s="5" t="s">
        <v>1750</v>
      </c>
      <c r="F593" s="71" t="s">
        <v>6105</v>
      </c>
      <c r="G593" s="22" t="s">
        <v>12</v>
      </c>
      <c r="H593" s="5" t="s">
        <v>36</v>
      </c>
      <c r="I593" s="5" t="s">
        <v>56</v>
      </c>
      <c r="J593" s="5" t="s">
        <v>5366</v>
      </c>
      <c r="K593" s="5">
        <v>820802079</v>
      </c>
    </row>
    <row r="594" spans="1:11">
      <c r="A594" s="21">
        <v>592</v>
      </c>
      <c r="B594" s="5" t="s">
        <v>1751</v>
      </c>
      <c r="C594" s="23" t="s">
        <v>3498</v>
      </c>
      <c r="D594" s="23" t="s">
        <v>77</v>
      </c>
      <c r="E594" s="5" t="s">
        <v>1752</v>
      </c>
      <c r="F594" s="71" t="s">
        <v>6105</v>
      </c>
      <c r="G594" s="22" t="s">
        <v>160</v>
      </c>
      <c r="H594" s="5" t="s">
        <v>3932</v>
      </c>
      <c r="I594" s="5" t="s">
        <v>50</v>
      </c>
      <c r="J594" s="5" t="s">
        <v>5523</v>
      </c>
      <c r="K594" s="5" t="s">
        <v>1753</v>
      </c>
    </row>
    <row r="595" spans="1:11">
      <c r="A595" s="21">
        <v>593</v>
      </c>
      <c r="B595" s="5" t="s">
        <v>1754</v>
      </c>
      <c r="C595" s="23" t="s">
        <v>3250</v>
      </c>
      <c r="D595" s="23" t="s">
        <v>77</v>
      </c>
      <c r="E595" s="5" t="s">
        <v>1755</v>
      </c>
      <c r="F595" s="71" t="s">
        <v>6105</v>
      </c>
      <c r="G595" s="22" t="s">
        <v>179</v>
      </c>
      <c r="H595" s="5" t="s">
        <v>3932</v>
      </c>
      <c r="I595" s="5" t="s">
        <v>56</v>
      </c>
      <c r="J595" s="5" t="s">
        <v>4928</v>
      </c>
      <c r="K595" s="5" t="s">
        <v>1756</v>
      </c>
    </row>
    <row r="596" spans="1:11">
      <c r="A596" s="21">
        <v>594</v>
      </c>
      <c r="B596" s="5" t="s">
        <v>1757</v>
      </c>
      <c r="C596" s="23" t="s">
        <v>3158</v>
      </c>
      <c r="D596" s="23" t="s">
        <v>34</v>
      </c>
      <c r="E596" s="5" t="s">
        <v>1758</v>
      </c>
      <c r="F596" s="71" t="s">
        <v>6105</v>
      </c>
      <c r="G596" s="22" t="s">
        <v>179</v>
      </c>
      <c r="H596" s="22" t="s">
        <v>3932</v>
      </c>
      <c r="I596" s="5" t="s">
        <v>67</v>
      </c>
      <c r="J596" s="5" t="s">
        <v>5175</v>
      </c>
      <c r="K596" s="5" t="s">
        <v>1759</v>
      </c>
    </row>
    <row r="597" spans="1:11">
      <c r="A597" s="21">
        <v>595</v>
      </c>
      <c r="B597" s="5" t="s">
        <v>1760</v>
      </c>
      <c r="C597" s="23" t="s">
        <v>3714</v>
      </c>
      <c r="D597" s="23" t="s">
        <v>59</v>
      </c>
      <c r="E597" s="5" t="s">
        <v>1761</v>
      </c>
      <c r="F597" s="71" t="s">
        <v>6105</v>
      </c>
      <c r="G597" s="22" t="s">
        <v>3934</v>
      </c>
      <c r="H597" s="5" t="s">
        <v>13</v>
      </c>
      <c r="I597" s="5" t="s">
        <v>42</v>
      </c>
      <c r="J597" s="5" t="s">
        <v>4819</v>
      </c>
      <c r="K597" s="5" t="s">
        <v>1762</v>
      </c>
    </row>
    <row r="598" spans="1:11">
      <c r="A598" s="21">
        <v>596</v>
      </c>
      <c r="B598" s="5" t="s">
        <v>1763</v>
      </c>
      <c r="C598" s="23" t="s">
        <v>3159</v>
      </c>
      <c r="D598" s="23" t="s">
        <v>77</v>
      </c>
      <c r="E598" s="5" t="s">
        <v>1764</v>
      </c>
      <c r="F598" s="71" t="s">
        <v>6105</v>
      </c>
      <c r="G598" s="22" t="s">
        <v>179</v>
      </c>
      <c r="H598" s="22" t="s">
        <v>3932</v>
      </c>
      <c r="I598" s="5" t="s">
        <v>67</v>
      </c>
      <c r="J598" s="5" t="s">
        <v>5620</v>
      </c>
      <c r="K598" s="5" t="s">
        <v>1765</v>
      </c>
    </row>
    <row r="599" spans="1:11">
      <c r="A599" s="21">
        <v>597</v>
      </c>
      <c r="B599" s="5" t="s">
        <v>1766</v>
      </c>
      <c r="C599" s="23" t="s">
        <v>3307</v>
      </c>
      <c r="D599" s="23" t="s">
        <v>77</v>
      </c>
      <c r="E599" s="5" t="s">
        <v>1767</v>
      </c>
      <c r="F599" s="71" t="s">
        <v>6105</v>
      </c>
      <c r="G599" s="22" t="s">
        <v>179</v>
      </c>
      <c r="H599" s="5" t="s">
        <v>3932</v>
      </c>
      <c r="I599" s="5" t="s">
        <v>50</v>
      </c>
      <c r="J599" s="5" t="s">
        <v>5259</v>
      </c>
      <c r="K599" s="5" t="s">
        <v>1768</v>
      </c>
    </row>
    <row r="600" spans="1:11">
      <c r="A600" s="21">
        <v>598</v>
      </c>
      <c r="B600" s="5" t="s">
        <v>1769</v>
      </c>
      <c r="C600" s="23" t="s">
        <v>3715</v>
      </c>
      <c r="D600" s="23" t="s">
        <v>59</v>
      </c>
      <c r="E600" s="5" t="s">
        <v>1770</v>
      </c>
      <c r="F600" s="71" t="s">
        <v>6105</v>
      </c>
      <c r="G600" s="22" t="s">
        <v>3934</v>
      </c>
      <c r="H600" s="5" t="s">
        <v>13</v>
      </c>
      <c r="I600" s="5" t="s">
        <v>14</v>
      </c>
      <c r="J600" s="5" t="s">
        <v>5394</v>
      </c>
      <c r="K600" s="5" t="s">
        <v>1771</v>
      </c>
    </row>
    <row r="601" spans="1:11">
      <c r="A601" s="21">
        <v>599</v>
      </c>
      <c r="B601" s="5" t="s">
        <v>1772</v>
      </c>
      <c r="C601" s="23" t="s">
        <v>3716</v>
      </c>
      <c r="D601" s="23" t="s">
        <v>59</v>
      </c>
      <c r="E601" s="5" t="s">
        <v>1773</v>
      </c>
      <c r="F601" s="71" t="s">
        <v>6105</v>
      </c>
      <c r="G601" s="22" t="s">
        <v>3934</v>
      </c>
      <c r="H601" s="5" t="s">
        <v>13</v>
      </c>
      <c r="I601" s="5" t="s">
        <v>50</v>
      </c>
      <c r="J601" s="5" t="s">
        <v>5707</v>
      </c>
      <c r="K601" s="5" t="s">
        <v>1774</v>
      </c>
    </row>
    <row r="602" spans="1:11">
      <c r="A602" s="21">
        <v>600</v>
      </c>
      <c r="B602" s="5" t="s">
        <v>1775</v>
      </c>
      <c r="C602" s="23" t="s">
        <v>3794</v>
      </c>
      <c r="D602" s="23" t="s">
        <v>59</v>
      </c>
      <c r="E602" s="5" t="s">
        <v>1776</v>
      </c>
      <c r="F602" s="71" t="s">
        <v>6105</v>
      </c>
      <c r="G602" s="22" t="s">
        <v>24</v>
      </c>
      <c r="H602" s="5" t="s">
        <v>25</v>
      </c>
      <c r="I602" s="5" t="s">
        <v>21</v>
      </c>
      <c r="J602" s="5" t="s">
        <v>5126</v>
      </c>
      <c r="K602" s="5" t="s">
        <v>1777</v>
      </c>
    </row>
    <row r="603" spans="1:11">
      <c r="A603" s="21">
        <v>601</v>
      </c>
      <c r="B603" s="5" t="s">
        <v>1778</v>
      </c>
      <c r="C603" s="23" t="s">
        <v>3160</v>
      </c>
      <c r="D603" s="23" t="s">
        <v>77</v>
      </c>
      <c r="E603" s="5" t="s">
        <v>1779</v>
      </c>
      <c r="F603" s="71" t="s">
        <v>6105</v>
      </c>
      <c r="G603" s="22" t="s">
        <v>179</v>
      </c>
      <c r="H603" s="22" t="s">
        <v>179</v>
      </c>
      <c r="I603" s="5" t="s">
        <v>21</v>
      </c>
      <c r="J603" s="5" t="s">
        <v>5344</v>
      </c>
      <c r="K603" s="5" t="s">
        <v>1780</v>
      </c>
    </row>
    <row r="604" spans="1:11">
      <c r="A604" s="21">
        <v>602</v>
      </c>
      <c r="B604" s="5" t="s">
        <v>3952</v>
      </c>
      <c r="C604" s="23" t="s">
        <v>3027</v>
      </c>
      <c r="D604" s="23" t="s">
        <v>34</v>
      </c>
      <c r="E604" s="5" t="s">
        <v>1781</v>
      </c>
      <c r="F604" s="71" t="s">
        <v>6105</v>
      </c>
      <c r="G604" s="22" t="s">
        <v>179</v>
      </c>
      <c r="H604" s="5" t="s">
        <v>3932</v>
      </c>
      <c r="I604" s="5" t="s">
        <v>56</v>
      </c>
      <c r="J604" s="5" t="s">
        <v>4838</v>
      </c>
      <c r="K604" s="5" t="s">
        <v>1782</v>
      </c>
    </row>
    <row r="605" spans="1:11">
      <c r="A605" s="21">
        <v>603</v>
      </c>
      <c r="B605" s="5" t="s">
        <v>1783</v>
      </c>
      <c r="C605" s="23" t="s">
        <v>3843</v>
      </c>
      <c r="D605" s="23" t="s">
        <v>59</v>
      </c>
      <c r="E605" s="5" t="s">
        <v>1784</v>
      </c>
      <c r="F605" s="71" t="s">
        <v>6105</v>
      </c>
      <c r="G605" s="22" t="s">
        <v>144</v>
      </c>
      <c r="H605" s="5" t="s">
        <v>25</v>
      </c>
      <c r="I605" s="5" t="s">
        <v>26</v>
      </c>
      <c r="J605" s="5" t="s">
        <v>5713</v>
      </c>
      <c r="K605" s="5" t="s">
        <v>1785</v>
      </c>
    </row>
    <row r="606" spans="1:11">
      <c r="A606" s="21">
        <v>604</v>
      </c>
      <c r="B606" s="5" t="s">
        <v>1786</v>
      </c>
      <c r="C606" s="23" t="s">
        <v>3499</v>
      </c>
      <c r="D606" s="23" t="s">
        <v>77</v>
      </c>
      <c r="E606" s="5" t="s">
        <v>1787</v>
      </c>
      <c r="F606" s="71" t="s">
        <v>6105</v>
      </c>
      <c r="G606" s="22" t="s">
        <v>160</v>
      </c>
      <c r="H606" s="5" t="s">
        <v>3932</v>
      </c>
      <c r="I606" s="5" t="s">
        <v>67</v>
      </c>
      <c r="J606" s="5" t="s">
        <v>4900</v>
      </c>
      <c r="K606" s="5" t="s">
        <v>1788</v>
      </c>
    </row>
    <row r="607" spans="1:11">
      <c r="A607" s="21">
        <v>605</v>
      </c>
      <c r="B607" s="5" t="s">
        <v>1789</v>
      </c>
      <c r="C607" s="23" t="s">
        <v>3795</v>
      </c>
      <c r="D607" s="23" t="s">
        <v>59</v>
      </c>
      <c r="E607" s="5" t="s">
        <v>1790</v>
      </c>
      <c r="F607" s="71" t="s">
        <v>6105</v>
      </c>
      <c r="G607" s="22" t="s">
        <v>24</v>
      </c>
      <c r="H607" s="5" t="s">
        <v>25</v>
      </c>
      <c r="I607" s="5" t="s">
        <v>21</v>
      </c>
      <c r="J607" s="5" t="s">
        <v>5594</v>
      </c>
      <c r="K607" s="5" t="s">
        <v>1791</v>
      </c>
    </row>
    <row r="608" spans="1:11">
      <c r="A608" s="21">
        <v>606</v>
      </c>
      <c r="B608" s="5" t="s">
        <v>1792</v>
      </c>
      <c r="C608" s="23" t="s">
        <v>3251</v>
      </c>
      <c r="D608" s="23" t="s">
        <v>77</v>
      </c>
      <c r="E608" s="5" t="s">
        <v>1793</v>
      </c>
      <c r="F608" s="71" t="s">
        <v>6105</v>
      </c>
      <c r="G608" s="22" t="s">
        <v>179</v>
      </c>
      <c r="H608" s="5" t="s">
        <v>3932</v>
      </c>
      <c r="I608" s="5" t="s">
        <v>21</v>
      </c>
      <c r="J608" s="5" t="s">
        <v>5265</v>
      </c>
      <c r="K608" s="5" t="s">
        <v>1794</v>
      </c>
    </row>
    <row r="609" spans="1:11">
      <c r="A609" s="21">
        <v>607</v>
      </c>
      <c r="B609" s="5" t="s">
        <v>1795</v>
      </c>
      <c r="C609" s="23" t="s">
        <v>3252</v>
      </c>
      <c r="D609" s="23" t="s">
        <v>77</v>
      </c>
      <c r="E609" s="5" t="s">
        <v>404</v>
      </c>
      <c r="F609" s="71" t="s">
        <v>6105</v>
      </c>
      <c r="G609" s="22" t="s">
        <v>179</v>
      </c>
      <c r="H609" s="5" t="s">
        <v>3932</v>
      </c>
      <c r="I609" s="5" t="s">
        <v>42</v>
      </c>
      <c r="J609" s="5" t="s">
        <v>4825</v>
      </c>
      <c r="K609" s="5" t="s">
        <v>1796</v>
      </c>
    </row>
    <row r="610" spans="1:11">
      <c r="A610" s="21">
        <v>608</v>
      </c>
      <c r="B610" s="5" t="s">
        <v>1797</v>
      </c>
      <c r="C610" s="23" t="s">
        <v>3392</v>
      </c>
      <c r="D610" s="23" t="s">
        <v>17</v>
      </c>
      <c r="E610" s="5" t="s">
        <v>1798</v>
      </c>
      <c r="F610" s="71" t="s">
        <v>6105</v>
      </c>
      <c r="G610" s="22" t="s">
        <v>3933</v>
      </c>
      <c r="H610" s="5" t="s">
        <v>3932</v>
      </c>
      <c r="I610" s="5" t="s">
        <v>67</v>
      </c>
      <c r="J610" s="5" t="s">
        <v>5570</v>
      </c>
      <c r="K610" s="5" t="s">
        <v>1799</v>
      </c>
    </row>
    <row r="611" spans="1:11">
      <c r="A611" s="21">
        <v>609</v>
      </c>
      <c r="B611" s="5" t="s">
        <v>1800</v>
      </c>
      <c r="C611" s="23" t="s">
        <v>3562</v>
      </c>
      <c r="D611" s="23" t="s">
        <v>77</v>
      </c>
      <c r="E611" s="5" t="s">
        <v>1215</v>
      </c>
      <c r="F611" s="71" t="s">
        <v>6105</v>
      </c>
      <c r="G611" s="22" t="s">
        <v>12</v>
      </c>
      <c r="H611" s="5" t="s">
        <v>13</v>
      </c>
      <c r="I611" s="5" t="s">
        <v>26</v>
      </c>
      <c r="J611" s="5" t="s">
        <v>4857</v>
      </c>
      <c r="K611" s="5" t="s">
        <v>1801</v>
      </c>
    </row>
    <row r="612" spans="1:11">
      <c r="A612" s="21">
        <v>610</v>
      </c>
      <c r="B612" s="5" t="s">
        <v>1802</v>
      </c>
      <c r="C612" s="23" t="s">
        <v>3253</v>
      </c>
      <c r="D612" s="23" t="s">
        <v>77</v>
      </c>
      <c r="E612" s="5" t="s">
        <v>1803</v>
      </c>
      <c r="F612" s="71" t="s">
        <v>6105</v>
      </c>
      <c r="G612" s="22" t="s">
        <v>179</v>
      </c>
      <c r="H612" s="5" t="s">
        <v>3932</v>
      </c>
      <c r="I612" s="5" t="s">
        <v>67</v>
      </c>
      <c r="J612" s="5" t="s">
        <v>5273</v>
      </c>
      <c r="K612" s="5" t="s">
        <v>1804</v>
      </c>
    </row>
    <row r="613" spans="1:11">
      <c r="A613" s="21">
        <v>611</v>
      </c>
      <c r="B613" s="5" t="s">
        <v>1805</v>
      </c>
      <c r="C613" s="23" t="s">
        <v>3161</v>
      </c>
      <c r="D613" s="23" t="s">
        <v>34</v>
      </c>
      <c r="E613" s="5" t="s">
        <v>1806</v>
      </c>
      <c r="F613" s="71" t="s">
        <v>6105</v>
      </c>
      <c r="G613" s="22" t="s">
        <v>179</v>
      </c>
      <c r="H613" s="22" t="s">
        <v>179</v>
      </c>
      <c r="I613" s="5" t="s">
        <v>50</v>
      </c>
      <c r="J613" s="5" t="s">
        <v>5567</v>
      </c>
      <c r="K613" s="5">
        <v>801463985</v>
      </c>
    </row>
    <row r="614" spans="1:11">
      <c r="A614" s="21">
        <v>612</v>
      </c>
      <c r="B614" s="5" t="s">
        <v>1807</v>
      </c>
      <c r="C614" s="23" t="s">
        <v>3920</v>
      </c>
      <c r="D614" s="23" t="s">
        <v>17</v>
      </c>
      <c r="E614" s="5" t="s">
        <v>1808</v>
      </c>
      <c r="F614" s="71" t="s">
        <v>6105</v>
      </c>
      <c r="G614" s="22" t="s">
        <v>85</v>
      </c>
      <c r="H614" s="5" t="s">
        <v>120</v>
      </c>
      <c r="I614" s="5" t="s">
        <v>26</v>
      </c>
      <c r="J614" s="5" t="s">
        <v>5767</v>
      </c>
      <c r="K614" s="5" t="s">
        <v>1809</v>
      </c>
    </row>
    <row r="615" spans="1:11">
      <c r="A615" s="21">
        <v>613</v>
      </c>
      <c r="B615" s="5" t="s">
        <v>1810</v>
      </c>
      <c r="C615" s="23" t="s">
        <v>3028</v>
      </c>
      <c r="D615" s="23" t="s">
        <v>34</v>
      </c>
      <c r="E615" s="5" t="s">
        <v>1793</v>
      </c>
      <c r="F615" s="71" t="s">
        <v>6105</v>
      </c>
      <c r="G615" s="22" t="s">
        <v>40</v>
      </c>
      <c r="H615" s="5" t="s">
        <v>71</v>
      </c>
      <c r="I615" s="5" t="s">
        <v>26</v>
      </c>
      <c r="J615" s="5" t="s">
        <v>5378</v>
      </c>
      <c r="K615" s="5" t="s">
        <v>1811</v>
      </c>
    </row>
    <row r="616" spans="1:11">
      <c r="A616" s="21">
        <v>614</v>
      </c>
      <c r="B616" s="5" t="s">
        <v>1812</v>
      </c>
      <c r="C616" s="23" t="s">
        <v>3921</v>
      </c>
      <c r="D616" s="23" t="s">
        <v>17</v>
      </c>
      <c r="E616" s="5" t="s">
        <v>1813</v>
      </c>
      <c r="F616" s="71" t="s">
        <v>6105</v>
      </c>
      <c r="G616" s="22" t="s">
        <v>119</v>
      </c>
      <c r="H616" s="5" t="s">
        <v>86</v>
      </c>
      <c r="I616" s="5" t="s">
        <v>56</v>
      </c>
      <c r="J616" s="5" t="s">
        <v>4978</v>
      </c>
      <c r="K616" s="5">
        <v>814652233</v>
      </c>
    </row>
    <row r="617" spans="1:11">
      <c r="A617" s="21">
        <v>615</v>
      </c>
      <c r="B617" s="5" t="s">
        <v>1814</v>
      </c>
      <c r="C617" s="23" t="s">
        <v>3922</v>
      </c>
      <c r="D617" s="23" t="s">
        <v>17</v>
      </c>
      <c r="E617" s="5" t="s">
        <v>1815</v>
      </c>
      <c r="F617" s="71" t="s">
        <v>6105</v>
      </c>
      <c r="G617" s="22" t="s">
        <v>119</v>
      </c>
      <c r="H617" s="5" t="s">
        <v>86</v>
      </c>
      <c r="I617" s="5" t="s">
        <v>21</v>
      </c>
      <c r="J617" s="5" t="s">
        <v>5018</v>
      </c>
      <c r="K617" s="5" t="s">
        <v>1816</v>
      </c>
    </row>
    <row r="618" spans="1:11">
      <c r="A618" s="21">
        <v>616</v>
      </c>
      <c r="B618" s="5" t="s">
        <v>1817</v>
      </c>
      <c r="C618" s="23" t="s">
        <v>3844</v>
      </c>
      <c r="D618" s="23" t="s">
        <v>59</v>
      </c>
      <c r="E618" s="5" t="s">
        <v>1818</v>
      </c>
      <c r="F618" s="71" t="s">
        <v>6105</v>
      </c>
      <c r="G618" s="22" t="s">
        <v>144</v>
      </c>
      <c r="H618" s="5" t="s">
        <v>25</v>
      </c>
      <c r="I618" s="5" t="s">
        <v>42</v>
      </c>
      <c r="J618" s="5" t="s">
        <v>5453</v>
      </c>
      <c r="K618" s="5" t="s">
        <v>1819</v>
      </c>
    </row>
    <row r="619" spans="1:11">
      <c r="A619" s="21">
        <v>617</v>
      </c>
      <c r="B619" s="5" t="s">
        <v>1820</v>
      </c>
      <c r="C619" s="23" t="s">
        <v>3029</v>
      </c>
      <c r="D619" s="23" t="s">
        <v>34</v>
      </c>
      <c r="E619" s="5" t="s">
        <v>1821</v>
      </c>
      <c r="F619" s="71" t="s">
        <v>6105</v>
      </c>
      <c r="G619" s="22" t="s">
        <v>74</v>
      </c>
      <c r="H619" s="5" t="s">
        <v>71</v>
      </c>
      <c r="I619" s="5" t="s">
        <v>26</v>
      </c>
      <c r="J619" s="5" t="s">
        <v>4848</v>
      </c>
      <c r="K619" s="5" t="s">
        <v>1822</v>
      </c>
    </row>
    <row r="620" spans="1:11">
      <c r="A620" s="21">
        <v>618</v>
      </c>
      <c r="B620" s="5" t="s">
        <v>1823</v>
      </c>
      <c r="C620" s="23" t="s">
        <v>3563</v>
      </c>
      <c r="D620" s="23" t="s">
        <v>77</v>
      </c>
      <c r="E620" s="5" t="s">
        <v>1824</v>
      </c>
      <c r="F620" s="71" t="s">
        <v>6105</v>
      </c>
      <c r="G620" s="22" t="s">
        <v>12</v>
      </c>
      <c r="H620" s="5" t="s">
        <v>36</v>
      </c>
      <c r="I620" s="5" t="s">
        <v>42</v>
      </c>
      <c r="J620" s="5" t="s">
        <v>4952</v>
      </c>
      <c r="K620" s="5" t="s">
        <v>1825</v>
      </c>
    </row>
    <row r="621" spans="1:11">
      <c r="A621" s="21">
        <v>619</v>
      </c>
      <c r="B621" s="5" t="s">
        <v>1826</v>
      </c>
      <c r="C621" s="23" t="s">
        <v>3564</v>
      </c>
      <c r="D621" s="23" t="s">
        <v>59</v>
      </c>
      <c r="E621" s="5" t="s">
        <v>1827</v>
      </c>
      <c r="F621" s="71" t="s">
        <v>6105</v>
      </c>
      <c r="G621" s="22" t="s">
        <v>12</v>
      </c>
      <c r="H621" s="5" t="s">
        <v>36</v>
      </c>
      <c r="I621" s="5" t="s">
        <v>14</v>
      </c>
      <c r="J621" s="5" t="s">
        <v>5297</v>
      </c>
      <c r="K621" s="5" t="s">
        <v>1828</v>
      </c>
    </row>
    <row r="622" spans="1:11">
      <c r="A622" s="21">
        <v>620</v>
      </c>
      <c r="B622" s="5" t="s">
        <v>1829</v>
      </c>
      <c r="C622" s="23" t="s">
        <v>3308</v>
      </c>
      <c r="D622" s="23" t="s">
        <v>77</v>
      </c>
      <c r="E622" s="5" t="s">
        <v>1830</v>
      </c>
      <c r="F622" s="71" t="s">
        <v>6105</v>
      </c>
      <c r="G622" s="22" t="s">
        <v>179</v>
      </c>
      <c r="H622" s="5" t="s">
        <v>3932</v>
      </c>
      <c r="I622" s="5" t="s">
        <v>26</v>
      </c>
      <c r="J622" s="5" t="s">
        <v>4908</v>
      </c>
      <c r="K622" s="5" t="s">
        <v>1831</v>
      </c>
    </row>
    <row r="623" spans="1:11">
      <c r="A623" s="21">
        <v>621</v>
      </c>
      <c r="B623" s="5" t="s">
        <v>1832</v>
      </c>
      <c r="C623" s="23" t="s">
        <v>3393</v>
      </c>
      <c r="D623" s="23" t="s">
        <v>17</v>
      </c>
      <c r="E623" s="5" t="s">
        <v>1833</v>
      </c>
      <c r="F623" s="71" t="s">
        <v>6105</v>
      </c>
      <c r="G623" s="22" t="s">
        <v>3933</v>
      </c>
      <c r="H623" s="5" t="s">
        <v>3932</v>
      </c>
      <c r="I623" s="5" t="s">
        <v>67</v>
      </c>
      <c r="J623" s="5" t="s">
        <v>5571</v>
      </c>
      <c r="K623" s="5">
        <v>89756465590</v>
      </c>
    </row>
    <row r="624" spans="1:11">
      <c r="A624" s="21">
        <v>622</v>
      </c>
      <c r="B624" s="5" t="s">
        <v>1834</v>
      </c>
      <c r="C624" s="23" t="s">
        <v>3500</v>
      </c>
      <c r="D624" s="23" t="s">
        <v>77</v>
      </c>
      <c r="E624" s="5" t="s">
        <v>1835</v>
      </c>
      <c r="F624" s="71" t="s">
        <v>6105</v>
      </c>
      <c r="G624" s="22" t="s">
        <v>160</v>
      </c>
      <c r="H624" s="5" t="s">
        <v>3932</v>
      </c>
      <c r="I624" s="5" t="s">
        <v>67</v>
      </c>
      <c r="J624" s="5" t="s">
        <v>5558</v>
      </c>
      <c r="K624" s="5" t="s">
        <v>1836</v>
      </c>
    </row>
    <row r="625" spans="1:11">
      <c r="A625" s="21">
        <v>623</v>
      </c>
      <c r="B625" s="5" t="s">
        <v>3953</v>
      </c>
      <c r="C625" s="23" t="s">
        <v>3717</v>
      </c>
      <c r="D625" s="23" t="s">
        <v>59</v>
      </c>
      <c r="E625" s="5" t="s">
        <v>1596</v>
      </c>
      <c r="F625" s="71" t="s">
        <v>6105</v>
      </c>
      <c r="G625" s="22" t="s">
        <v>3934</v>
      </c>
      <c r="H625" s="5" t="s">
        <v>13</v>
      </c>
      <c r="I625" s="5" t="s">
        <v>50</v>
      </c>
      <c r="J625" s="5" t="s">
        <v>4901</v>
      </c>
      <c r="K625" s="5" t="s">
        <v>1837</v>
      </c>
    </row>
    <row r="626" spans="1:11">
      <c r="A626" s="21">
        <v>624</v>
      </c>
      <c r="B626" s="5" t="s">
        <v>1838</v>
      </c>
      <c r="C626" s="23" t="s">
        <v>3309</v>
      </c>
      <c r="D626" s="23" t="s">
        <v>77</v>
      </c>
      <c r="E626" s="5" t="s">
        <v>1839</v>
      </c>
      <c r="F626" s="71" t="s">
        <v>6105</v>
      </c>
      <c r="G626" s="22" t="s">
        <v>179</v>
      </c>
      <c r="H626" s="5" t="s">
        <v>3932</v>
      </c>
      <c r="I626" s="5" t="s">
        <v>42</v>
      </c>
      <c r="J626" s="5" t="s">
        <v>5305</v>
      </c>
      <c r="K626" s="5">
        <v>89756465591</v>
      </c>
    </row>
    <row r="627" spans="1:11">
      <c r="A627" s="21">
        <v>625</v>
      </c>
      <c r="B627" s="5" t="s">
        <v>1840</v>
      </c>
      <c r="C627" s="23" t="s">
        <v>3162</v>
      </c>
      <c r="D627" s="23" t="s">
        <v>77</v>
      </c>
      <c r="E627" s="5" t="s">
        <v>1841</v>
      </c>
      <c r="F627" s="71" t="s">
        <v>6105</v>
      </c>
      <c r="G627" s="22" t="s">
        <v>179</v>
      </c>
      <c r="H627" s="5" t="s">
        <v>3932</v>
      </c>
      <c r="I627" s="5" t="s">
        <v>21</v>
      </c>
      <c r="J627" s="5" t="s">
        <v>5411</v>
      </c>
      <c r="K627" s="5" t="s">
        <v>1842</v>
      </c>
    </row>
    <row r="628" spans="1:11">
      <c r="A628" s="21">
        <v>626</v>
      </c>
      <c r="B628" s="5" t="s">
        <v>1843</v>
      </c>
      <c r="C628" s="23" t="s">
        <v>3501</v>
      </c>
      <c r="D628" s="23" t="s">
        <v>77</v>
      </c>
      <c r="E628" s="5" t="s">
        <v>1844</v>
      </c>
      <c r="F628" s="71" t="s">
        <v>6105</v>
      </c>
      <c r="G628" s="22" t="s">
        <v>160</v>
      </c>
      <c r="H628" s="5" t="s">
        <v>3932</v>
      </c>
      <c r="I628" s="5" t="s">
        <v>14</v>
      </c>
      <c r="J628" s="5" t="s">
        <v>4871</v>
      </c>
      <c r="K628" s="5" t="s">
        <v>1845</v>
      </c>
    </row>
    <row r="629" spans="1:11">
      <c r="A629" s="21">
        <v>627</v>
      </c>
      <c r="B629" s="5" t="s">
        <v>1846</v>
      </c>
      <c r="C629" s="23" t="s">
        <v>3030</v>
      </c>
      <c r="D629" s="23" t="s">
        <v>34</v>
      </c>
      <c r="E629" s="5" t="s">
        <v>1847</v>
      </c>
      <c r="F629" s="71" t="s">
        <v>6105</v>
      </c>
      <c r="G629" s="22" t="s">
        <v>179</v>
      </c>
      <c r="H629" s="5" t="s">
        <v>3932</v>
      </c>
      <c r="I629" s="5" t="s">
        <v>67</v>
      </c>
      <c r="J629" s="5" t="s">
        <v>5209</v>
      </c>
      <c r="K629" s="5" t="s">
        <v>1848</v>
      </c>
    </row>
    <row r="630" spans="1:11">
      <c r="A630" s="21">
        <v>628</v>
      </c>
      <c r="B630" s="5" t="s">
        <v>1849</v>
      </c>
      <c r="C630" s="23" t="s">
        <v>3031</v>
      </c>
      <c r="D630" s="23" t="s">
        <v>34</v>
      </c>
      <c r="E630" s="5" t="s">
        <v>664</v>
      </c>
      <c r="F630" s="71" t="s">
        <v>6105</v>
      </c>
      <c r="G630" s="22" t="s">
        <v>40</v>
      </c>
      <c r="H630" s="5" t="s">
        <v>71</v>
      </c>
      <c r="I630" s="5" t="s">
        <v>42</v>
      </c>
      <c r="J630" s="5" t="s">
        <v>5568</v>
      </c>
      <c r="K630" s="5" t="s">
        <v>1850</v>
      </c>
    </row>
    <row r="631" spans="1:11">
      <c r="A631" s="21">
        <v>629</v>
      </c>
      <c r="B631" s="5" t="s">
        <v>1851</v>
      </c>
      <c r="C631" s="23" t="s">
        <v>3718</v>
      </c>
      <c r="D631" s="23" t="s">
        <v>59</v>
      </c>
      <c r="E631" s="5" t="s">
        <v>1852</v>
      </c>
      <c r="F631" s="71" t="s">
        <v>6105</v>
      </c>
      <c r="G631" s="22" t="s">
        <v>3934</v>
      </c>
      <c r="H631" s="5" t="s">
        <v>13</v>
      </c>
      <c r="I631" s="5" t="s">
        <v>14</v>
      </c>
      <c r="J631" s="5" t="s">
        <v>5586</v>
      </c>
      <c r="K631" s="5" t="s">
        <v>1853</v>
      </c>
    </row>
    <row r="632" spans="1:11">
      <c r="A632" s="21">
        <v>630</v>
      </c>
      <c r="B632" s="5" t="s">
        <v>1854</v>
      </c>
      <c r="C632" s="23" t="s">
        <v>3565</v>
      </c>
      <c r="D632" s="23" t="s">
        <v>59</v>
      </c>
      <c r="E632" s="5" t="s">
        <v>1855</v>
      </c>
      <c r="F632" s="71" t="s">
        <v>6105</v>
      </c>
      <c r="G632" s="22" t="s">
        <v>12</v>
      </c>
      <c r="H632" s="5" t="s">
        <v>13</v>
      </c>
      <c r="I632" s="5" t="s">
        <v>21</v>
      </c>
      <c r="J632" s="5" t="s">
        <v>5530</v>
      </c>
      <c r="K632" s="5">
        <v>89756465592</v>
      </c>
    </row>
    <row r="633" spans="1:11">
      <c r="A633" s="21">
        <v>631</v>
      </c>
      <c r="B633" s="5" t="s">
        <v>1856</v>
      </c>
      <c r="C633" s="23" t="s">
        <v>3254</v>
      </c>
      <c r="D633" s="23" t="s">
        <v>77</v>
      </c>
      <c r="E633" s="5" t="s">
        <v>1857</v>
      </c>
      <c r="F633" s="71" t="s">
        <v>6105</v>
      </c>
      <c r="G633" s="22" t="s">
        <v>179</v>
      </c>
      <c r="H633" s="5" t="s">
        <v>3932</v>
      </c>
      <c r="I633" s="5" t="s">
        <v>21</v>
      </c>
      <c r="J633" s="5" t="s">
        <v>5471</v>
      </c>
      <c r="K633" s="5" t="s">
        <v>1858</v>
      </c>
    </row>
    <row r="634" spans="1:11">
      <c r="A634" s="21">
        <v>632</v>
      </c>
      <c r="B634" s="5" t="s">
        <v>1859</v>
      </c>
      <c r="C634" s="23" t="s">
        <v>3796</v>
      </c>
      <c r="D634" s="23" t="s">
        <v>59</v>
      </c>
      <c r="E634" s="5" t="s">
        <v>1860</v>
      </c>
      <c r="F634" s="71" t="s">
        <v>6105</v>
      </c>
      <c r="G634" s="22" t="s">
        <v>24</v>
      </c>
      <c r="H634" s="5" t="s">
        <v>46</v>
      </c>
      <c r="I634" s="5" t="s">
        <v>21</v>
      </c>
      <c r="J634" s="5" t="s">
        <v>5053</v>
      </c>
      <c r="K634" s="5" t="s">
        <v>1861</v>
      </c>
    </row>
    <row r="635" spans="1:11">
      <c r="A635" s="21">
        <v>633</v>
      </c>
      <c r="B635" s="5" t="s">
        <v>1862</v>
      </c>
      <c r="C635" s="23" t="s">
        <v>3163</v>
      </c>
      <c r="D635" s="23" t="s">
        <v>77</v>
      </c>
      <c r="E635" s="5" t="s">
        <v>1863</v>
      </c>
      <c r="F635" s="71" t="s">
        <v>6105</v>
      </c>
      <c r="G635" s="22" t="s">
        <v>179</v>
      </c>
      <c r="H635" s="5" t="s">
        <v>3932</v>
      </c>
      <c r="I635" s="5" t="s">
        <v>21</v>
      </c>
      <c r="J635" s="5" t="s">
        <v>4903</v>
      </c>
      <c r="K635" s="5" t="s">
        <v>1864</v>
      </c>
    </row>
    <row r="636" spans="1:11">
      <c r="A636" s="21">
        <v>634</v>
      </c>
      <c r="B636" s="5" t="s">
        <v>1865</v>
      </c>
      <c r="C636" s="23" t="s">
        <v>3719</v>
      </c>
      <c r="D636" s="23" t="s">
        <v>59</v>
      </c>
      <c r="E636" s="5" t="s">
        <v>1866</v>
      </c>
      <c r="F636" s="71" t="s">
        <v>6105</v>
      </c>
      <c r="G636" s="22" t="s">
        <v>3934</v>
      </c>
      <c r="H636" s="5" t="s">
        <v>13</v>
      </c>
      <c r="I636" s="5" t="s">
        <v>50</v>
      </c>
      <c r="J636" s="5" t="s">
        <v>5739</v>
      </c>
      <c r="K636" s="5">
        <v>847071151</v>
      </c>
    </row>
    <row r="637" spans="1:11">
      <c r="A637" s="21">
        <v>635</v>
      </c>
      <c r="B637" s="5" t="s">
        <v>1867</v>
      </c>
      <c r="C637" s="23" t="s">
        <v>3720</v>
      </c>
      <c r="D637" s="23" t="s">
        <v>17</v>
      </c>
      <c r="E637" s="5" t="s">
        <v>1868</v>
      </c>
      <c r="F637" s="71" t="s">
        <v>6105</v>
      </c>
      <c r="G637" s="22" t="s">
        <v>3934</v>
      </c>
      <c r="H637" s="5" t="s">
        <v>13</v>
      </c>
      <c r="I637" s="5" t="s">
        <v>26</v>
      </c>
      <c r="J637" s="5" t="s">
        <v>5510</v>
      </c>
      <c r="K637" s="5" t="s">
        <v>1869</v>
      </c>
    </row>
    <row r="638" spans="1:11">
      <c r="A638" s="21">
        <v>636</v>
      </c>
      <c r="B638" s="5" t="s">
        <v>1870</v>
      </c>
      <c r="C638" s="23" t="s">
        <v>3721</v>
      </c>
      <c r="D638" s="23" t="s">
        <v>59</v>
      </c>
      <c r="E638" s="5" t="s">
        <v>1871</v>
      </c>
      <c r="F638" s="71" t="s">
        <v>6105</v>
      </c>
      <c r="G638" s="22" t="s">
        <v>3934</v>
      </c>
      <c r="H638" s="5" t="s">
        <v>13</v>
      </c>
      <c r="I638" s="5" t="s">
        <v>21</v>
      </c>
      <c r="J638" s="5" t="s">
        <v>5034</v>
      </c>
      <c r="K638" s="5" t="s">
        <v>1872</v>
      </c>
    </row>
    <row r="639" spans="1:11">
      <c r="A639" s="21">
        <v>637</v>
      </c>
      <c r="B639" s="5" t="s">
        <v>1873</v>
      </c>
      <c r="C639" s="23" t="s">
        <v>3164</v>
      </c>
      <c r="D639" s="23" t="s">
        <v>77</v>
      </c>
      <c r="E639" s="5" t="s">
        <v>1874</v>
      </c>
      <c r="F639" s="71" t="s">
        <v>6105</v>
      </c>
      <c r="G639" s="22" t="s">
        <v>179</v>
      </c>
      <c r="H639" s="22" t="s">
        <v>179</v>
      </c>
      <c r="I639" s="5" t="s">
        <v>21</v>
      </c>
      <c r="J639" s="5" t="s">
        <v>5730</v>
      </c>
      <c r="K639" s="5" t="s">
        <v>1875</v>
      </c>
    </row>
    <row r="640" spans="1:11">
      <c r="A640" s="21">
        <v>638</v>
      </c>
      <c r="B640" s="5" t="s">
        <v>1876</v>
      </c>
      <c r="C640" s="23" t="s">
        <v>3722</v>
      </c>
      <c r="D640" s="23" t="s">
        <v>59</v>
      </c>
      <c r="E640" s="5" t="s">
        <v>1877</v>
      </c>
      <c r="F640" s="71" t="s">
        <v>6105</v>
      </c>
      <c r="G640" s="22" t="s">
        <v>3934</v>
      </c>
      <c r="H640" s="5" t="s">
        <v>13</v>
      </c>
      <c r="I640" s="5" t="s">
        <v>67</v>
      </c>
      <c r="J640" s="5" t="s">
        <v>4864</v>
      </c>
      <c r="K640" s="5" t="s">
        <v>1878</v>
      </c>
    </row>
    <row r="641" spans="1:11">
      <c r="A641" s="21">
        <v>639</v>
      </c>
      <c r="B641" s="5" t="s">
        <v>1879</v>
      </c>
      <c r="C641" s="23" t="s">
        <v>3630</v>
      </c>
      <c r="D641" s="23" t="s">
        <v>59</v>
      </c>
      <c r="E641" s="5" t="s">
        <v>1880</v>
      </c>
      <c r="F641" s="71" t="s">
        <v>6105</v>
      </c>
      <c r="G641" s="22" t="s">
        <v>160</v>
      </c>
      <c r="H641" s="5" t="s">
        <v>13</v>
      </c>
      <c r="I641" s="5" t="s">
        <v>50</v>
      </c>
      <c r="J641" s="5" t="s">
        <v>5743</v>
      </c>
      <c r="K641" s="5" t="s">
        <v>1881</v>
      </c>
    </row>
    <row r="642" spans="1:11">
      <c r="A642" s="21">
        <v>640</v>
      </c>
      <c r="B642" s="5" t="s">
        <v>1882</v>
      </c>
      <c r="C642" s="23" t="s">
        <v>3394</v>
      </c>
      <c r="D642" s="23" t="s">
        <v>17</v>
      </c>
      <c r="E642" s="5" t="s">
        <v>1883</v>
      </c>
      <c r="F642" s="71" t="s">
        <v>6105</v>
      </c>
      <c r="G642" s="22" t="s">
        <v>3933</v>
      </c>
      <c r="H642" s="5" t="s">
        <v>3932</v>
      </c>
      <c r="I642" s="5" t="s">
        <v>56</v>
      </c>
      <c r="J642" s="5" t="s">
        <v>4858</v>
      </c>
      <c r="K642" s="5" t="s">
        <v>1884</v>
      </c>
    </row>
    <row r="643" spans="1:11">
      <c r="A643" s="21">
        <v>641</v>
      </c>
      <c r="B643" s="5" t="s">
        <v>1885</v>
      </c>
      <c r="C643" s="23" t="s">
        <v>3723</v>
      </c>
      <c r="D643" s="23" t="s">
        <v>59</v>
      </c>
      <c r="E643" s="5" t="s">
        <v>1886</v>
      </c>
      <c r="F643" s="71" t="s">
        <v>6105</v>
      </c>
      <c r="G643" s="22" t="s">
        <v>3934</v>
      </c>
      <c r="H643" s="5" t="s">
        <v>13</v>
      </c>
      <c r="I643" s="5" t="s">
        <v>67</v>
      </c>
      <c r="J643" s="5" t="s">
        <v>5147</v>
      </c>
      <c r="K643" s="5" t="s">
        <v>1887</v>
      </c>
    </row>
    <row r="644" spans="1:11">
      <c r="A644" s="21">
        <v>642</v>
      </c>
      <c r="B644" s="5" t="s">
        <v>1888</v>
      </c>
      <c r="C644" s="23" t="s">
        <v>3032</v>
      </c>
      <c r="D644" s="23" t="s">
        <v>34</v>
      </c>
      <c r="E644" s="5" t="s">
        <v>1889</v>
      </c>
      <c r="F644" s="71" t="s">
        <v>6105</v>
      </c>
      <c r="G644" s="22" t="s">
        <v>40</v>
      </c>
      <c r="H644" s="5" t="s">
        <v>71</v>
      </c>
      <c r="I644" s="5" t="s">
        <v>14</v>
      </c>
      <c r="J644" s="5" t="s">
        <v>5569</v>
      </c>
      <c r="K644" s="5" t="s">
        <v>1890</v>
      </c>
    </row>
    <row r="645" spans="1:11">
      <c r="A645" s="21">
        <v>643</v>
      </c>
      <c r="B645" s="5" t="s">
        <v>1891</v>
      </c>
      <c r="C645" s="23" t="s">
        <v>3096</v>
      </c>
      <c r="D645" s="23" t="s">
        <v>77</v>
      </c>
      <c r="E645" s="5" t="s">
        <v>1892</v>
      </c>
      <c r="F645" s="71" t="s">
        <v>6105</v>
      </c>
      <c r="G645" s="22" t="s">
        <v>179</v>
      </c>
      <c r="H645" s="22" t="s">
        <v>179</v>
      </c>
      <c r="I645" s="5" t="s">
        <v>21</v>
      </c>
      <c r="J645" s="5" t="s">
        <v>5669</v>
      </c>
      <c r="K645" s="5" t="s">
        <v>1893</v>
      </c>
    </row>
    <row r="646" spans="1:11">
      <c r="A646" s="21">
        <v>644</v>
      </c>
      <c r="B646" s="5" t="s">
        <v>3954</v>
      </c>
      <c r="C646" s="23" t="s">
        <v>3566</v>
      </c>
      <c r="D646" s="23" t="s">
        <v>59</v>
      </c>
      <c r="E646" s="5" t="s">
        <v>1894</v>
      </c>
      <c r="F646" s="71" t="s">
        <v>6105</v>
      </c>
      <c r="G646" s="22" t="s">
        <v>12</v>
      </c>
      <c r="H646" s="5" t="s">
        <v>13</v>
      </c>
      <c r="I646" s="5" t="s">
        <v>56</v>
      </c>
      <c r="J646" s="5" t="s">
        <v>5042</v>
      </c>
      <c r="K646" s="5" t="s">
        <v>1895</v>
      </c>
    </row>
    <row r="647" spans="1:11">
      <c r="A647" s="21">
        <v>645</v>
      </c>
      <c r="B647" s="5" t="s">
        <v>1896</v>
      </c>
      <c r="C647" s="23" t="s">
        <v>3502</v>
      </c>
      <c r="D647" s="23" t="s">
        <v>77</v>
      </c>
      <c r="E647" s="5" t="s">
        <v>1897</v>
      </c>
      <c r="F647" s="71" t="s">
        <v>6105</v>
      </c>
      <c r="G647" s="22" t="s">
        <v>160</v>
      </c>
      <c r="H647" s="5" t="s">
        <v>3932</v>
      </c>
      <c r="I647" s="5" t="s">
        <v>42</v>
      </c>
      <c r="J647" s="5" t="s">
        <v>5631</v>
      </c>
      <c r="K647" s="5" t="s">
        <v>1898</v>
      </c>
    </row>
    <row r="648" spans="1:11">
      <c r="A648" s="21">
        <v>646</v>
      </c>
      <c r="B648" s="5" t="s">
        <v>1899</v>
      </c>
      <c r="C648" s="23" t="s">
        <v>3503</v>
      </c>
      <c r="D648" s="23" t="s">
        <v>77</v>
      </c>
      <c r="E648" s="5" t="s">
        <v>1900</v>
      </c>
      <c r="F648" s="71" t="s">
        <v>6105</v>
      </c>
      <c r="G648" s="22" t="s">
        <v>160</v>
      </c>
      <c r="H648" s="5" t="s">
        <v>3932</v>
      </c>
      <c r="I648" s="5" t="s">
        <v>14</v>
      </c>
      <c r="J648" s="5" t="s">
        <v>5610</v>
      </c>
      <c r="K648" s="5" t="s">
        <v>1901</v>
      </c>
    </row>
    <row r="649" spans="1:11">
      <c r="A649" s="21">
        <v>647</v>
      </c>
      <c r="B649" s="5" t="s">
        <v>1902</v>
      </c>
      <c r="C649" s="23" t="s">
        <v>3504</v>
      </c>
      <c r="D649" s="23" t="s">
        <v>77</v>
      </c>
      <c r="E649" s="5" t="s">
        <v>1903</v>
      </c>
      <c r="F649" s="71" t="s">
        <v>6105</v>
      </c>
      <c r="G649" s="22" t="s">
        <v>160</v>
      </c>
      <c r="H649" s="5" t="s">
        <v>3932</v>
      </c>
      <c r="I649" s="5" t="s">
        <v>56</v>
      </c>
      <c r="J649" s="5" t="s">
        <v>5262</v>
      </c>
      <c r="K649" s="5" t="s">
        <v>1904</v>
      </c>
    </row>
    <row r="650" spans="1:11">
      <c r="A650" s="21">
        <v>648</v>
      </c>
      <c r="B650" s="5" t="s">
        <v>1905</v>
      </c>
      <c r="C650" s="23" t="s">
        <v>3923</v>
      </c>
      <c r="D650" s="23" t="s">
        <v>17</v>
      </c>
      <c r="E650" s="5" t="s">
        <v>1906</v>
      </c>
      <c r="F650" s="71" t="s">
        <v>6105</v>
      </c>
      <c r="G650" s="22" t="s">
        <v>85</v>
      </c>
      <c r="H650" s="5" t="s">
        <v>120</v>
      </c>
      <c r="I650" s="5" t="s">
        <v>14</v>
      </c>
      <c r="J650" s="5" t="s">
        <v>5190</v>
      </c>
      <c r="K650" s="5" t="s">
        <v>1907</v>
      </c>
    </row>
    <row r="651" spans="1:11">
      <c r="A651" s="21">
        <v>649</v>
      </c>
      <c r="B651" s="5" t="s">
        <v>1908</v>
      </c>
      <c r="C651" s="23" t="s">
        <v>3165</v>
      </c>
      <c r="D651" s="23" t="s">
        <v>77</v>
      </c>
      <c r="E651" s="5" t="s">
        <v>1909</v>
      </c>
      <c r="F651" s="71" t="s">
        <v>6105</v>
      </c>
      <c r="G651" s="22" t="s">
        <v>179</v>
      </c>
      <c r="H651" s="22" t="s">
        <v>179</v>
      </c>
      <c r="I651" s="5" t="s">
        <v>21</v>
      </c>
      <c r="J651" s="5" t="s">
        <v>5653</v>
      </c>
      <c r="K651" s="5" t="s">
        <v>1910</v>
      </c>
    </row>
    <row r="652" spans="1:11">
      <c r="A652" s="21">
        <v>650</v>
      </c>
      <c r="B652" s="5" t="s">
        <v>1911</v>
      </c>
      <c r="C652" s="23" t="s">
        <v>3724</v>
      </c>
      <c r="D652" s="23" t="s">
        <v>59</v>
      </c>
      <c r="E652" s="5" t="s">
        <v>1912</v>
      </c>
      <c r="F652" s="71" t="s">
        <v>6105</v>
      </c>
      <c r="G652" s="22" t="s">
        <v>3934</v>
      </c>
      <c r="H652" s="5" t="s">
        <v>13</v>
      </c>
      <c r="I652" s="5" t="s">
        <v>67</v>
      </c>
      <c r="J652" s="5" t="s">
        <v>5551</v>
      </c>
      <c r="K652" s="5" t="s">
        <v>1913</v>
      </c>
    </row>
    <row r="653" spans="1:11">
      <c r="A653" s="21">
        <v>651</v>
      </c>
      <c r="B653" s="5" t="s">
        <v>1914</v>
      </c>
      <c r="C653" s="23" t="s">
        <v>3255</v>
      </c>
      <c r="D653" s="23" t="s">
        <v>77</v>
      </c>
      <c r="E653" s="5" t="s">
        <v>1915</v>
      </c>
      <c r="F653" s="71" t="s">
        <v>6105</v>
      </c>
      <c r="G653" s="22" t="s">
        <v>179</v>
      </c>
      <c r="H653" s="5" t="s">
        <v>3932</v>
      </c>
      <c r="I653" s="5" t="s">
        <v>26</v>
      </c>
      <c r="J653" s="5" t="s">
        <v>5067</v>
      </c>
      <c r="K653" s="5" t="s">
        <v>1916</v>
      </c>
    </row>
    <row r="654" spans="1:11">
      <c r="A654" s="21">
        <v>652</v>
      </c>
      <c r="B654" s="5" t="s">
        <v>1917</v>
      </c>
      <c r="C654" s="23" t="s">
        <v>3033</v>
      </c>
      <c r="D654" s="23" t="s">
        <v>34</v>
      </c>
      <c r="E654" s="5" t="s">
        <v>1918</v>
      </c>
      <c r="F654" s="71" t="s">
        <v>6105</v>
      </c>
      <c r="G654" s="22" t="s">
        <v>40</v>
      </c>
      <c r="H654" s="5" t="s">
        <v>71</v>
      </c>
      <c r="I654" s="5" t="s">
        <v>14</v>
      </c>
      <c r="J654" s="5" t="s">
        <v>4867</v>
      </c>
      <c r="K654" s="5" t="s">
        <v>1919</v>
      </c>
    </row>
    <row r="655" spans="1:11">
      <c r="A655" s="21">
        <v>653</v>
      </c>
      <c r="B655" s="5" t="s">
        <v>1920</v>
      </c>
      <c r="C655" s="23" t="s">
        <v>2952</v>
      </c>
      <c r="D655" s="23" t="s">
        <v>34</v>
      </c>
      <c r="E655" s="5" t="s">
        <v>1921</v>
      </c>
      <c r="F655" s="71" t="s">
        <v>6105</v>
      </c>
      <c r="G655" s="22" t="s">
        <v>3933</v>
      </c>
      <c r="H655" s="5" t="s">
        <v>3932</v>
      </c>
      <c r="I655" s="5" t="s">
        <v>21</v>
      </c>
      <c r="J655" s="5" t="s">
        <v>5395</v>
      </c>
      <c r="K655" s="5" t="s">
        <v>1922</v>
      </c>
    </row>
    <row r="656" spans="1:11">
      <c r="A656" s="21">
        <v>654</v>
      </c>
      <c r="B656" s="5" t="s">
        <v>3955</v>
      </c>
      <c r="C656" s="23" t="s">
        <v>3797</v>
      </c>
      <c r="D656" s="23" t="s">
        <v>59</v>
      </c>
      <c r="E656" s="5" t="s">
        <v>1923</v>
      </c>
      <c r="F656" s="71" t="s">
        <v>6105</v>
      </c>
      <c r="G656" s="22" t="s">
        <v>24</v>
      </c>
      <c r="H656" s="5" t="s">
        <v>25</v>
      </c>
      <c r="I656" s="5" t="s">
        <v>67</v>
      </c>
      <c r="J656" s="5" t="s">
        <v>4904</v>
      </c>
      <c r="K656" s="5">
        <v>89756465593</v>
      </c>
    </row>
    <row r="657" spans="1:11">
      <c r="A657" s="21">
        <v>655</v>
      </c>
      <c r="B657" s="5" t="s">
        <v>1924</v>
      </c>
      <c r="C657" s="23" t="s">
        <v>3034</v>
      </c>
      <c r="D657" s="23" t="s">
        <v>34</v>
      </c>
      <c r="E657" s="5" t="s">
        <v>1925</v>
      </c>
      <c r="F657" s="71" t="s">
        <v>6105</v>
      </c>
      <c r="G657" s="22" t="s">
        <v>74</v>
      </c>
      <c r="H657" s="5" t="s">
        <v>71</v>
      </c>
      <c r="I657" s="5" t="s">
        <v>14</v>
      </c>
      <c r="J657" s="5" t="s">
        <v>5606</v>
      </c>
      <c r="K657" s="5" t="s">
        <v>1926</v>
      </c>
    </row>
    <row r="658" spans="1:11">
      <c r="A658" s="21">
        <v>656</v>
      </c>
      <c r="B658" s="5" t="s">
        <v>1927</v>
      </c>
      <c r="C658" s="23" t="s">
        <v>3505</v>
      </c>
      <c r="D658" s="23" t="s">
        <v>77</v>
      </c>
      <c r="E658" s="5" t="s">
        <v>1928</v>
      </c>
      <c r="F658" s="71" t="s">
        <v>6105</v>
      </c>
      <c r="G658" s="22" t="s">
        <v>160</v>
      </c>
      <c r="H658" s="5" t="s">
        <v>3932</v>
      </c>
      <c r="I658" s="5" t="s">
        <v>67</v>
      </c>
      <c r="J658" s="5" t="s">
        <v>5756</v>
      </c>
      <c r="K658" s="5" t="s">
        <v>1929</v>
      </c>
    </row>
    <row r="659" spans="1:11">
      <c r="A659" s="21">
        <v>657</v>
      </c>
      <c r="B659" s="5" t="s">
        <v>1930</v>
      </c>
      <c r="C659" s="23" t="s">
        <v>3631</v>
      </c>
      <c r="D659" s="23" t="s">
        <v>59</v>
      </c>
      <c r="E659" s="5" t="s">
        <v>1931</v>
      </c>
      <c r="F659" s="71" t="s">
        <v>6105</v>
      </c>
      <c r="G659" s="22" t="s">
        <v>160</v>
      </c>
      <c r="H659" s="5" t="s">
        <v>36</v>
      </c>
      <c r="I659" s="5" t="s">
        <v>50</v>
      </c>
      <c r="J659" s="5" t="s">
        <v>4914</v>
      </c>
      <c r="K659" s="5" t="s">
        <v>1932</v>
      </c>
    </row>
    <row r="660" spans="1:11">
      <c r="A660" s="21">
        <v>658</v>
      </c>
      <c r="B660" s="5" t="s">
        <v>1933</v>
      </c>
      <c r="C660" s="23" t="s">
        <v>3035</v>
      </c>
      <c r="D660" s="23" t="s">
        <v>34</v>
      </c>
      <c r="E660" s="5" t="s">
        <v>1934</v>
      </c>
      <c r="F660" s="71" t="s">
        <v>6105</v>
      </c>
      <c r="G660" s="22" t="s">
        <v>74</v>
      </c>
      <c r="H660" s="5" t="s">
        <v>41</v>
      </c>
      <c r="I660" s="5" t="s">
        <v>50</v>
      </c>
      <c r="J660" s="5" t="s">
        <v>5381</v>
      </c>
      <c r="K660" s="5" t="s">
        <v>1935</v>
      </c>
    </row>
    <row r="661" spans="1:11">
      <c r="A661" s="21">
        <v>659</v>
      </c>
      <c r="B661" s="5" t="s">
        <v>1936</v>
      </c>
      <c r="C661" s="23" t="s">
        <v>3506</v>
      </c>
      <c r="D661" s="23" t="s">
        <v>77</v>
      </c>
      <c r="E661" s="5" t="s">
        <v>1937</v>
      </c>
      <c r="F661" s="71" t="s">
        <v>6105</v>
      </c>
      <c r="G661" s="22" t="s">
        <v>160</v>
      </c>
      <c r="H661" s="5" t="s">
        <v>3932</v>
      </c>
      <c r="I661" s="5" t="s">
        <v>21</v>
      </c>
      <c r="J661" s="5" t="s">
        <v>5375</v>
      </c>
      <c r="K661" s="5" t="s">
        <v>1938</v>
      </c>
    </row>
    <row r="662" spans="1:11">
      <c r="A662" s="21">
        <v>660</v>
      </c>
      <c r="B662" s="5" t="s">
        <v>1939</v>
      </c>
      <c r="C662" s="23" t="s">
        <v>3845</v>
      </c>
      <c r="D662" s="23" t="s">
        <v>59</v>
      </c>
      <c r="E662" s="5" t="s">
        <v>1940</v>
      </c>
      <c r="F662" s="71" t="s">
        <v>6105</v>
      </c>
      <c r="G662" s="22" t="s">
        <v>144</v>
      </c>
      <c r="H662" s="5" t="s">
        <v>25</v>
      </c>
      <c r="I662" s="5" t="s">
        <v>67</v>
      </c>
      <c r="J662" s="5" t="s">
        <v>4934</v>
      </c>
      <c r="K662" s="5" t="s">
        <v>1941</v>
      </c>
    </row>
    <row r="663" spans="1:11">
      <c r="A663" s="21">
        <v>661</v>
      </c>
      <c r="B663" s="5" t="s">
        <v>1942</v>
      </c>
      <c r="C663" s="23" t="s">
        <v>3036</v>
      </c>
      <c r="D663" s="23" t="s">
        <v>34</v>
      </c>
      <c r="E663" s="5" t="s">
        <v>1943</v>
      </c>
      <c r="F663" s="71" t="s">
        <v>6105</v>
      </c>
      <c r="G663" s="22" t="s">
        <v>40</v>
      </c>
      <c r="H663" s="5" t="s">
        <v>71</v>
      </c>
      <c r="I663" s="5" t="s">
        <v>42</v>
      </c>
      <c r="J663" s="5" t="s">
        <v>5004</v>
      </c>
      <c r="K663" s="5" t="s">
        <v>1944</v>
      </c>
    </row>
    <row r="664" spans="1:11">
      <c r="A664" s="21">
        <v>662</v>
      </c>
      <c r="B664" s="5" t="s">
        <v>1945</v>
      </c>
      <c r="C664" s="23" t="s">
        <v>3924</v>
      </c>
      <c r="D664" s="23" t="s">
        <v>17</v>
      </c>
      <c r="E664" s="5" t="s">
        <v>1946</v>
      </c>
      <c r="F664" s="71" t="s">
        <v>6105</v>
      </c>
      <c r="G664" s="22" t="s">
        <v>85</v>
      </c>
      <c r="H664" s="5" t="s">
        <v>120</v>
      </c>
      <c r="I664" s="5" t="s">
        <v>56</v>
      </c>
      <c r="J664" s="5" t="s">
        <v>5672</v>
      </c>
      <c r="K664" s="5" t="s">
        <v>1947</v>
      </c>
    </row>
    <row r="665" spans="1:11">
      <c r="A665" s="21">
        <v>663</v>
      </c>
      <c r="B665" s="5" t="s">
        <v>1948</v>
      </c>
      <c r="C665" s="23" t="s">
        <v>3846</v>
      </c>
      <c r="D665" s="23" t="s">
        <v>59</v>
      </c>
      <c r="E665" s="5" t="s">
        <v>1949</v>
      </c>
      <c r="F665" s="71" t="s">
        <v>6105</v>
      </c>
      <c r="G665" s="22" t="s">
        <v>144</v>
      </c>
      <c r="H665" s="5" t="s">
        <v>25</v>
      </c>
      <c r="I665" s="5" t="s">
        <v>26</v>
      </c>
      <c r="J665" s="5" t="s">
        <v>5198</v>
      </c>
      <c r="K665" s="5" t="s">
        <v>1950</v>
      </c>
    </row>
    <row r="666" spans="1:11">
      <c r="A666" s="21">
        <v>664</v>
      </c>
      <c r="B666" s="5" t="s">
        <v>1951</v>
      </c>
      <c r="C666" s="23" t="s">
        <v>3925</v>
      </c>
      <c r="D666" s="23" t="s">
        <v>17</v>
      </c>
      <c r="E666" s="5" t="s">
        <v>1952</v>
      </c>
      <c r="F666" s="71" t="s">
        <v>6105</v>
      </c>
      <c r="G666" s="22" t="s">
        <v>119</v>
      </c>
      <c r="H666" s="5" t="s">
        <v>120</v>
      </c>
      <c r="I666" s="5" t="s">
        <v>67</v>
      </c>
      <c r="J666" s="5" t="s">
        <v>4944</v>
      </c>
      <c r="K666" s="5" t="s">
        <v>1953</v>
      </c>
    </row>
    <row r="667" spans="1:11">
      <c r="A667" s="21">
        <v>665</v>
      </c>
      <c r="B667" s="5" t="s">
        <v>1954</v>
      </c>
      <c r="C667" s="23" t="s">
        <v>2955</v>
      </c>
      <c r="D667" s="23" t="s">
        <v>34</v>
      </c>
      <c r="E667" s="5" t="s">
        <v>1955</v>
      </c>
      <c r="F667" s="71" t="s">
        <v>6105</v>
      </c>
      <c r="G667" s="22" t="s">
        <v>3933</v>
      </c>
      <c r="H667" s="5" t="s">
        <v>3932</v>
      </c>
      <c r="I667" s="5" t="s">
        <v>67</v>
      </c>
      <c r="J667" s="5" t="s">
        <v>5435</v>
      </c>
      <c r="K667" s="5" t="s">
        <v>1956</v>
      </c>
    </row>
    <row r="668" spans="1:11">
      <c r="A668" s="21">
        <v>666</v>
      </c>
      <c r="B668" s="5" t="s">
        <v>1957</v>
      </c>
      <c r="C668" s="23" t="s">
        <v>3567</v>
      </c>
      <c r="D668" s="23" t="s">
        <v>59</v>
      </c>
      <c r="E668" s="5" t="s">
        <v>1958</v>
      </c>
      <c r="F668" s="71" t="s">
        <v>6105</v>
      </c>
      <c r="G668" s="22" t="s">
        <v>12</v>
      </c>
      <c r="H668" s="5" t="s">
        <v>36</v>
      </c>
      <c r="I668" s="5" t="s">
        <v>50</v>
      </c>
      <c r="J668" s="5" t="s">
        <v>5047</v>
      </c>
      <c r="K668" s="5" t="s">
        <v>1959</v>
      </c>
    </row>
    <row r="669" spans="1:11">
      <c r="A669" s="21">
        <v>667</v>
      </c>
      <c r="B669" s="5" t="s">
        <v>1960</v>
      </c>
      <c r="C669" s="23" t="s">
        <v>3725</v>
      </c>
      <c r="D669" s="23" t="s">
        <v>59</v>
      </c>
      <c r="E669" s="5" t="s">
        <v>1961</v>
      </c>
      <c r="F669" s="71" t="s">
        <v>6105</v>
      </c>
      <c r="G669" s="22" t="s">
        <v>3934</v>
      </c>
      <c r="H669" s="5" t="s">
        <v>13</v>
      </c>
      <c r="I669" s="5" t="s">
        <v>42</v>
      </c>
      <c r="J669" s="5" t="s">
        <v>5529</v>
      </c>
      <c r="K669" s="5" t="s">
        <v>1962</v>
      </c>
    </row>
    <row r="670" spans="1:11">
      <c r="A670" s="21">
        <v>668</v>
      </c>
      <c r="B670" s="5" t="s">
        <v>1963</v>
      </c>
      <c r="C670" s="23" t="s">
        <v>3926</v>
      </c>
      <c r="D670" s="23" t="s">
        <v>17</v>
      </c>
      <c r="E670" s="5" t="s">
        <v>634</v>
      </c>
      <c r="F670" s="71" t="s">
        <v>6105</v>
      </c>
      <c r="G670" s="22" t="s">
        <v>119</v>
      </c>
      <c r="H670" s="5" t="s">
        <v>120</v>
      </c>
      <c r="I670" s="5" t="s">
        <v>56</v>
      </c>
      <c r="J670" s="5" t="s">
        <v>4794</v>
      </c>
      <c r="K670" s="5" t="s">
        <v>1964</v>
      </c>
    </row>
    <row r="671" spans="1:11">
      <c r="A671" s="21">
        <v>669</v>
      </c>
      <c r="B671" s="5" t="s">
        <v>1965</v>
      </c>
      <c r="C671" s="23" t="s">
        <v>3310</v>
      </c>
      <c r="D671" s="23" t="s">
        <v>77</v>
      </c>
      <c r="E671" s="5" t="s">
        <v>1966</v>
      </c>
      <c r="F671" s="71" t="s">
        <v>6105</v>
      </c>
      <c r="G671" s="22" t="s">
        <v>179</v>
      </c>
      <c r="H671" s="5" t="s">
        <v>3932</v>
      </c>
      <c r="I671" s="5" t="s">
        <v>42</v>
      </c>
      <c r="J671" s="5" t="s">
        <v>5269</v>
      </c>
      <c r="K671" s="5" t="s">
        <v>1967</v>
      </c>
    </row>
    <row r="672" spans="1:11">
      <c r="A672" s="21">
        <v>670</v>
      </c>
      <c r="B672" s="5" t="s">
        <v>1968</v>
      </c>
      <c r="C672" s="23" t="s">
        <v>3507</v>
      </c>
      <c r="D672" s="23" t="s">
        <v>77</v>
      </c>
      <c r="E672" s="5" t="s">
        <v>1969</v>
      </c>
      <c r="F672" s="71" t="s">
        <v>6105</v>
      </c>
      <c r="G672" s="22" t="s">
        <v>160</v>
      </c>
      <c r="H672" s="5" t="s">
        <v>3932</v>
      </c>
      <c r="I672" s="5" t="s">
        <v>42</v>
      </c>
      <c r="J672" s="5" t="s">
        <v>5582</v>
      </c>
      <c r="K672" s="5" t="s">
        <v>1970</v>
      </c>
    </row>
    <row r="673" spans="1:11">
      <c r="A673" s="21">
        <v>671</v>
      </c>
      <c r="B673" s="5" t="s">
        <v>1971</v>
      </c>
      <c r="C673" s="23" t="s">
        <v>3311</v>
      </c>
      <c r="D673" s="23" t="s">
        <v>77</v>
      </c>
      <c r="E673" s="5" t="s">
        <v>1972</v>
      </c>
      <c r="F673" s="71" t="s">
        <v>6105</v>
      </c>
      <c r="G673" s="22" t="s">
        <v>179</v>
      </c>
      <c r="H673" s="5" t="s">
        <v>3932</v>
      </c>
      <c r="I673" s="5" t="s">
        <v>26</v>
      </c>
      <c r="J673" s="5" t="s">
        <v>5219</v>
      </c>
      <c r="K673" s="5" t="s">
        <v>1973</v>
      </c>
    </row>
    <row r="674" spans="1:11">
      <c r="A674" s="21">
        <v>672</v>
      </c>
      <c r="B674" s="5" t="s">
        <v>1974</v>
      </c>
      <c r="C674" s="23" t="s">
        <v>3568</v>
      </c>
      <c r="D674" s="23" t="s">
        <v>59</v>
      </c>
      <c r="E674" s="5" t="s">
        <v>1975</v>
      </c>
      <c r="F674" s="71" t="s">
        <v>6105</v>
      </c>
      <c r="G674" s="22" t="s">
        <v>12</v>
      </c>
      <c r="H674" s="5" t="s">
        <v>36</v>
      </c>
      <c r="I674" s="5" t="s">
        <v>21</v>
      </c>
      <c r="J674" s="5" t="s">
        <v>5156</v>
      </c>
      <c r="K674" s="5" t="s">
        <v>1976</v>
      </c>
    </row>
    <row r="675" spans="1:11">
      <c r="A675" s="21">
        <v>673</v>
      </c>
      <c r="B675" s="5" t="s">
        <v>1977</v>
      </c>
      <c r="C675" s="23" t="s">
        <v>3037</v>
      </c>
      <c r="D675" s="23" t="s">
        <v>34</v>
      </c>
      <c r="E675" s="5" t="s">
        <v>1978</v>
      </c>
      <c r="F675" s="71" t="s">
        <v>6105</v>
      </c>
      <c r="G675" s="22" t="s">
        <v>74</v>
      </c>
      <c r="H675" s="5" t="s">
        <v>71</v>
      </c>
      <c r="I675" s="5" t="s">
        <v>14</v>
      </c>
      <c r="J675" s="5" t="s">
        <v>5403</v>
      </c>
      <c r="K675" s="5" t="s">
        <v>1979</v>
      </c>
    </row>
    <row r="676" spans="1:11">
      <c r="A676" s="21">
        <v>674</v>
      </c>
      <c r="B676" s="5" t="s">
        <v>3956</v>
      </c>
      <c r="C676" s="23" t="s">
        <v>3847</v>
      </c>
      <c r="D676" s="23" t="s">
        <v>59</v>
      </c>
      <c r="E676" s="5" t="s">
        <v>1980</v>
      </c>
      <c r="F676" s="71" t="s">
        <v>6105</v>
      </c>
      <c r="G676" s="22" t="s">
        <v>144</v>
      </c>
      <c r="H676" s="5" t="s">
        <v>25</v>
      </c>
      <c r="I676" s="5" t="s">
        <v>67</v>
      </c>
      <c r="J676" s="5" t="s">
        <v>5077</v>
      </c>
      <c r="K676" s="5" t="s">
        <v>1981</v>
      </c>
    </row>
    <row r="677" spans="1:11">
      <c r="A677" s="21">
        <v>675</v>
      </c>
      <c r="B677" s="5" t="s">
        <v>1982</v>
      </c>
      <c r="C677" s="23" t="s">
        <v>3395</v>
      </c>
      <c r="D677" s="23" t="s">
        <v>17</v>
      </c>
      <c r="E677" s="5" t="s">
        <v>1983</v>
      </c>
      <c r="F677" s="71" t="s">
        <v>6105</v>
      </c>
      <c r="G677" s="22" t="s">
        <v>93</v>
      </c>
      <c r="H677" s="5" t="s">
        <v>217</v>
      </c>
      <c r="I677" s="5" t="s">
        <v>26</v>
      </c>
      <c r="J677" s="5" t="s">
        <v>4963</v>
      </c>
      <c r="K677" s="5" t="s">
        <v>1984</v>
      </c>
    </row>
    <row r="678" spans="1:11">
      <c r="A678" s="21">
        <v>676</v>
      </c>
      <c r="B678" s="5" t="s">
        <v>1985</v>
      </c>
      <c r="C678" s="23" t="s">
        <v>3396</v>
      </c>
      <c r="D678" s="23" t="s">
        <v>17</v>
      </c>
      <c r="E678" s="5" t="s">
        <v>1986</v>
      </c>
      <c r="F678" s="71" t="s">
        <v>6105</v>
      </c>
      <c r="G678" s="22" t="s">
        <v>93</v>
      </c>
      <c r="H678" s="5" t="s">
        <v>217</v>
      </c>
      <c r="I678" s="5" t="s">
        <v>42</v>
      </c>
      <c r="J678" s="5" t="s">
        <v>5625</v>
      </c>
      <c r="K678" s="5" t="s">
        <v>1987</v>
      </c>
    </row>
    <row r="679" spans="1:11">
      <c r="A679" s="21">
        <v>677</v>
      </c>
      <c r="B679" s="5" t="s">
        <v>1988</v>
      </c>
      <c r="C679" s="23" t="s">
        <v>3256</v>
      </c>
      <c r="D679" s="23" t="s">
        <v>77</v>
      </c>
      <c r="E679" s="5" t="s">
        <v>1989</v>
      </c>
      <c r="F679" s="71" t="s">
        <v>6105</v>
      </c>
      <c r="G679" s="22" t="s">
        <v>179</v>
      </c>
      <c r="H679" s="5" t="s">
        <v>3932</v>
      </c>
      <c r="I679" s="5" t="s">
        <v>21</v>
      </c>
      <c r="J679" s="5" t="s">
        <v>4856</v>
      </c>
      <c r="K679" s="5" t="s">
        <v>1990</v>
      </c>
    </row>
    <row r="680" spans="1:11">
      <c r="A680" s="21">
        <v>678</v>
      </c>
      <c r="B680" s="5" t="s">
        <v>1991</v>
      </c>
      <c r="C680" s="23" t="s">
        <v>3312</v>
      </c>
      <c r="D680" s="23" t="s">
        <v>77</v>
      </c>
      <c r="E680" s="5" t="s">
        <v>1992</v>
      </c>
      <c r="F680" s="71" t="s">
        <v>6105</v>
      </c>
      <c r="G680" s="22" t="s">
        <v>179</v>
      </c>
      <c r="H680" s="5" t="s">
        <v>3932</v>
      </c>
      <c r="I680" s="5" t="s">
        <v>21</v>
      </c>
      <c r="J680" s="5" t="s">
        <v>5763</v>
      </c>
      <c r="K680" s="5" t="s">
        <v>1993</v>
      </c>
    </row>
    <row r="681" spans="1:11">
      <c r="A681" s="21">
        <v>679</v>
      </c>
      <c r="B681" s="5" t="s">
        <v>3957</v>
      </c>
      <c r="C681" s="23" t="s">
        <v>3632</v>
      </c>
      <c r="D681" s="23" t="s">
        <v>59</v>
      </c>
      <c r="E681" s="5" t="s">
        <v>1995</v>
      </c>
      <c r="F681" s="71" t="s">
        <v>6105</v>
      </c>
      <c r="G681" s="22" t="s">
        <v>160</v>
      </c>
      <c r="H681" s="5" t="s">
        <v>36</v>
      </c>
      <c r="I681" s="5" t="s">
        <v>14</v>
      </c>
      <c r="J681" s="5" t="s">
        <v>5546</v>
      </c>
      <c r="K681" s="5" t="s">
        <v>1996</v>
      </c>
    </row>
    <row r="682" spans="1:11">
      <c r="A682" s="21">
        <v>680</v>
      </c>
      <c r="B682" s="5" t="s">
        <v>1997</v>
      </c>
      <c r="C682" s="23" t="s">
        <v>3798</v>
      </c>
      <c r="D682" s="23" t="s">
        <v>59</v>
      </c>
      <c r="E682" s="5" t="s">
        <v>1998</v>
      </c>
      <c r="F682" s="71" t="s">
        <v>6105</v>
      </c>
      <c r="G682" s="22" t="s">
        <v>24</v>
      </c>
      <c r="H682" s="5" t="s">
        <v>25</v>
      </c>
      <c r="I682" s="5" t="s">
        <v>42</v>
      </c>
      <c r="J682" s="5" t="s">
        <v>5732</v>
      </c>
      <c r="K682" s="5" t="s">
        <v>1999</v>
      </c>
    </row>
    <row r="683" spans="1:11">
      <c r="A683" s="21">
        <v>681</v>
      </c>
      <c r="B683" s="5" t="s">
        <v>2000</v>
      </c>
      <c r="C683" s="23" t="s">
        <v>3257</v>
      </c>
      <c r="D683" s="23" t="s">
        <v>77</v>
      </c>
      <c r="E683" s="5" t="s">
        <v>2001</v>
      </c>
      <c r="F683" s="71" t="s">
        <v>6105</v>
      </c>
      <c r="G683" s="22" t="s">
        <v>179</v>
      </c>
      <c r="H683" s="5" t="s">
        <v>3932</v>
      </c>
      <c r="I683" s="5" t="s">
        <v>26</v>
      </c>
      <c r="J683" s="5" t="s">
        <v>5593</v>
      </c>
      <c r="K683" s="5" t="s">
        <v>2002</v>
      </c>
    </row>
    <row r="684" spans="1:11">
      <c r="A684" s="21">
        <v>682</v>
      </c>
      <c r="B684" s="5" t="s">
        <v>2003</v>
      </c>
      <c r="C684" s="23" t="s">
        <v>3927</v>
      </c>
      <c r="D684" s="23" t="s">
        <v>17</v>
      </c>
      <c r="E684" s="5" t="s">
        <v>385</v>
      </c>
      <c r="F684" s="71" t="s">
        <v>6105</v>
      </c>
      <c r="G684" s="22" t="s">
        <v>85</v>
      </c>
      <c r="H684" s="5" t="s">
        <v>120</v>
      </c>
      <c r="I684" s="5" t="s">
        <v>14</v>
      </c>
      <c r="J684" s="5" t="s">
        <v>4945</v>
      </c>
      <c r="K684" s="5" t="s">
        <v>2004</v>
      </c>
    </row>
    <row r="685" spans="1:11">
      <c r="A685" s="21">
        <v>683</v>
      </c>
      <c r="B685" s="5" t="s">
        <v>2005</v>
      </c>
      <c r="C685" s="23" t="s">
        <v>3928</v>
      </c>
      <c r="D685" s="23" t="s">
        <v>17</v>
      </c>
      <c r="E685" s="5" t="s">
        <v>2006</v>
      </c>
      <c r="F685" s="71" t="s">
        <v>6105</v>
      </c>
      <c r="G685" s="22" t="s">
        <v>119</v>
      </c>
      <c r="H685" s="5" t="s">
        <v>120</v>
      </c>
      <c r="I685" s="5" t="s">
        <v>21</v>
      </c>
      <c r="J685" s="5" t="s">
        <v>5601</v>
      </c>
      <c r="K685" s="5" t="s">
        <v>2007</v>
      </c>
    </row>
    <row r="686" spans="1:11">
      <c r="A686" s="21">
        <v>684</v>
      </c>
      <c r="B686" s="5" t="s">
        <v>2008</v>
      </c>
      <c r="C686" s="23" t="s">
        <v>3397</v>
      </c>
      <c r="D686" s="23" t="s">
        <v>17</v>
      </c>
      <c r="E686" s="5" t="s">
        <v>2009</v>
      </c>
      <c r="F686" s="71" t="s">
        <v>6105</v>
      </c>
      <c r="G686" s="22" t="s">
        <v>3933</v>
      </c>
      <c r="H686" s="5" t="s">
        <v>3932</v>
      </c>
      <c r="I686" s="5" t="s">
        <v>50</v>
      </c>
      <c r="J686" s="5" t="s">
        <v>5318</v>
      </c>
      <c r="K686" s="5" t="s">
        <v>2010</v>
      </c>
    </row>
    <row r="687" spans="1:11">
      <c r="A687" s="21">
        <v>685</v>
      </c>
      <c r="B687" s="5" t="s">
        <v>2011</v>
      </c>
      <c r="C687" s="23" t="s">
        <v>3038</v>
      </c>
      <c r="D687" s="23" t="s">
        <v>34</v>
      </c>
      <c r="E687" s="5" t="s">
        <v>2012</v>
      </c>
      <c r="F687" s="71" t="s">
        <v>6105</v>
      </c>
      <c r="G687" s="22" t="s">
        <v>74</v>
      </c>
      <c r="H687" s="5" t="s">
        <v>71</v>
      </c>
      <c r="I687" s="5" t="s">
        <v>21</v>
      </c>
      <c r="J687" s="5" t="s">
        <v>5010</v>
      </c>
      <c r="K687" s="5" t="s">
        <v>2013</v>
      </c>
    </row>
    <row r="688" spans="1:11">
      <c r="A688" s="21">
        <v>686</v>
      </c>
      <c r="B688" s="5" t="s">
        <v>2014</v>
      </c>
      <c r="C688" s="23" t="s">
        <v>3398</v>
      </c>
      <c r="D688" s="23" t="s">
        <v>17</v>
      </c>
      <c r="E688" s="5" t="s">
        <v>2015</v>
      </c>
      <c r="F688" s="71" t="s">
        <v>6105</v>
      </c>
      <c r="G688" s="22" t="s">
        <v>3933</v>
      </c>
      <c r="H688" s="5" t="s">
        <v>3932</v>
      </c>
      <c r="I688" s="5" t="s">
        <v>50</v>
      </c>
      <c r="J688" s="5" t="s">
        <v>4986</v>
      </c>
      <c r="K688" s="5" t="s">
        <v>2016</v>
      </c>
    </row>
    <row r="689" spans="1:11">
      <c r="A689" s="21">
        <v>687</v>
      </c>
      <c r="B689" s="5" t="s">
        <v>2017</v>
      </c>
      <c r="C689" s="23" t="s">
        <v>2946</v>
      </c>
      <c r="D689" s="23" t="s">
        <v>34</v>
      </c>
      <c r="E689" s="5" t="s">
        <v>2018</v>
      </c>
      <c r="F689" s="71" t="s">
        <v>6105</v>
      </c>
      <c r="G689" s="22" t="s">
        <v>74</v>
      </c>
      <c r="H689" s="5" t="s">
        <v>71</v>
      </c>
      <c r="I689" s="5" t="s">
        <v>21</v>
      </c>
      <c r="J689" s="5" t="s">
        <v>4958</v>
      </c>
      <c r="K689" s="5" t="s">
        <v>2019</v>
      </c>
    </row>
    <row r="690" spans="1:11">
      <c r="A690" s="21">
        <v>688</v>
      </c>
      <c r="B690" s="5" t="s">
        <v>2020</v>
      </c>
      <c r="C690" s="23" t="s">
        <v>3929</v>
      </c>
      <c r="D690" s="23" t="s">
        <v>17</v>
      </c>
      <c r="E690" s="5" t="s">
        <v>2021</v>
      </c>
      <c r="F690" s="71" t="s">
        <v>6105</v>
      </c>
      <c r="G690" s="22" t="s">
        <v>119</v>
      </c>
      <c r="H690" s="5" t="s">
        <v>120</v>
      </c>
      <c r="I690" s="5" t="s">
        <v>42</v>
      </c>
      <c r="J690" s="5" t="s">
        <v>5224</v>
      </c>
      <c r="K690" s="5" t="s">
        <v>2022</v>
      </c>
    </row>
    <row r="691" spans="1:11">
      <c r="A691" s="21">
        <v>689</v>
      </c>
      <c r="B691" s="5" t="s">
        <v>2023</v>
      </c>
      <c r="C691" s="23" t="s">
        <v>3399</v>
      </c>
      <c r="D691" s="23" t="s">
        <v>17</v>
      </c>
      <c r="E691" s="5" t="s">
        <v>1550</v>
      </c>
      <c r="F691" s="71" t="s">
        <v>6105</v>
      </c>
      <c r="G691" s="22" t="s">
        <v>216</v>
      </c>
      <c r="H691" s="5" t="s">
        <v>217</v>
      </c>
      <c r="I691" s="5" t="s">
        <v>42</v>
      </c>
      <c r="J691" s="5" t="s">
        <v>5729</v>
      </c>
      <c r="K691" s="5" t="s">
        <v>2024</v>
      </c>
    </row>
    <row r="692" spans="1:11">
      <c r="A692" s="21">
        <v>690</v>
      </c>
      <c r="B692" s="5" t="s">
        <v>2025</v>
      </c>
      <c r="C692" s="23" t="s">
        <v>3400</v>
      </c>
      <c r="D692" s="23" t="s">
        <v>17</v>
      </c>
      <c r="E692" s="5" t="s">
        <v>2026</v>
      </c>
      <c r="F692" s="71" t="s">
        <v>6105</v>
      </c>
      <c r="G692" s="22" t="s">
        <v>3933</v>
      </c>
      <c r="H692" s="5" t="s">
        <v>3932</v>
      </c>
      <c r="I692" s="5" t="s">
        <v>14</v>
      </c>
      <c r="J692" s="5" t="s">
        <v>4976</v>
      </c>
      <c r="K692" s="5" t="s">
        <v>2027</v>
      </c>
    </row>
    <row r="693" spans="1:11">
      <c r="A693" s="21">
        <v>691</v>
      </c>
      <c r="B693" s="5" t="s">
        <v>2028</v>
      </c>
      <c r="C693" s="23" t="s">
        <v>3039</v>
      </c>
      <c r="D693" s="23" t="s">
        <v>34</v>
      </c>
      <c r="E693" s="5" t="s">
        <v>2029</v>
      </c>
      <c r="F693" s="71" t="s">
        <v>6105</v>
      </c>
      <c r="G693" s="22" t="s">
        <v>74</v>
      </c>
      <c r="H693" s="5" t="s">
        <v>71</v>
      </c>
      <c r="I693" s="5" t="s">
        <v>21</v>
      </c>
      <c r="J693" s="5" t="s">
        <v>4957</v>
      </c>
      <c r="K693" s="5" t="s">
        <v>2030</v>
      </c>
    </row>
    <row r="694" spans="1:11">
      <c r="A694" s="21">
        <v>692</v>
      </c>
      <c r="B694" s="5" t="s">
        <v>2031</v>
      </c>
      <c r="C694" s="23" t="s">
        <v>3848</v>
      </c>
      <c r="D694" s="23" t="s">
        <v>59</v>
      </c>
      <c r="E694" s="5" t="s">
        <v>2032</v>
      </c>
      <c r="F694" s="71" t="s">
        <v>6105</v>
      </c>
      <c r="G694" s="22" t="s">
        <v>144</v>
      </c>
      <c r="H694" s="5" t="s">
        <v>46</v>
      </c>
      <c r="I694" s="5" t="s">
        <v>42</v>
      </c>
      <c r="J694" s="5" t="s">
        <v>5388</v>
      </c>
      <c r="K694" s="5" t="s">
        <v>2033</v>
      </c>
    </row>
    <row r="695" spans="1:11">
      <c r="A695" s="21">
        <v>693</v>
      </c>
      <c r="B695" s="5" t="s">
        <v>2034</v>
      </c>
      <c r="C695" s="23" t="s">
        <v>3849</v>
      </c>
      <c r="D695" s="23" t="s">
        <v>59</v>
      </c>
      <c r="E695" s="5" t="s">
        <v>2035</v>
      </c>
      <c r="F695" s="71" t="s">
        <v>6105</v>
      </c>
      <c r="G695" s="22" t="s">
        <v>144</v>
      </c>
      <c r="H695" s="5" t="s">
        <v>46</v>
      </c>
      <c r="I695" s="5" t="s">
        <v>21</v>
      </c>
      <c r="J695" s="5" t="s">
        <v>5031</v>
      </c>
      <c r="K695" s="5" t="s">
        <v>2036</v>
      </c>
    </row>
    <row r="696" spans="1:11">
      <c r="A696" s="21">
        <v>694</v>
      </c>
      <c r="B696" s="5" t="s">
        <v>2037</v>
      </c>
      <c r="C696" s="23" t="s">
        <v>2960</v>
      </c>
      <c r="D696" s="23" t="s">
        <v>17</v>
      </c>
      <c r="E696" s="5" t="s">
        <v>2038</v>
      </c>
      <c r="F696" s="71" t="s">
        <v>6105</v>
      </c>
      <c r="G696" s="22" t="s">
        <v>85</v>
      </c>
      <c r="H696" s="5" t="s">
        <v>86</v>
      </c>
      <c r="I696" s="5" t="s">
        <v>56</v>
      </c>
      <c r="J696" s="5" t="s">
        <v>5690</v>
      </c>
      <c r="K696" s="5" t="s">
        <v>2039</v>
      </c>
    </row>
    <row r="697" spans="1:11">
      <c r="A697" s="21">
        <v>695</v>
      </c>
      <c r="B697" s="5" t="s">
        <v>2040</v>
      </c>
      <c r="C697" s="23" t="s">
        <v>3726</v>
      </c>
      <c r="D697" s="23" t="s">
        <v>59</v>
      </c>
      <c r="E697" s="5" t="s">
        <v>2041</v>
      </c>
      <c r="F697" s="71" t="s">
        <v>6105</v>
      </c>
      <c r="G697" s="22" t="s">
        <v>3934</v>
      </c>
      <c r="H697" s="5" t="s">
        <v>13</v>
      </c>
      <c r="I697" s="5" t="s">
        <v>21</v>
      </c>
      <c r="J697" s="5" t="s">
        <v>5723</v>
      </c>
      <c r="K697" s="5" t="s">
        <v>2042</v>
      </c>
    </row>
    <row r="698" spans="1:11">
      <c r="A698" s="21">
        <v>696</v>
      </c>
      <c r="B698" s="5" t="s">
        <v>2043</v>
      </c>
      <c r="C698" s="23" t="s">
        <v>3097</v>
      </c>
      <c r="D698" s="23" t="s">
        <v>77</v>
      </c>
      <c r="E698" s="5" t="s">
        <v>2044</v>
      </c>
      <c r="F698" s="71" t="s">
        <v>6105</v>
      </c>
      <c r="G698" s="22" t="s">
        <v>179</v>
      </c>
      <c r="H698" s="22" t="s">
        <v>3932</v>
      </c>
      <c r="I698" s="5" t="s">
        <v>67</v>
      </c>
      <c r="J698" s="5" t="s">
        <v>5584</v>
      </c>
      <c r="K698" s="5" t="s">
        <v>2045</v>
      </c>
    </row>
    <row r="699" spans="1:11">
      <c r="A699" s="21">
        <v>697</v>
      </c>
      <c r="B699" s="5" t="s">
        <v>2046</v>
      </c>
      <c r="C699" s="23" t="s">
        <v>3727</v>
      </c>
      <c r="D699" s="23" t="s">
        <v>59</v>
      </c>
      <c r="E699" s="5" t="s">
        <v>747</v>
      </c>
      <c r="F699" s="71" t="s">
        <v>6105</v>
      </c>
      <c r="G699" s="22" t="s">
        <v>3934</v>
      </c>
      <c r="H699" s="5" t="s">
        <v>13</v>
      </c>
      <c r="I699" s="5" t="s">
        <v>67</v>
      </c>
      <c r="J699" s="5" t="s">
        <v>5186</v>
      </c>
      <c r="K699" s="5" t="s">
        <v>2047</v>
      </c>
    </row>
    <row r="700" spans="1:11">
      <c r="A700" s="21">
        <v>698</v>
      </c>
      <c r="B700" s="5" t="s">
        <v>2048</v>
      </c>
      <c r="C700" s="23" t="s">
        <v>3401</v>
      </c>
      <c r="D700" s="23" t="s">
        <v>17</v>
      </c>
      <c r="E700" s="5" t="s">
        <v>2049</v>
      </c>
      <c r="F700" s="71" t="s">
        <v>6105</v>
      </c>
      <c r="G700" s="22" t="s">
        <v>3933</v>
      </c>
      <c r="H700" s="5" t="s">
        <v>3932</v>
      </c>
      <c r="I700" s="5" t="s">
        <v>14</v>
      </c>
      <c r="J700" s="5" t="s">
        <v>4974</v>
      </c>
      <c r="K700" s="5" t="s">
        <v>2050</v>
      </c>
    </row>
    <row r="701" spans="1:11">
      <c r="A701" s="21">
        <v>699</v>
      </c>
      <c r="B701" s="5" t="s">
        <v>2051</v>
      </c>
      <c r="C701" s="23" t="s">
        <v>3166</v>
      </c>
      <c r="D701" s="23" t="s">
        <v>77</v>
      </c>
      <c r="E701" s="5" t="s">
        <v>2052</v>
      </c>
      <c r="F701" s="71" t="s">
        <v>6105</v>
      </c>
      <c r="G701" s="22" t="s">
        <v>179</v>
      </c>
      <c r="H701" s="22" t="s">
        <v>179</v>
      </c>
      <c r="I701" s="5" t="s">
        <v>14</v>
      </c>
      <c r="J701" s="5" t="s">
        <v>5159</v>
      </c>
      <c r="K701" s="5" t="s">
        <v>2053</v>
      </c>
    </row>
    <row r="702" spans="1:11">
      <c r="A702" s="21">
        <v>700</v>
      </c>
      <c r="B702" s="5" t="s">
        <v>2054</v>
      </c>
      <c r="C702" s="23" t="s">
        <v>3040</v>
      </c>
      <c r="D702" s="23" t="s">
        <v>34</v>
      </c>
      <c r="E702" s="5" t="s">
        <v>625</v>
      </c>
      <c r="F702" s="71" t="s">
        <v>6105</v>
      </c>
      <c r="G702" s="22" t="s">
        <v>40</v>
      </c>
      <c r="H702" s="5" t="s">
        <v>41</v>
      </c>
      <c r="I702" s="5" t="s">
        <v>42</v>
      </c>
      <c r="J702" s="5" t="s">
        <v>5021</v>
      </c>
      <c r="K702" s="5" t="s">
        <v>2055</v>
      </c>
    </row>
    <row r="703" spans="1:11">
      <c r="A703" s="21">
        <v>701</v>
      </c>
      <c r="B703" s="5" t="s">
        <v>2056</v>
      </c>
      <c r="C703" s="23" t="s">
        <v>3041</v>
      </c>
      <c r="D703" s="23" t="s">
        <v>34</v>
      </c>
      <c r="E703" s="5" t="s">
        <v>2057</v>
      </c>
      <c r="F703" s="71" t="s">
        <v>6105</v>
      </c>
      <c r="G703" s="22" t="s">
        <v>74</v>
      </c>
      <c r="H703" s="5" t="s">
        <v>71</v>
      </c>
      <c r="I703" s="5" t="s">
        <v>26</v>
      </c>
      <c r="J703" s="5" t="s">
        <v>4961</v>
      </c>
      <c r="K703" s="5" t="s">
        <v>2058</v>
      </c>
    </row>
    <row r="704" spans="1:11">
      <c r="A704" s="21">
        <v>702</v>
      </c>
      <c r="B704" s="5" t="s">
        <v>2059</v>
      </c>
      <c r="C704" s="23" t="s">
        <v>3633</v>
      </c>
      <c r="D704" s="23" t="s">
        <v>59</v>
      </c>
      <c r="E704" s="5" t="s">
        <v>1784</v>
      </c>
      <c r="F704" s="71" t="s">
        <v>6105</v>
      </c>
      <c r="G704" s="22" t="s">
        <v>160</v>
      </c>
      <c r="H704" s="5" t="s">
        <v>36</v>
      </c>
      <c r="I704" s="5" t="s">
        <v>26</v>
      </c>
      <c r="J704" s="5" t="s">
        <v>5211</v>
      </c>
      <c r="K704" s="5" t="s">
        <v>2060</v>
      </c>
    </row>
    <row r="705" spans="1:11">
      <c r="A705" s="21">
        <v>703</v>
      </c>
      <c r="B705" s="5" t="s">
        <v>2061</v>
      </c>
      <c r="C705" s="23" t="s">
        <v>3728</v>
      </c>
      <c r="D705" s="23" t="s">
        <v>59</v>
      </c>
      <c r="E705" s="5" t="s">
        <v>2062</v>
      </c>
      <c r="F705" s="71" t="s">
        <v>6105</v>
      </c>
      <c r="G705" s="22" t="s">
        <v>3934</v>
      </c>
      <c r="H705" s="5" t="s">
        <v>13</v>
      </c>
      <c r="I705" s="5" t="s">
        <v>56</v>
      </c>
      <c r="J705" s="5" t="s">
        <v>5345</v>
      </c>
      <c r="K705" s="5" t="s">
        <v>2063</v>
      </c>
    </row>
    <row r="706" spans="1:11">
      <c r="A706" s="21">
        <v>704</v>
      </c>
      <c r="B706" s="5" t="s">
        <v>2064</v>
      </c>
      <c r="C706" s="23" t="s">
        <v>3402</v>
      </c>
      <c r="D706" s="23" t="s">
        <v>17</v>
      </c>
      <c r="E706" s="5" t="s">
        <v>2065</v>
      </c>
      <c r="F706" s="71" t="s">
        <v>6105</v>
      </c>
      <c r="G706" s="22" t="s">
        <v>93</v>
      </c>
      <c r="H706" s="5" t="s">
        <v>217</v>
      </c>
      <c r="I706" s="5" t="s">
        <v>26</v>
      </c>
      <c r="J706" s="5" t="s">
        <v>5006</v>
      </c>
      <c r="K706" s="5" t="s">
        <v>2066</v>
      </c>
    </row>
    <row r="707" spans="1:11">
      <c r="A707" s="21">
        <v>705</v>
      </c>
      <c r="B707" s="5" t="s">
        <v>2067</v>
      </c>
      <c r="C707" s="23" t="s">
        <v>3729</v>
      </c>
      <c r="D707" s="23" t="s">
        <v>17</v>
      </c>
      <c r="E707" s="5" t="s">
        <v>2068</v>
      </c>
      <c r="F707" s="71" t="s">
        <v>6105</v>
      </c>
      <c r="G707" s="22" t="s">
        <v>3934</v>
      </c>
      <c r="H707" s="5" t="s">
        <v>13</v>
      </c>
      <c r="I707" s="5" t="s">
        <v>14</v>
      </c>
      <c r="J707" s="5" t="s">
        <v>5537</v>
      </c>
      <c r="K707" s="5" t="s">
        <v>2069</v>
      </c>
    </row>
    <row r="708" spans="1:11">
      <c r="A708" s="21">
        <v>706</v>
      </c>
      <c r="B708" s="5" t="s">
        <v>2070</v>
      </c>
      <c r="C708" s="23" t="s">
        <v>3730</v>
      </c>
      <c r="D708" s="23" t="s">
        <v>59</v>
      </c>
      <c r="E708" s="5" t="s">
        <v>2071</v>
      </c>
      <c r="F708" s="71" t="s">
        <v>6105</v>
      </c>
      <c r="G708" s="22" t="s">
        <v>3934</v>
      </c>
      <c r="H708" s="5" t="s">
        <v>13</v>
      </c>
      <c r="I708" s="5" t="s">
        <v>26</v>
      </c>
      <c r="J708" s="5" t="s">
        <v>5330</v>
      </c>
      <c r="K708" s="5" t="s">
        <v>2072</v>
      </c>
    </row>
    <row r="709" spans="1:11">
      <c r="A709" s="21">
        <v>707</v>
      </c>
      <c r="B709" s="5" t="s">
        <v>2073</v>
      </c>
      <c r="C709" s="23" t="s">
        <v>3569</v>
      </c>
      <c r="D709" s="23" t="s">
        <v>59</v>
      </c>
      <c r="E709" s="5" t="s">
        <v>2074</v>
      </c>
      <c r="F709" s="71" t="s">
        <v>6105</v>
      </c>
      <c r="G709" s="22" t="s">
        <v>12</v>
      </c>
      <c r="H709" s="5" t="s">
        <v>13</v>
      </c>
      <c r="I709" s="5" t="s">
        <v>67</v>
      </c>
      <c r="J709" s="5" t="s">
        <v>5267</v>
      </c>
      <c r="K709" s="5">
        <v>89756465594</v>
      </c>
    </row>
    <row r="710" spans="1:11">
      <c r="A710" s="21">
        <v>708</v>
      </c>
      <c r="B710" s="5" t="s">
        <v>2075</v>
      </c>
      <c r="C710" s="23" t="s">
        <v>3731</v>
      </c>
      <c r="D710" s="23" t="s">
        <v>59</v>
      </c>
      <c r="E710" s="5" t="s">
        <v>2076</v>
      </c>
      <c r="F710" s="71" t="s">
        <v>6105</v>
      </c>
      <c r="G710" s="22" t="s">
        <v>3934</v>
      </c>
      <c r="H710" s="5" t="s">
        <v>13</v>
      </c>
      <c r="I710" s="5" t="s">
        <v>50</v>
      </c>
      <c r="J710" s="5" t="s">
        <v>5181</v>
      </c>
      <c r="K710" s="5" t="s">
        <v>2077</v>
      </c>
    </row>
    <row r="711" spans="1:11">
      <c r="A711" s="21">
        <v>709</v>
      </c>
      <c r="B711" s="5" t="s">
        <v>2078</v>
      </c>
      <c r="C711" s="23" t="s">
        <v>3634</v>
      </c>
      <c r="D711" s="23" t="s">
        <v>59</v>
      </c>
      <c r="E711" s="5" t="s">
        <v>2079</v>
      </c>
      <c r="F711" s="71" t="s">
        <v>6105</v>
      </c>
      <c r="G711" s="22" t="s">
        <v>160</v>
      </c>
      <c r="H711" s="5" t="s">
        <v>13</v>
      </c>
      <c r="I711" s="5" t="s">
        <v>21</v>
      </c>
      <c r="J711" s="5" t="s">
        <v>5332</v>
      </c>
      <c r="K711" s="5" t="s">
        <v>2080</v>
      </c>
    </row>
    <row r="712" spans="1:11">
      <c r="A712" s="21">
        <v>710</v>
      </c>
      <c r="B712" s="5" t="s">
        <v>2081</v>
      </c>
      <c r="C712" s="23" t="s">
        <v>3167</v>
      </c>
      <c r="D712" s="23" t="s">
        <v>77</v>
      </c>
      <c r="E712" s="5" t="s">
        <v>2082</v>
      </c>
      <c r="F712" s="71" t="s">
        <v>6105</v>
      </c>
      <c r="G712" s="22" t="s">
        <v>179</v>
      </c>
      <c r="H712" s="22" t="s">
        <v>179</v>
      </c>
      <c r="I712" s="5" t="s">
        <v>14</v>
      </c>
      <c r="J712" s="5" t="s">
        <v>5726</v>
      </c>
      <c r="K712" s="5" t="s">
        <v>2083</v>
      </c>
    </row>
    <row r="713" spans="1:11">
      <c r="A713" s="21">
        <v>711</v>
      </c>
      <c r="B713" s="5" t="s">
        <v>2084</v>
      </c>
      <c r="C713" s="23" t="s">
        <v>3313</v>
      </c>
      <c r="D713" s="23" t="s">
        <v>34</v>
      </c>
      <c r="E713" s="5" t="s">
        <v>2085</v>
      </c>
      <c r="F713" s="71" t="s">
        <v>6105</v>
      </c>
      <c r="G713" s="22" t="s">
        <v>179</v>
      </c>
      <c r="H713" s="5" t="s">
        <v>3932</v>
      </c>
      <c r="I713" s="5" t="s">
        <v>50</v>
      </c>
      <c r="J713" s="5" t="s">
        <v>5716</v>
      </c>
      <c r="K713" s="5" t="s">
        <v>2086</v>
      </c>
    </row>
    <row r="714" spans="1:11">
      <c r="A714" s="21">
        <v>712</v>
      </c>
      <c r="B714" s="5" t="s">
        <v>2087</v>
      </c>
      <c r="C714" s="23" t="s">
        <v>3799</v>
      </c>
      <c r="D714" s="23" t="s">
        <v>17</v>
      </c>
      <c r="E714" s="5" t="s">
        <v>2088</v>
      </c>
      <c r="F714" s="71" t="s">
        <v>6105</v>
      </c>
      <c r="G714" s="22" t="s">
        <v>24</v>
      </c>
      <c r="H714" s="5" t="s">
        <v>46</v>
      </c>
      <c r="I714" s="5" t="s">
        <v>56</v>
      </c>
      <c r="J714" s="5" t="s">
        <v>5544</v>
      </c>
      <c r="K714" s="5" t="s">
        <v>2089</v>
      </c>
    </row>
    <row r="715" spans="1:11">
      <c r="A715" s="21">
        <v>713</v>
      </c>
      <c r="B715" s="5" t="s">
        <v>3958</v>
      </c>
      <c r="C715" s="23" t="s">
        <v>3258</v>
      </c>
      <c r="D715" s="23" t="s">
        <v>77</v>
      </c>
      <c r="E715" s="5" t="s">
        <v>2090</v>
      </c>
      <c r="F715" s="71" t="s">
        <v>6105</v>
      </c>
      <c r="G715" s="22" t="s">
        <v>179</v>
      </c>
      <c r="H715" s="5" t="s">
        <v>3932</v>
      </c>
      <c r="I715" s="5" t="s">
        <v>56</v>
      </c>
      <c r="J715" s="5" t="s">
        <v>5757</v>
      </c>
      <c r="K715" s="5" t="s">
        <v>2091</v>
      </c>
    </row>
    <row r="716" spans="1:11">
      <c r="A716" s="21">
        <v>714</v>
      </c>
      <c r="B716" s="5" t="s">
        <v>2092</v>
      </c>
      <c r="C716" s="23" t="s">
        <v>3635</v>
      </c>
      <c r="D716" s="23" t="s">
        <v>59</v>
      </c>
      <c r="E716" s="5" t="s">
        <v>2093</v>
      </c>
      <c r="F716" s="71" t="s">
        <v>6105</v>
      </c>
      <c r="G716" s="22" t="s">
        <v>160</v>
      </c>
      <c r="H716" s="5" t="s">
        <v>13</v>
      </c>
      <c r="I716" s="5" t="s">
        <v>67</v>
      </c>
      <c r="J716" s="5" t="s">
        <v>5220</v>
      </c>
      <c r="K716" s="5" t="s">
        <v>2094</v>
      </c>
    </row>
    <row r="717" spans="1:11">
      <c r="A717" s="21">
        <v>715</v>
      </c>
      <c r="B717" s="5" t="s">
        <v>2095</v>
      </c>
      <c r="C717" s="23" t="s">
        <v>3732</v>
      </c>
      <c r="D717" s="23" t="s">
        <v>59</v>
      </c>
      <c r="E717" s="5" t="s">
        <v>2096</v>
      </c>
      <c r="F717" s="71" t="s">
        <v>6105</v>
      </c>
      <c r="G717" s="22" t="s">
        <v>30</v>
      </c>
      <c r="H717" s="5" t="s">
        <v>31</v>
      </c>
      <c r="I717" s="5" t="s">
        <v>67</v>
      </c>
      <c r="J717" s="5" t="s">
        <v>5588</v>
      </c>
      <c r="K717" s="5" t="s">
        <v>2097</v>
      </c>
    </row>
    <row r="718" spans="1:11">
      <c r="A718" s="21">
        <v>716</v>
      </c>
      <c r="B718" s="5" t="s">
        <v>2098</v>
      </c>
      <c r="C718" s="23" t="s">
        <v>2985</v>
      </c>
      <c r="D718" s="23" t="s">
        <v>34</v>
      </c>
      <c r="E718" s="5" t="s">
        <v>2099</v>
      </c>
      <c r="F718" s="71" t="s">
        <v>6105</v>
      </c>
      <c r="G718" s="22" t="s">
        <v>179</v>
      </c>
      <c r="H718" s="5" t="s">
        <v>3932</v>
      </c>
      <c r="I718" s="5" t="s">
        <v>67</v>
      </c>
      <c r="J718" s="5" t="s">
        <v>5088</v>
      </c>
      <c r="K718" s="5" t="s">
        <v>2100</v>
      </c>
    </row>
    <row r="719" spans="1:11">
      <c r="A719" s="21">
        <v>717</v>
      </c>
      <c r="B719" s="5" t="s">
        <v>2101</v>
      </c>
      <c r="C719" s="23" t="s">
        <v>3042</v>
      </c>
      <c r="D719" s="23" t="s">
        <v>34</v>
      </c>
      <c r="E719" s="5" t="s">
        <v>2102</v>
      </c>
      <c r="F719" s="71" t="s">
        <v>6105</v>
      </c>
      <c r="G719" s="22" t="s">
        <v>179</v>
      </c>
      <c r="H719" s="5" t="s">
        <v>3932</v>
      </c>
      <c r="I719" s="5" t="s">
        <v>67</v>
      </c>
      <c r="J719" s="5" t="s">
        <v>5454</v>
      </c>
      <c r="K719" s="5" t="s">
        <v>2103</v>
      </c>
    </row>
    <row r="720" spans="1:11">
      <c r="A720" s="21">
        <v>718</v>
      </c>
      <c r="B720" s="5" t="s">
        <v>2104</v>
      </c>
      <c r="C720" s="23" t="s">
        <v>3733</v>
      </c>
      <c r="D720" s="23" t="s">
        <v>59</v>
      </c>
      <c r="E720" s="5" t="s">
        <v>2105</v>
      </c>
      <c r="F720" s="71" t="s">
        <v>6105</v>
      </c>
      <c r="G720" s="22" t="s">
        <v>3934</v>
      </c>
      <c r="H720" s="5" t="s">
        <v>13</v>
      </c>
      <c r="I720" s="5" t="s">
        <v>26</v>
      </c>
      <c r="J720" s="5" t="s">
        <v>4784</v>
      </c>
      <c r="K720" s="5" t="s">
        <v>2106</v>
      </c>
    </row>
    <row r="721" spans="1:11">
      <c r="A721" s="21">
        <v>719</v>
      </c>
      <c r="B721" s="5" t="s">
        <v>2107</v>
      </c>
      <c r="C721" s="23" t="s">
        <v>3800</v>
      </c>
      <c r="D721" s="23" t="s">
        <v>59</v>
      </c>
      <c r="E721" s="5" t="s">
        <v>2108</v>
      </c>
      <c r="F721" s="71" t="s">
        <v>6105</v>
      </c>
      <c r="G721" s="22" t="s">
        <v>24</v>
      </c>
      <c r="H721" s="5" t="s">
        <v>25</v>
      </c>
      <c r="I721" s="5" t="s">
        <v>14</v>
      </c>
      <c r="J721" s="5" t="s">
        <v>4906</v>
      </c>
      <c r="K721" s="5" t="s">
        <v>2109</v>
      </c>
    </row>
    <row r="722" spans="1:11">
      <c r="A722" s="21">
        <v>720</v>
      </c>
      <c r="B722" s="5" t="s">
        <v>2110</v>
      </c>
      <c r="C722" s="23" t="s">
        <v>3508</v>
      </c>
      <c r="D722" s="23" t="s">
        <v>77</v>
      </c>
      <c r="E722" s="5" t="s">
        <v>2111</v>
      </c>
      <c r="F722" s="71" t="s">
        <v>6105</v>
      </c>
      <c r="G722" s="22" t="s">
        <v>160</v>
      </c>
      <c r="H722" s="5" t="s">
        <v>3932</v>
      </c>
      <c r="I722" s="5" t="s">
        <v>26</v>
      </c>
      <c r="J722" s="5" t="s">
        <v>5272</v>
      </c>
      <c r="K722" s="5" t="s">
        <v>2112</v>
      </c>
    </row>
    <row r="723" spans="1:11">
      <c r="A723" s="21">
        <v>721</v>
      </c>
      <c r="B723" s="5" t="s">
        <v>2113</v>
      </c>
      <c r="C723" s="23" t="s">
        <v>3043</v>
      </c>
      <c r="D723" s="23" t="s">
        <v>34</v>
      </c>
      <c r="E723" s="5" t="s">
        <v>315</v>
      </c>
      <c r="F723" s="71" t="s">
        <v>6105</v>
      </c>
      <c r="G723" s="22" t="s">
        <v>40</v>
      </c>
      <c r="H723" s="5" t="s">
        <v>71</v>
      </c>
      <c r="I723" s="5" t="s">
        <v>21</v>
      </c>
      <c r="J723" s="5" t="s">
        <v>5540</v>
      </c>
      <c r="K723" s="5" t="s">
        <v>2114</v>
      </c>
    </row>
    <row r="724" spans="1:11">
      <c r="A724" s="21">
        <v>722</v>
      </c>
      <c r="B724" s="5" t="s">
        <v>2115</v>
      </c>
      <c r="C724" s="23" t="s">
        <v>3314</v>
      </c>
      <c r="D724" s="23" t="s">
        <v>77</v>
      </c>
      <c r="E724" s="5" t="s">
        <v>900</v>
      </c>
      <c r="F724" s="71" t="s">
        <v>6105</v>
      </c>
      <c r="G724" s="22" t="s">
        <v>179</v>
      </c>
      <c r="H724" s="5" t="s">
        <v>3932</v>
      </c>
      <c r="I724" s="5" t="s">
        <v>50</v>
      </c>
      <c r="J724" s="5" t="s">
        <v>4909</v>
      </c>
      <c r="K724" s="5" t="s">
        <v>2116</v>
      </c>
    </row>
    <row r="725" spans="1:11">
      <c r="A725" s="21">
        <v>723</v>
      </c>
      <c r="B725" s="5" t="s">
        <v>2117</v>
      </c>
      <c r="C725" s="23" t="s">
        <v>3044</v>
      </c>
      <c r="D725" s="23" t="s">
        <v>34</v>
      </c>
      <c r="E725" s="5" t="s">
        <v>2119</v>
      </c>
      <c r="F725" s="71" t="s">
        <v>6105</v>
      </c>
      <c r="G725" s="22" t="s">
        <v>40</v>
      </c>
      <c r="H725" s="5" t="s">
        <v>71</v>
      </c>
      <c r="I725" s="5" t="s">
        <v>42</v>
      </c>
      <c r="J725" s="5" t="s">
        <v>5682</v>
      </c>
      <c r="K725" s="5" t="s">
        <v>2120</v>
      </c>
    </row>
    <row r="726" spans="1:11">
      <c r="A726" s="21">
        <v>724</v>
      </c>
      <c r="B726" s="5" t="s">
        <v>2121</v>
      </c>
      <c r="C726" s="23" t="s">
        <v>3259</v>
      </c>
      <c r="D726" s="23" t="s">
        <v>77</v>
      </c>
      <c r="E726" s="5" t="s">
        <v>2122</v>
      </c>
      <c r="F726" s="71" t="s">
        <v>6105</v>
      </c>
      <c r="G726" s="22" t="s">
        <v>179</v>
      </c>
      <c r="H726" s="5" t="s">
        <v>3932</v>
      </c>
      <c r="I726" s="5" t="s">
        <v>42</v>
      </c>
      <c r="J726" s="5" t="s">
        <v>4822</v>
      </c>
      <c r="K726" s="5" t="s">
        <v>2123</v>
      </c>
    </row>
    <row r="727" spans="1:11">
      <c r="A727" s="21">
        <v>725</v>
      </c>
      <c r="B727" s="5" t="s">
        <v>2124</v>
      </c>
      <c r="C727" s="23" t="s">
        <v>3045</v>
      </c>
      <c r="D727" s="23" t="s">
        <v>34</v>
      </c>
      <c r="E727" s="5" t="s">
        <v>2125</v>
      </c>
      <c r="F727" s="71" t="s">
        <v>6105</v>
      </c>
      <c r="G727" s="22" t="s">
        <v>74</v>
      </c>
      <c r="H727" s="5" t="s">
        <v>71</v>
      </c>
      <c r="I727" s="5" t="s">
        <v>42</v>
      </c>
      <c r="J727" s="5" t="s">
        <v>5737</v>
      </c>
      <c r="K727" s="5" t="s">
        <v>2126</v>
      </c>
    </row>
    <row r="728" spans="1:11">
      <c r="A728" s="21">
        <v>726</v>
      </c>
      <c r="B728" s="5" t="s">
        <v>2127</v>
      </c>
      <c r="C728" s="23" t="s">
        <v>3098</v>
      </c>
      <c r="D728" s="23" t="s">
        <v>77</v>
      </c>
      <c r="E728" s="5" t="s">
        <v>2128</v>
      </c>
      <c r="F728" s="71" t="s">
        <v>6105</v>
      </c>
      <c r="G728" s="22" t="s">
        <v>179</v>
      </c>
      <c r="H728" s="5" t="s">
        <v>3932</v>
      </c>
      <c r="I728" s="5" t="s">
        <v>21</v>
      </c>
      <c r="J728" s="5" t="s">
        <v>4852</v>
      </c>
      <c r="K728" s="5" t="s">
        <v>2129</v>
      </c>
    </row>
    <row r="729" spans="1:11">
      <c r="A729" s="21">
        <v>727</v>
      </c>
      <c r="B729" s="5" t="s">
        <v>2130</v>
      </c>
      <c r="C729" s="23" t="s">
        <v>2945</v>
      </c>
      <c r="D729" s="23" t="s">
        <v>17</v>
      </c>
      <c r="E729" s="5" t="s">
        <v>2131</v>
      </c>
      <c r="F729" s="71" t="s">
        <v>6105</v>
      </c>
      <c r="G729" s="22" t="s">
        <v>119</v>
      </c>
      <c r="H729" s="5" t="s">
        <v>120</v>
      </c>
      <c r="I729" s="5" t="s">
        <v>21</v>
      </c>
      <c r="J729" s="5" t="s">
        <v>5728</v>
      </c>
      <c r="K729" s="5" t="s">
        <v>2132</v>
      </c>
    </row>
    <row r="730" spans="1:11">
      <c r="A730" s="21">
        <v>728</v>
      </c>
      <c r="B730" s="5" t="s">
        <v>2133</v>
      </c>
      <c r="C730" s="23" t="s">
        <v>3636</v>
      </c>
      <c r="D730" s="23" t="s">
        <v>59</v>
      </c>
      <c r="E730" s="5" t="s">
        <v>2134</v>
      </c>
      <c r="F730" s="71" t="s">
        <v>6105</v>
      </c>
      <c r="G730" s="22" t="s">
        <v>179</v>
      </c>
      <c r="H730" s="5" t="s">
        <v>13</v>
      </c>
      <c r="I730" s="5" t="s">
        <v>67</v>
      </c>
      <c r="J730" s="5" t="s">
        <v>5218</v>
      </c>
      <c r="K730" s="5" t="s">
        <v>2135</v>
      </c>
    </row>
    <row r="731" spans="1:11">
      <c r="A731" s="21">
        <v>729</v>
      </c>
      <c r="B731" s="5" t="s">
        <v>2136</v>
      </c>
      <c r="C731" s="23" t="s">
        <v>2959</v>
      </c>
      <c r="D731" s="23" t="s">
        <v>17</v>
      </c>
      <c r="E731" s="5" t="s">
        <v>2137</v>
      </c>
      <c r="F731" s="71" t="s">
        <v>6106</v>
      </c>
      <c r="G731" s="22" t="s">
        <v>85</v>
      </c>
      <c r="H731" s="5" t="s">
        <v>86</v>
      </c>
      <c r="I731" s="5" t="s">
        <v>67</v>
      </c>
      <c r="J731" s="5" t="s">
        <v>4981</v>
      </c>
      <c r="K731" s="5" t="s">
        <v>2138</v>
      </c>
    </row>
    <row r="732" spans="1:11">
      <c r="A732" s="21">
        <v>730</v>
      </c>
      <c r="B732" s="5" t="s">
        <v>2139</v>
      </c>
      <c r="C732" s="23" t="s">
        <v>3099</v>
      </c>
      <c r="D732" s="23" t="s">
        <v>34</v>
      </c>
      <c r="E732" s="5" t="s">
        <v>2140</v>
      </c>
      <c r="F732" s="71" t="s">
        <v>6106</v>
      </c>
      <c r="G732" s="22" t="s">
        <v>179</v>
      </c>
      <c r="H732" s="5" t="s">
        <v>3932</v>
      </c>
      <c r="I732" s="5" t="s">
        <v>21</v>
      </c>
      <c r="J732" s="5" t="s">
        <v>5187</v>
      </c>
      <c r="K732" s="5" t="s">
        <v>2141</v>
      </c>
    </row>
    <row r="733" spans="1:11">
      <c r="A733" s="21">
        <v>731</v>
      </c>
      <c r="B733" s="5" t="s">
        <v>2142</v>
      </c>
      <c r="C733" s="23" t="s">
        <v>3260</v>
      </c>
      <c r="D733" s="23" t="s">
        <v>77</v>
      </c>
      <c r="E733" s="5" t="s">
        <v>2143</v>
      </c>
      <c r="F733" s="71" t="s">
        <v>6106</v>
      </c>
      <c r="G733" s="22" t="s">
        <v>179</v>
      </c>
      <c r="H733" s="5" t="s">
        <v>3932</v>
      </c>
      <c r="I733" s="5" t="s">
        <v>42</v>
      </c>
      <c r="J733" s="5" t="s">
        <v>5125</v>
      </c>
      <c r="K733" s="5" t="s">
        <v>2144</v>
      </c>
    </row>
    <row r="734" spans="1:11">
      <c r="A734" s="21">
        <v>732</v>
      </c>
      <c r="B734" s="5" t="s">
        <v>2145</v>
      </c>
      <c r="C734" s="23" t="s">
        <v>3570</v>
      </c>
      <c r="D734" s="23" t="s">
        <v>59</v>
      </c>
      <c r="E734" s="5" t="s">
        <v>1099</v>
      </c>
      <c r="F734" s="71" t="s">
        <v>6106</v>
      </c>
      <c r="G734" s="22" t="s">
        <v>12</v>
      </c>
      <c r="H734" s="5" t="s">
        <v>13</v>
      </c>
      <c r="I734" s="5" t="s">
        <v>14</v>
      </c>
      <c r="J734" s="5" t="s">
        <v>4804</v>
      </c>
      <c r="K734" s="5" t="s">
        <v>2146</v>
      </c>
    </row>
    <row r="735" spans="1:11">
      <c r="A735" s="21">
        <v>733</v>
      </c>
      <c r="B735" s="5" t="s">
        <v>2147</v>
      </c>
      <c r="C735" s="23" t="s">
        <v>3509</v>
      </c>
      <c r="D735" s="23" t="s">
        <v>77</v>
      </c>
      <c r="E735" s="5" t="s">
        <v>2148</v>
      </c>
      <c r="F735" s="71" t="s">
        <v>6106</v>
      </c>
      <c r="G735" s="22" t="s">
        <v>160</v>
      </c>
      <c r="H735" s="5" t="s">
        <v>3932</v>
      </c>
      <c r="I735" s="5" t="s">
        <v>14</v>
      </c>
      <c r="J735" s="5" t="s">
        <v>5701</v>
      </c>
      <c r="K735" s="5" t="s">
        <v>2149</v>
      </c>
    </row>
    <row r="736" spans="1:11">
      <c r="A736" s="21">
        <v>734</v>
      </c>
      <c r="B736" s="5" t="s">
        <v>2150</v>
      </c>
      <c r="C736" s="23" t="s">
        <v>3510</v>
      </c>
      <c r="D736" s="23" t="s">
        <v>77</v>
      </c>
      <c r="E736" s="5" t="s">
        <v>2151</v>
      </c>
      <c r="F736" s="71" t="s">
        <v>6106</v>
      </c>
      <c r="G736" s="22" t="s">
        <v>160</v>
      </c>
      <c r="H736" s="5" t="s">
        <v>3932</v>
      </c>
      <c r="I736" s="5" t="s">
        <v>67</v>
      </c>
      <c r="J736" s="5" t="s">
        <v>5317</v>
      </c>
      <c r="K736" s="5" t="s">
        <v>2152</v>
      </c>
    </row>
    <row r="737" spans="1:11">
      <c r="A737" s="21">
        <v>735</v>
      </c>
      <c r="B737" s="5" t="s">
        <v>2153</v>
      </c>
      <c r="C737" s="23" t="s">
        <v>3734</v>
      </c>
      <c r="D737" s="23" t="s">
        <v>59</v>
      </c>
      <c r="E737" s="5" t="s">
        <v>2154</v>
      </c>
      <c r="F737" s="71" t="s">
        <v>6106</v>
      </c>
      <c r="G737" s="22" t="s">
        <v>207</v>
      </c>
      <c r="H737" s="5" t="s">
        <v>115</v>
      </c>
      <c r="I737" s="5" t="s">
        <v>67</v>
      </c>
      <c r="J737" s="5" t="s">
        <v>4938</v>
      </c>
      <c r="K737" s="5" t="s">
        <v>2155</v>
      </c>
    </row>
    <row r="738" spans="1:11">
      <c r="A738" s="21">
        <v>736</v>
      </c>
      <c r="B738" s="5" t="s">
        <v>2156</v>
      </c>
      <c r="C738" s="23" t="s">
        <v>3168</v>
      </c>
      <c r="D738" s="23" t="s">
        <v>77</v>
      </c>
      <c r="E738" s="5" t="s">
        <v>2157</v>
      </c>
      <c r="F738" s="71" t="s">
        <v>6106</v>
      </c>
      <c r="G738" s="22" t="s">
        <v>179</v>
      </c>
      <c r="H738" s="22" t="s">
        <v>3932</v>
      </c>
      <c r="I738" s="5" t="s">
        <v>56</v>
      </c>
      <c r="J738" s="5" t="s">
        <v>5564</v>
      </c>
      <c r="K738" s="5" t="s">
        <v>2158</v>
      </c>
    </row>
    <row r="739" spans="1:11">
      <c r="A739" s="21">
        <v>737</v>
      </c>
      <c r="B739" s="5" t="s">
        <v>2159</v>
      </c>
      <c r="C739" s="23" t="s">
        <v>3403</v>
      </c>
      <c r="D739" s="23" t="s">
        <v>17</v>
      </c>
      <c r="E739" s="5" t="s">
        <v>2160</v>
      </c>
      <c r="F739" s="71" t="s">
        <v>6106</v>
      </c>
      <c r="G739" s="22" t="s">
        <v>216</v>
      </c>
      <c r="H739" s="5" t="s">
        <v>94</v>
      </c>
      <c r="I739" s="5" t="s">
        <v>42</v>
      </c>
      <c r="J739" s="5" t="s">
        <v>5009</v>
      </c>
      <c r="K739" s="5" t="s">
        <v>2161</v>
      </c>
    </row>
    <row r="740" spans="1:11">
      <c r="A740" s="21">
        <v>738</v>
      </c>
      <c r="B740" s="5" t="s">
        <v>2162</v>
      </c>
      <c r="C740" s="23" t="s">
        <v>3404</v>
      </c>
      <c r="D740" s="23" t="s">
        <v>17</v>
      </c>
      <c r="E740" s="5" t="s">
        <v>2163</v>
      </c>
      <c r="F740" s="71" t="s">
        <v>6106</v>
      </c>
      <c r="G740" s="22" t="s">
        <v>3933</v>
      </c>
      <c r="H740" s="5" t="s">
        <v>3932</v>
      </c>
      <c r="I740" s="5" t="s">
        <v>67</v>
      </c>
      <c r="J740" s="5" t="s">
        <v>4850</v>
      </c>
      <c r="K740" s="5">
        <v>830528658</v>
      </c>
    </row>
    <row r="741" spans="1:11">
      <c r="A741" s="21">
        <v>739</v>
      </c>
      <c r="B741" s="5" t="s">
        <v>2164</v>
      </c>
      <c r="C741" s="23" t="s">
        <v>3046</v>
      </c>
      <c r="D741" s="23" t="s">
        <v>34</v>
      </c>
      <c r="E741" s="5" t="s">
        <v>2165</v>
      </c>
      <c r="F741" s="71" t="s">
        <v>6106</v>
      </c>
      <c r="G741" s="22" t="s">
        <v>40</v>
      </c>
      <c r="H741" s="5" t="s">
        <v>41</v>
      </c>
      <c r="I741" s="5" t="s">
        <v>14</v>
      </c>
      <c r="J741" s="5" t="s">
        <v>5545</v>
      </c>
      <c r="K741" s="5" t="s">
        <v>2166</v>
      </c>
    </row>
    <row r="742" spans="1:11">
      <c r="A742" s="21">
        <v>740</v>
      </c>
      <c r="B742" s="5" t="s">
        <v>2167</v>
      </c>
      <c r="C742" s="23" t="s">
        <v>3100</v>
      </c>
      <c r="D742" s="23" t="s">
        <v>77</v>
      </c>
      <c r="E742" s="5" t="s">
        <v>2168</v>
      </c>
      <c r="F742" s="71" t="s">
        <v>6106</v>
      </c>
      <c r="G742" s="22" t="s">
        <v>179</v>
      </c>
      <c r="H742" s="22" t="s">
        <v>3932</v>
      </c>
      <c r="I742" s="5" t="s">
        <v>56</v>
      </c>
      <c r="J742" s="5" t="s">
        <v>5329</v>
      </c>
      <c r="K742" s="5" t="s">
        <v>2169</v>
      </c>
    </row>
    <row r="743" spans="1:11">
      <c r="A743" s="21">
        <v>741</v>
      </c>
      <c r="B743" s="5" t="s">
        <v>2170</v>
      </c>
      <c r="C743" s="23" t="s">
        <v>2940</v>
      </c>
      <c r="D743" s="23" t="s">
        <v>17</v>
      </c>
      <c r="E743" s="5" t="s">
        <v>2171</v>
      </c>
      <c r="F743" s="71" t="s">
        <v>6106</v>
      </c>
      <c r="G743" s="22" t="s">
        <v>119</v>
      </c>
      <c r="H743" s="5" t="s">
        <v>86</v>
      </c>
      <c r="I743" s="5" t="s">
        <v>21</v>
      </c>
      <c r="J743" s="5" t="s">
        <v>5313</v>
      </c>
      <c r="K743" s="5" t="s">
        <v>2172</v>
      </c>
    </row>
    <row r="744" spans="1:11">
      <c r="A744" s="21">
        <v>742</v>
      </c>
      <c r="B744" s="5" t="s">
        <v>2173</v>
      </c>
      <c r="C744" s="23" t="s">
        <v>3047</v>
      </c>
      <c r="D744" s="23" t="s">
        <v>34</v>
      </c>
      <c r="E744" s="5" t="s">
        <v>2174</v>
      </c>
      <c r="F744" s="71" t="s">
        <v>6106</v>
      </c>
      <c r="G744" s="22" t="s">
        <v>74</v>
      </c>
      <c r="H744" s="5" t="s">
        <v>71</v>
      </c>
      <c r="I744" s="5" t="s">
        <v>14</v>
      </c>
      <c r="J744" s="5" t="s">
        <v>5512</v>
      </c>
      <c r="K744" s="5" t="s">
        <v>2175</v>
      </c>
    </row>
    <row r="745" spans="1:11">
      <c r="A745" s="21">
        <v>743</v>
      </c>
      <c r="B745" s="5" t="s">
        <v>2176</v>
      </c>
      <c r="C745" s="23" t="s">
        <v>3405</v>
      </c>
      <c r="D745" s="23" t="s">
        <v>17</v>
      </c>
      <c r="E745" s="5" t="s">
        <v>2177</v>
      </c>
      <c r="F745" s="71" t="s">
        <v>6106</v>
      </c>
      <c r="G745" s="22" t="s">
        <v>3933</v>
      </c>
      <c r="H745" s="5" t="s">
        <v>3932</v>
      </c>
      <c r="I745" s="5" t="s">
        <v>50</v>
      </c>
      <c r="J745" s="5" t="s">
        <v>4868</v>
      </c>
      <c r="K745" s="5" t="s">
        <v>2178</v>
      </c>
    </row>
    <row r="746" spans="1:11">
      <c r="A746" s="21">
        <v>744</v>
      </c>
      <c r="B746" s="5" t="s">
        <v>2179</v>
      </c>
      <c r="C746" s="23" t="s">
        <v>2941</v>
      </c>
      <c r="D746" s="23" t="s">
        <v>17</v>
      </c>
      <c r="E746" s="5" t="s">
        <v>2180</v>
      </c>
      <c r="F746" s="71" t="s">
        <v>6106</v>
      </c>
      <c r="G746" s="22" t="s">
        <v>85</v>
      </c>
      <c r="H746" s="5" t="s">
        <v>86</v>
      </c>
      <c r="I746" s="5" t="s">
        <v>50</v>
      </c>
      <c r="J746" s="5" t="s">
        <v>5325</v>
      </c>
      <c r="K746" s="5" t="s">
        <v>2181</v>
      </c>
    </row>
    <row r="747" spans="1:11">
      <c r="A747" s="21">
        <v>745</v>
      </c>
      <c r="B747" s="5" t="s">
        <v>2182</v>
      </c>
      <c r="C747" s="23" t="s">
        <v>3406</v>
      </c>
      <c r="D747" s="23" t="s">
        <v>17</v>
      </c>
      <c r="E747" s="5" t="s">
        <v>2183</v>
      </c>
      <c r="F747" s="71" t="s">
        <v>6106</v>
      </c>
      <c r="G747" s="22" t="s">
        <v>216</v>
      </c>
      <c r="H747" s="5" t="s">
        <v>217</v>
      </c>
      <c r="I747" s="5" t="s">
        <v>42</v>
      </c>
      <c r="J747" s="5" t="s">
        <v>5463</v>
      </c>
      <c r="K747" s="5" t="s">
        <v>2184</v>
      </c>
    </row>
    <row r="748" spans="1:11">
      <c r="A748" s="21">
        <v>746</v>
      </c>
      <c r="B748" s="5" t="s">
        <v>2185</v>
      </c>
      <c r="C748" s="23" t="s">
        <v>3048</v>
      </c>
      <c r="D748" s="23" t="s">
        <v>34</v>
      </c>
      <c r="E748" s="5" t="s">
        <v>1302</v>
      </c>
      <c r="F748" s="71" t="s">
        <v>6106</v>
      </c>
      <c r="G748" s="22" t="s">
        <v>40</v>
      </c>
      <c r="H748" s="5" t="s">
        <v>41</v>
      </c>
      <c r="I748" s="5" t="s">
        <v>42</v>
      </c>
      <c r="J748" s="5" t="s">
        <v>5640</v>
      </c>
      <c r="K748" s="5" t="s">
        <v>2186</v>
      </c>
    </row>
    <row r="749" spans="1:11">
      <c r="A749" s="21">
        <v>747</v>
      </c>
      <c r="B749" s="5" t="s">
        <v>2187</v>
      </c>
      <c r="C749" s="23" t="s">
        <v>3735</v>
      </c>
      <c r="D749" s="23" t="s">
        <v>59</v>
      </c>
      <c r="E749" s="5" t="s">
        <v>2188</v>
      </c>
      <c r="F749" s="71" t="s">
        <v>6106</v>
      </c>
      <c r="G749" s="22" t="s">
        <v>3934</v>
      </c>
      <c r="H749" s="5" t="s">
        <v>13</v>
      </c>
      <c r="I749" s="5" t="s">
        <v>14</v>
      </c>
      <c r="J749" s="5" t="s">
        <v>5227</v>
      </c>
      <c r="K749" s="5" t="s">
        <v>2189</v>
      </c>
    </row>
    <row r="750" spans="1:11">
      <c r="A750" s="21">
        <v>748</v>
      </c>
      <c r="B750" s="5" t="s">
        <v>2190</v>
      </c>
      <c r="C750" s="23" t="s">
        <v>3049</v>
      </c>
      <c r="D750" s="23" t="s">
        <v>34</v>
      </c>
      <c r="E750" s="5" t="s">
        <v>2191</v>
      </c>
      <c r="F750" s="71" t="s">
        <v>6106</v>
      </c>
      <c r="G750" s="22" t="s">
        <v>179</v>
      </c>
      <c r="H750" s="5" t="s">
        <v>3932</v>
      </c>
      <c r="I750" s="5" t="s">
        <v>67</v>
      </c>
      <c r="J750" s="5" t="s">
        <v>5368</v>
      </c>
      <c r="K750" s="5" t="s">
        <v>2192</v>
      </c>
    </row>
    <row r="751" spans="1:11">
      <c r="A751" s="21">
        <v>749</v>
      </c>
      <c r="B751" s="5" t="s">
        <v>2193</v>
      </c>
      <c r="C751" s="23" t="s">
        <v>3169</v>
      </c>
      <c r="D751" s="23" t="s">
        <v>77</v>
      </c>
      <c r="E751" s="5" t="s">
        <v>2194</v>
      </c>
      <c r="F751" s="71" t="s">
        <v>6106</v>
      </c>
      <c r="G751" s="22" t="s">
        <v>179</v>
      </c>
      <c r="H751" s="5" t="s">
        <v>3932</v>
      </c>
      <c r="I751" s="5" t="s">
        <v>21</v>
      </c>
      <c r="J751" s="5" t="s">
        <v>4833</v>
      </c>
      <c r="K751" s="5" t="s">
        <v>2195</v>
      </c>
    </row>
    <row r="752" spans="1:11">
      <c r="A752" s="21">
        <v>750</v>
      </c>
      <c r="B752" s="5" t="s">
        <v>3959</v>
      </c>
      <c r="C752" s="23" t="s">
        <v>2937</v>
      </c>
      <c r="D752" s="23" t="s">
        <v>17</v>
      </c>
      <c r="E752" s="5" t="s">
        <v>2196</v>
      </c>
      <c r="F752" s="71" t="s">
        <v>6106</v>
      </c>
      <c r="G752" s="22" t="s">
        <v>119</v>
      </c>
      <c r="H752" s="5" t="s">
        <v>86</v>
      </c>
      <c r="I752" s="5" t="s">
        <v>26</v>
      </c>
      <c r="J752" s="5" t="s">
        <v>4861</v>
      </c>
      <c r="K752" s="5">
        <v>882198863</v>
      </c>
    </row>
    <row r="753" spans="1:11">
      <c r="A753" s="21">
        <v>751</v>
      </c>
      <c r="B753" s="5" t="s">
        <v>2197</v>
      </c>
      <c r="C753" s="23" t="s">
        <v>3637</v>
      </c>
      <c r="D753" s="23" t="s">
        <v>59</v>
      </c>
      <c r="E753" s="5" t="s">
        <v>2198</v>
      </c>
      <c r="F753" s="71" t="s">
        <v>6106</v>
      </c>
      <c r="G753" s="22" t="s">
        <v>160</v>
      </c>
      <c r="H753" s="5" t="s">
        <v>36</v>
      </c>
      <c r="I753" s="5" t="s">
        <v>56</v>
      </c>
      <c r="J753" s="5" t="s">
        <v>5283</v>
      </c>
      <c r="K753" s="5" t="s">
        <v>2199</v>
      </c>
    </row>
    <row r="754" spans="1:11">
      <c r="A754" s="21">
        <v>752</v>
      </c>
      <c r="B754" s="5" t="s">
        <v>2200</v>
      </c>
      <c r="C754" s="23" t="s">
        <v>3571</v>
      </c>
      <c r="D754" s="23" t="s">
        <v>59</v>
      </c>
      <c r="E754" s="5" t="s">
        <v>2201</v>
      </c>
      <c r="F754" s="71" t="s">
        <v>6106</v>
      </c>
      <c r="G754" s="22" t="s">
        <v>12</v>
      </c>
      <c r="H754" s="5" t="s">
        <v>13</v>
      </c>
      <c r="I754" s="5" t="s">
        <v>26</v>
      </c>
      <c r="J754" s="5" t="s">
        <v>5613</v>
      </c>
      <c r="K754" s="5" t="s">
        <v>2202</v>
      </c>
    </row>
    <row r="755" spans="1:11">
      <c r="A755" s="21">
        <v>753</v>
      </c>
      <c r="B755" s="5" t="s">
        <v>2203</v>
      </c>
      <c r="C755" s="23" t="s">
        <v>2939</v>
      </c>
      <c r="D755" s="23" t="s">
        <v>17</v>
      </c>
      <c r="E755" s="5" t="s">
        <v>2204</v>
      </c>
      <c r="F755" s="71" t="s">
        <v>6106</v>
      </c>
      <c r="G755" s="22" t="s">
        <v>85</v>
      </c>
      <c r="H755" s="5" t="s">
        <v>120</v>
      </c>
      <c r="I755" s="5" t="s">
        <v>50</v>
      </c>
      <c r="J755" s="5" t="s">
        <v>4809</v>
      </c>
      <c r="K755" s="5" t="s">
        <v>2205</v>
      </c>
    </row>
    <row r="756" spans="1:11">
      <c r="A756" s="21">
        <v>754</v>
      </c>
      <c r="B756" s="5" t="s">
        <v>2206</v>
      </c>
      <c r="C756" s="23" t="s">
        <v>3261</v>
      </c>
      <c r="D756" s="23" t="s">
        <v>77</v>
      </c>
      <c r="E756" s="5" t="s">
        <v>2207</v>
      </c>
      <c r="F756" s="71" t="s">
        <v>6106</v>
      </c>
      <c r="G756" s="22" t="s">
        <v>179</v>
      </c>
      <c r="H756" s="5" t="s">
        <v>3932</v>
      </c>
      <c r="I756" s="5" t="s">
        <v>42</v>
      </c>
      <c r="J756" s="5" t="s">
        <v>5242</v>
      </c>
      <c r="K756" s="5" t="s">
        <v>2208</v>
      </c>
    </row>
    <row r="757" spans="1:11">
      <c r="A757" s="21">
        <v>755</v>
      </c>
      <c r="B757" s="5" t="s">
        <v>2209</v>
      </c>
      <c r="C757" s="23" t="s">
        <v>3170</v>
      </c>
      <c r="D757" s="23" t="s">
        <v>77</v>
      </c>
      <c r="E757" s="5" t="s">
        <v>1813</v>
      </c>
      <c r="F757" s="71" t="s">
        <v>6106</v>
      </c>
      <c r="G757" s="22" t="s">
        <v>179</v>
      </c>
      <c r="H757" s="5" t="s">
        <v>3932</v>
      </c>
      <c r="I757" s="5" t="s">
        <v>21</v>
      </c>
      <c r="J757" s="5" t="s">
        <v>5327</v>
      </c>
      <c r="K757" s="5" t="s">
        <v>2210</v>
      </c>
    </row>
    <row r="758" spans="1:11">
      <c r="A758" s="21">
        <v>756</v>
      </c>
      <c r="B758" s="5" t="s">
        <v>2211</v>
      </c>
      <c r="C758" s="23" t="s">
        <v>3801</v>
      </c>
      <c r="D758" s="23" t="s">
        <v>59</v>
      </c>
      <c r="E758" s="5" t="s">
        <v>2212</v>
      </c>
      <c r="F758" s="71" t="s">
        <v>6106</v>
      </c>
      <c r="G758" s="22" t="s">
        <v>24</v>
      </c>
      <c r="H758" s="5" t="s">
        <v>25</v>
      </c>
      <c r="I758" s="5" t="s">
        <v>67</v>
      </c>
      <c r="J758" s="5" t="s">
        <v>4793</v>
      </c>
      <c r="K758" s="5" t="s">
        <v>2213</v>
      </c>
    </row>
    <row r="759" spans="1:11">
      <c r="A759" s="21">
        <v>757</v>
      </c>
      <c r="B759" s="5" t="s">
        <v>2214</v>
      </c>
      <c r="C759" s="23" t="s">
        <v>3315</v>
      </c>
      <c r="D759" s="23" t="s">
        <v>77</v>
      </c>
      <c r="E759" s="5" t="s">
        <v>2215</v>
      </c>
      <c r="F759" s="71" t="s">
        <v>6106</v>
      </c>
      <c r="G759" s="22" t="s">
        <v>179</v>
      </c>
      <c r="H759" s="5" t="s">
        <v>3932</v>
      </c>
      <c r="I759" s="5" t="s">
        <v>21</v>
      </c>
      <c r="J759" s="5" t="s">
        <v>4840</v>
      </c>
      <c r="K759" s="5">
        <v>89756465595</v>
      </c>
    </row>
    <row r="760" spans="1:11">
      <c r="A760" s="21">
        <v>758</v>
      </c>
      <c r="B760" s="5" t="s">
        <v>2216</v>
      </c>
      <c r="C760" s="23" t="s">
        <v>3407</v>
      </c>
      <c r="D760" s="23" t="s">
        <v>17</v>
      </c>
      <c r="E760" s="5" t="s">
        <v>2217</v>
      </c>
      <c r="F760" s="71" t="s">
        <v>6106</v>
      </c>
      <c r="G760" s="22" t="s">
        <v>93</v>
      </c>
      <c r="H760" s="5" t="s">
        <v>94</v>
      </c>
      <c r="I760" s="5" t="s">
        <v>26</v>
      </c>
      <c r="J760" s="5" t="s">
        <v>4999</v>
      </c>
      <c r="K760" s="5" t="s">
        <v>2218</v>
      </c>
    </row>
    <row r="761" spans="1:11">
      <c r="A761" s="21">
        <v>759</v>
      </c>
      <c r="B761" s="5" t="s">
        <v>2219</v>
      </c>
      <c r="C761" s="23" t="s">
        <v>3511</v>
      </c>
      <c r="D761" s="23" t="s">
        <v>77</v>
      </c>
      <c r="E761" s="5" t="s">
        <v>2220</v>
      </c>
      <c r="F761" s="71" t="s">
        <v>6106</v>
      </c>
      <c r="G761" s="22" t="s">
        <v>160</v>
      </c>
      <c r="H761" s="5" t="s">
        <v>3932</v>
      </c>
      <c r="I761" s="5" t="s">
        <v>26</v>
      </c>
      <c r="J761" s="5" t="s">
        <v>5727</v>
      </c>
      <c r="K761" s="5" t="s">
        <v>2221</v>
      </c>
    </row>
    <row r="762" spans="1:11">
      <c r="A762" s="21">
        <v>760</v>
      </c>
      <c r="B762" s="5" t="s">
        <v>2222</v>
      </c>
      <c r="C762" s="23" t="s">
        <v>3171</v>
      </c>
      <c r="D762" s="23" t="s">
        <v>77</v>
      </c>
      <c r="E762" s="5" t="s">
        <v>2223</v>
      </c>
      <c r="F762" s="71" t="s">
        <v>6106</v>
      </c>
      <c r="G762" s="22" t="s">
        <v>179</v>
      </c>
      <c r="H762" s="22" t="s">
        <v>179</v>
      </c>
      <c r="I762" s="5" t="s">
        <v>50</v>
      </c>
      <c r="J762" s="5" t="s">
        <v>5644</v>
      </c>
      <c r="K762" s="5" t="s">
        <v>2224</v>
      </c>
    </row>
    <row r="763" spans="1:11">
      <c r="A763" s="21">
        <v>761</v>
      </c>
      <c r="B763" s="5" t="s">
        <v>2225</v>
      </c>
      <c r="C763" s="23" t="s">
        <v>3638</v>
      </c>
      <c r="D763" s="23" t="s">
        <v>59</v>
      </c>
      <c r="E763" s="5" t="s">
        <v>2226</v>
      </c>
      <c r="F763" s="71" t="s">
        <v>6106</v>
      </c>
      <c r="G763" s="22" t="s">
        <v>179</v>
      </c>
      <c r="H763" s="5" t="s">
        <v>36</v>
      </c>
      <c r="I763" s="5" t="s">
        <v>14</v>
      </c>
      <c r="J763" s="5" t="s">
        <v>5361</v>
      </c>
      <c r="K763" s="5">
        <v>847846979</v>
      </c>
    </row>
    <row r="764" spans="1:11">
      <c r="A764" s="21">
        <v>762</v>
      </c>
      <c r="B764" s="5" t="s">
        <v>2227</v>
      </c>
      <c r="C764" s="23" t="s">
        <v>3736</v>
      </c>
      <c r="D764" s="23" t="s">
        <v>59</v>
      </c>
      <c r="E764" s="5" t="s">
        <v>2228</v>
      </c>
      <c r="F764" s="71" t="s">
        <v>6106</v>
      </c>
      <c r="G764" s="22" t="s">
        <v>30</v>
      </c>
      <c r="H764" s="5" t="s">
        <v>31</v>
      </c>
      <c r="I764" s="5" t="s">
        <v>56</v>
      </c>
      <c r="J764" s="5" t="s">
        <v>5026</v>
      </c>
      <c r="K764" s="5" t="s">
        <v>2229</v>
      </c>
    </row>
    <row r="765" spans="1:11">
      <c r="A765" s="21">
        <v>763</v>
      </c>
      <c r="B765" s="5" t="s">
        <v>2230</v>
      </c>
      <c r="C765" s="23" t="s">
        <v>3050</v>
      </c>
      <c r="D765" s="23" t="s">
        <v>34</v>
      </c>
      <c r="E765" s="5" t="s">
        <v>2231</v>
      </c>
      <c r="F765" s="71" t="s">
        <v>6106</v>
      </c>
      <c r="G765" s="22" t="s">
        <v>40</v>
      </c>
      <c r="H765" s="5" t="s">
        <v>71</v>
      </c>
      <c r="I765" s="5" t="s">
        <v>26</v>
      </c>
      <c r="J765" s="5" t="s">
        <v>5633</v>
      </c>
      <c r="K765" s="5" t="s">
        <v>2232</v>
      </c>
    </row>
    <row r="766" spans="1:11">
      <c r="A766" s="21">
        <v>764</v>
      </c>
      <c r="B766" s="5" t="s">
        <v>2233</v>
      </c>
      <c r="C766" s="23" t="s">
        <v>3408</v>
      </c>
      <c r="D766" s="23" t="s">
        <v>17</v>
      </c>
      <c r="E766" s="5" t="s">
        <v>2234</v>
      </c>
      <c r="F766" s="71" t="s">
        <v>6106</v>
      </c>
      <c r="G766" s="22" t="s">
        <v>3933</v>
      </c>
      <c r="H766" s="5" t="s">
        <v>3932</v>
      </c>
      <c r="I766" s="5" t="s">
        <v>21</v>
      </c>
      <c r="J766" s="5" t="s">
        <v>5498</v>
      </c>
      <c r="K766" s="5" t="s">
        <v>2235</v>
      </c>
    </row>
    <row r="767" spans="1:11">
      <c r="A767" s="21">
        <v>765</v>
      </c>
      <c r="B767" s="5" t="s">
        <v>2236</v>
      </c>
      <c r="C767" s="23" t="s">
        <v>3409</v>
      </c>
      <c r="D767" s="23" t="s">
        <v>17</v>
      </c>
      <c r="E767" s="5" t="s">
        <v>150</v>
      </c>
      <c r="F767" s="71" t="s">
        <v>6106</v>
      </c>
      <c r="G767" s="22" t="s">
        <v>3933</v>
      </c>
      <c r="H767" s="5" t="s">
        <v>3932</v>
      </c>
      <c r="I767" s="5" t="s">
        <v>14</v>
      </c>
      <c r="J767" s="5" t="s">
        <v>5012</v>
      </c>
      <c r="K767" s="5" t="s">
        <v>2237</v>
      </c>
    </row>
    <row r="768" spans="1:11">
      <c r="A768" s="21">
        <v>766</v>
      </c>
      <c r="B768" s="5" t="s">
        <v>2238</v>
      </c>
      <c r="C768" s="23" t="s">
        <v>3737</v>
      </c>
      <c r="D768" s="23" t="s">
        <v>59</v>
      </c>
      <c r="E768" s="5" t="s">
        <v>2239</v>
      </c>
      <c r="F768" s="71" t="s">
        <v>6106</v>
      </c>
      <c r="G768" s="22" t="s">
        <v>3934</v>
      </c>
      <c r="H768" s="5" t="s">
        <v>13</v>
      </c>
      <c r="I768" s="5" t="s">
        <v>50</v>
      </c>
      <c r="J768" s="5" t="s">
        <v>5575</v>
      </c>
      <c r="K768" s="5" t="s">
        <v>2240</v>
      </c>
    </row>
    <row r="769" spans="1:11">
      <c r="A769" s="21">
        <v>767</v>
      </c>
      <c r="B769" s="5" t="s">
        <v>2241</v>
      </c>
      <c r="C769" s="23" t="s">
        <v>3512</v>
      </c>
      <c r="D769" s="23" t="s">
        <v>77</v>
      </c>
      <c r="E769" s="5" t="s">
        <v>2242</v>
      </c>
      <c r="F769" s="71" t="s">
        <v>6106</v>
      </c>
      <c r="G769" s="22" t="s">
        <v>160</v>
      </c>
      <c r="H769" s="5" t="s">
        <v>3932</v>
      </c>
      <c r="I769" s="5" t="s">
        <v>21</v>
      </c>
      <c r="J769" s="5" t="s">
        <v>5685</v>
      </c>
      <c r="K769" s="5" t="s">
        <v>2243</v>
      </c>
    </row>
    <row r="770" spans="1:11">
      <c r="A770" s="21">
        <v>768</v>
      </c>
      <c r="B770" s="5" t="s">
        <v>2244</v>
      </c>
      <c r="C770" s="23" t="s">
        <v>3101</v>
      </c>
      <c r="D770" s="23" t="s">
        <v>34</v>
      </c>
      <c r="E770" s="5" t="s">
        <v>2245</v>
      </c>
      <c r="F770" s="71" t="s">
        <v>6106</v>
      </c>
      <c r="G770" s="22" t="s">
        <v>179</v>
      </c>
      <c r="H770" s="22" t="s">
        <v>179</v>
      </c>
      <c r="I770" s="5" t="s">
        <v>21</v>
      </c>
      <c r="J770" s="5" t="s">
        <v>4916</v>
      </c>
      <c r="K770" s="5" t="s">
        <v>2246</v>
      </c>
    </row>
    <row r="771" spans="1:11">
      <c r="A771" s="21">
        <v>769</v>
      </c>
      <c r="B771" s="5" t="s">
        <v>2247</v>
      </c>
      <c r="C771" s="23" t="s">
        <v>3513</v>
      </c>
      <c r="D771" s="23" t="s">
        <v>77</v>
      </c>
      <c r="E771" s="5" t="s">
        <v>2248</v>
      </c>
      <c r="F771" s="71" t="s">
        <v>6106</v>
      </c>
      <c r="G771" s="22" t="s">
        <v>160</v>
      </c>
      <c r="H771" s="5" t="s">
        <v>3932</v>
      </c>
      <c r="I771" s="5" t="s">
        <v>67</v>
      </c>
      <c r="J771" s="5" t="s">
        <v>4927</v>
      </c>
      <c r="K771" s="5" t="s">
        <v>2249</v>
      </c>
    </row>
    <row r="772" spans="1:11">
      <c r="A772" s="21">
        <v>770</v>
      </c>
      <c r="B772" s="5" t="s">
        <v>2250</v>
      </c>
      <c r="C772" s="23" t="s">
        <v>3639</v>
      </c>
      <c r="D772" s="23" t="s">
        <v>59</v>
      </c>
      <c r="E772" s="5" t="s">
        <v>2251</v>
      </c>
      <c r="F772" s="71" t="s">
        <v>6106</v>
      </c>
      <c r="G772" s="22" t="s">
        <v>179</v>
      </c>
      <c r="H772" s="5" t="s">
        <v>36</v>
      </c>
      <c r="I772" s="5" t="s">
        <v>14</v>
      </c>
      <c r="J772" s="5" t="s">
        <v>5117</v>
      </c>
      <c r="K772" s="5" t="s">
        <v>2252</v>
      </c>
    </row>
    <row r="773" spans="1:11">
      <c r="A773" s="21">
        <v>771</v>
      </c>
      <c r="B773" s="5" t="s">
        <v>2253</v>
      </c>
      <c r="C773" s="23" t="s">
        <v>3514</v>
      </c>
      <c r="D773" s="23" t="s">
        <v>77</v>
      </c>
      <c r="E773" s="5" t="s">
        <v>504</v>
      </c>
      <c r="F773" s="71" t="s">
        <v>6106</v>
      </c>
      <c r="G773" s="22" t="s">
        <v>160</v>
      </c>
      <c r="H773" s="5" t="s">
        <v>3932</v>
      </c>
      <c r="I773" s="5" t="s">
        <v>14</v>
      </c>
      <c r="J773" s="5" t="s">
        <v>5376</v>
      </c>
      <c r="K773" s="5" t="s">
        <v>2254</v>
      </c>
    </row>
    <row r="774" spans="1:11">
      <c r="A774" s="21">
        <v>772</v>
      </c>
      <c r="B774" s="5" t="s">
        <v>2255</v>
      </c>
      <c r="C774" s="23" t="s">
        <v>3515</v>
      </c>
      <c r="D774" s="23" t="s">
        <v>77</v>
      </c>
      <c r="E774" s="5" t="s">
        <v>2256</v>
      </c>
      <c r="F774" s="71" t="s">
        <v>6106</v>
      </c>
      <c r="G774" s="22" t="s">
        <v>160</v>
      </c>
      <c r="H774" s="5" t="s">
        <v>3932</v>
      </c>
      <c r="I774" s="5" t="s">
        <v>21</v>
      </c>
      <c r="J774" s="5" t="s">
        <v>4902</v>
      </c>
      <c r="K774" s="5">
        <v>89756465596</v>
      </c>
    </row>
    <row r="775" spans="1:11">
      <c r="A775" s="21">
        <v>773</v>
      </c>
      <c r="B775" s="5" t="s">
        <v>2257</v>
      </c>
      <c r="C775" s="23" t="s">
        <v>3051</v>
      </c>
      <c r="D775" s="23" t="s">
        <v>34</v>
      </c>
      <c r="E775" s="5" t="s">
        <v>676</v>
      </c>
      <c r="F775" s="71" t="s">
        <v>6106</v>
      </c>
      <c r="G775" s="22" t="s">
        <v>40</v>
      </c>
      <c r="H775" s="5" t="s">
        <v>71</v>
      </c>
      <c r="I775" s="5" t="s">
        <v>21</v>
      </c>
      <c r="J775" s="5" t="s">
        <v>5405</v>
      </c>
      <c r="K775" s="5" t="s">
        <v>2258</v>
      </c>
    </row>
    <row r="776" spans="1:11">
      <c r="A776" s="21">
        <v>774</v>
      </c>
      <c r="B776" s="5" t="s">
        <v>2259</v>
      </c>
      <c r="C776" s="23" t="s">
        <v>3516</v>
      </c>
      <c r="D776" s="23" t="s">
        <v>77</v>
      </c>
      <c r="E776" s="5" t="s">
        <v>2260</v>
      </c>
      <c r="F776" s="71" t="s">
        <v>6106</v>
      </c>
      <c r="G776" s="22" t="s">
        <v>160</v>
      </c>
      <c r="H776" s="5" t="s">
        <v>3932</v>
      </c>
      <c r="I776" s="5" t="s">
        <v>14</v>
      </c>
      <c r="J776" s="5" t="s">
        <v>4799</v>
      </c>
      <c r="K776" s="5" t="s">
        <v>2261</v>
      </c>
    </row>
    <row r="777" spans="1:11">
      <c r="A777" s="21">
        <v>775</v>
      </c>
      <c r="B777" s="5" t="s">
        <v>2262</v>
      </c>
      <c r="C777" s="23" t="s">
        <v>3517</v>
      </c>
      <c r="D777" s="23" t="s">
        <v>77</v>
      </c>
      <c r="E777" s="5" t="s">
        <v>2263</v>
      </c>
      <c r="F777" s="71" t="s">
        <v>6106</v>
      </c>
      <c r="G777" s="22" t="s">
        <v>160</v>
      </c>
      <c r="H777" s="5" t="s">
        <v>3932</v>
      </c>
      <c r="I777" s="5" t="s">
        <v>26</v>
      </c>
      <c r="J777" s="5" t="s">
        <v>5533</v>
      </c>
      <c r="K777" s="5" t="s">
        <v>2264</v>
      </c>
    </row>
    <row r="778" spans="1:11">
      <c r="A778" s="21">
        <v>776</v>
      </c>
      <c r="B778" s="5" t="s">
        <v>2265</v>
      </c>
      <c r="C778" s="23" t="s">
        <v>3410</v>
      </c>
      <c r="D778" s="23" t="s">
        <v>17</v>
      </c>
      <c r="E778" s="5" t="s">
        <v>2266</v>
      </c>
      <c r="F778" s="71" t="s">
        <v>6106</v>
      </c>
      <c r="G778" s="22" t="s">
        <v>93</v>
      </c>
      <c r="H778" s="5" t="s">
        <v>217</v>
      </c>
      <c r="I778" s="5" t="s">
        <v>26</v>
      </c>
      <c r="J778" s="5" t="s">
        <v>5319</v>
      </c>
      <c r="K778" s="5" t="s">
        <v>2267</v>
      </c>
    </row>
    <row r="779" spans="1:11">
      <c r="A779" s="21">
        <v>777</v>
      </c>
      <c r="B779" s="5" t="s">
        <v>2268</v>
      </c>
      <c r="C779" s="23" t="s">
        <v>2943</v>
      </c>
      <c r="D779" s="23" t="s">
        <v>17</v>
      </c>
      <c r="E779" s="5" t="s">
        <v>2269</v>
      </c>
      <c r="F779" s="71" t="s">
        <v>6106</v>
      </c>
      <c r="G779" s="22" t="s">
        <v>85</v>
      </c>
      <c r="H779" s="5" t="s">
        <v>120</v>
      </c>
      <c r="I779" s="5" t="s">
        <v>50</v>
      </c>
      <c r="J779" s="5" t="s">
        <v>5334</v>
      </c>
      <c r="K779" s="5" t="s">
        <v>2270</v>
      </c>
    </row>
    <row r="780" spans="1:11">
      <c r="A780" s="21">
        <v>778</v>
      </c>
      <c r="B780" s="5" t="s">
        <v>2271</v>
      </c>
      <c r="C780" s="23" t="s">
        <v>3518</v>
      </c>
      <c r="D780" s="23" t="s">
        <v>77</v>
      </c>
      <c r="E780" s="5" t="s">
        <v>1572</v>
      </c>
      <c r="F780" s="71" t="s">
        <v>6106</v>
      </c>
      <c r="G780" s="22" t="s">
        <v>160</v>
      </c>
      <c r="H780" s="5" t="s">
        <v>3932</v>
      </c>
      <c r="I780" s="5" t="s">
        <v>42</v>
      </c>
      <c r="J780" s="5" t="s">
        <v>5552</v>
      </c>
      <c r="K780" s="5" t="s">
        <v>2272</v>
      </c>
    </row>
    <row r="781" spans="1:11">
      <c r="A781" s="21">
        <v>779</v>
      </c>
      <c r="B781" s="5" t="s">
        <v>2273</v>
      </c>
      <c r="C781" s="23" t="s">
        <v>2973</v>
      </c>
      <c r="D781" s="23" t="s">
        <v>17</v>
      </c>
      <c r="E781" s="5" t="s">
        <v>2274</v>
      </c>
      <c r="F781" s="71" t="s">
        <v>6106</v>
      </c>
      <c r="G781" s="22" t="s">
        <v>119</v>
      </c>
      <c r="H781" s="5" t="s">
        <v>120</v>
      </c>
      <c r="I781" s="5" t="s">
        <v>14</v>
      </c>
      <c r="J781" s="5" t="s">
        <v>5121</v>
      </c>
      <c r="K781" s="5" t="s">
        <v>2275</v>
      </c>
    </row>
    <row r="782" spans="1:11">
      <c r="A782" s="21">
        <v>780</v>
      </c>
      <c r="B782" s="5" t="s">
        <v>2276</v>
      </c>
      <c r="C782" s="23" t="s">
        <v>3640</v>
      </c>
      <c r="D782" s="23" t="s">
        <v>59</v>
      </c>
      <c r="E782" s="5" t="s">
        <v>2277</v>
      </c>
      <c r="F782" s="71" t="s">
        <v>6106</v>
      </c>
      <c r="G782" s="22" t="s">
        <v>160</v>
      </c>
      <c r="H782" s="5" t="s">
        <v>36</v>
      </c>
      <c r="I782" s="5" t="s">
        <v>56</v>
      </c>
      <c r="J782" s="5" t="s">
        <v>5385</v>
      </c>
      <c r="K782" s="5" t="s">
        <v>2278</v>
      </c>
    </row>
    <row r="783" spans="1:11">
      <c r="A783" s="21">
        <v>781</v>
      </c>
      <c r="B783" s="5" t="s">
        <v>2279</v>
      </c>
      <c r="C783" s="23" t="s">
        <v>3172</v>
      </c>
      <c r="D783" s="23" t="s">
        <v>77</v>
      </c>
      <c r="E783" s="5" t="s">
        <v>2280</v>
      </c>
      <c r="F783" s="71" t="s">
        <v>6106</v>
      </c>
      <c r="G783" s="22" t="s">
        <v>179</v>
      </c>
      <c r="H783" s="5" t="s">
        <v>3932</v>
      </c>
      <c r="I783" s="5" t="s">
        <v>21</v>
      </c>
      <c r="J783" s="5" t="s">
        <v>5341</v>
      </c>
      <c r="K783" s="5" t="s">
        <v>2281</v>
      </c>
    </row>
    <row r="784" spans="1:11">
      <c r="A784" s="21">
        <v>782</v>
      </c>
      <c r="B784" s="5" t="s">
        <v>2282</v>
      </c>
      <c r="C784" s="23" t="s">
        <v>3802</v>
      </c>
      <c r="D784" s="23" t="s">
        <v>59</v>
      </c>
      <c r="E784" s="5" t="s">
        <v>2283</v>
      </c>
      <c r="F784" s="71" t="s">
        <v>6106</v>
      </c>
      <c r="G784" s="22" t="s">
        <v>24</v>
      </c>
      <c r="H784" s="5" t="s">
        <v>25</v>
      </c>
      <c r="I784" s="5" t="s">
        <v>14</v>
      </c>
      <c r="J784" s="5" t="s">
        <v>5298</v>
      </c>
      <c r="K784" s="5" t="s">
        <v>2284</v>
      </c>
    </row>
    <row r="785" spans="1:11">
      <c r="A785" s="21">
        <v>783</v>
      </c>
      <c r="B785" s="5" t="s">
        <v>2285</v>
      </c>
      <c r="C785" s="23" t="s">
        <v>3411</v>
      </c>
      <c r="D785" s="23" t="s">
        <v>17</v>
      </c>
      <c r="E785" s="5" t="s">
        <v>2286</v>
      </c>
      <c r="F785" s="71" t="s">
        <v>6106</v>
      </c>
      <c r="G785" s="22" t="s">
        <v>3933</v>
      </c>
      <c r="H785" s="5" t="s">
        <v>3932</v>
      </c>
      <c r="I785" s="5" t="s">
        <v>50</v>
      </c>
      <c r="J785" s="5" t="s">
        <v>5324</v>
      </c>
      <c r="K785" s="5">
        <v>89756465597</v>
      </c>
    </row>
    <row r="786" spans="1:11">
      <c r="A786" s="21">
        <v>784</v>
      </c>
      <c r="B786" s="5" t="s">
        <v>2287</v>
      </c>
      <c r="C786" s="23" t="s">
        <v>2964</v>
      </c>
      <c r="D786" s="23" t="s">
        <v>17</v>
      </c>
      <c r="E786" s="5" t="s">
        <v>2288</v>
      </c>
      <c r="F786" s="71" t="s">
        <v>6106</v>
      </c>
      <c r="G786" s="22" t="s">
        <v>119</v>
      </c>
      <c r="H786" s="5" t="s">
        <v>120</v>
      </c>
      <c r="I786" s="5" t="s">
        <v>56</v>
      </c>
      <c r="J786" s="5" t="s">
        <v>5234</v>
      </c>
      <c r="K786" s="5" t="s">
        <v>2289</v>
      </c>
    </row>
    <row r="787" spans="1:11">
      <c r="A787" s="21">
        <v>785</v>
      </c>
      <c r="B787" s="5" t="s">
        <v>2290</v>
      </c>
      <c r="C787" s="23" t="s">
        <v>3262</v>
      </c>
      <c r="D787" s="23" t="s">
        <v>77</v>
      </c>
      <c r="E787" s="5" t="s">
        <v>2291</v>
      </c>
      <c r="F787" s="71" t="s">
        <v>6106</v>
      </c>
      <c r="G787" s="22" t="s">
        <v>179</v>
      </c>
      <c r="H787" s="5" t="s">
        <v>3932</v>
      </c>
      <c r="I787" s="5" t="s">
        <v>21</v>
      </c>
      <c r="J787" s="5" t="s">
        <v>4911</v>
      </c>
      <c r="K787" s="5" t="s">
        <v>2292</v>
      </c>
    </row>
    <row r="788" spans="1:11">
      <c r="A788" s="21">
        <v>786</v>
      </c>
      <c r="B788" s="5" t="s">
        <v>2293</v>
      </c>
      <c r="C788" s="23" t="s">
        <v>3803</v>
      </c>
      <c r="D788" s="23" t="s">
        <v>59</v>
      </c>
      <c r="E788" s="5" t="s">
        <v>2294</v>
      </c>
      <c r="F788" s="71" t="s">
        <v>6106</v>
      </c>
      <c r="G788" s="22" t="s">
        <v>24</v>
      </c>
      <c r="H788" s="5" t="s">
        <v>25</v>
      </c>
      <c r="I788" s="5" t="s">
        <v>21</v>
      </c>
      <c r="J788" s="5" t="s">
        <v>5112</v>
      </c>
      <c r="K788" s="5" t="s">
        <v>2295</v>
      </c>
    </row>
    <row r="789" spans="1:11">
      <c r="A789" s="21">
        <v>787</v>
      </c>
      <c r="B789" s="5" t="s">
        <v>3960</v>
      </c>
      <c r="C789" s="23" t="s">
        <v>3641</v>
      </c>
      <c r="D789" s="23" t="s">
        <v>59</v>
      </c>
      <c r="E789" s="5" t="s">
        <v>2296</v>
      </c>
      <c r="F789" s="71" t="s">
        <v>6106</v>
      </c>
      <c r="G789" s="22" t="s">
        <v>179</v>
      </c>
      <c r="H789" s="5" t="s">
        <v>36</v>
      </c>
      <c r="I789" s="5" t="s">
        <v>50</v>
      </c>
      <c r="J789" s="5" t="s">
        <v>5413</v>
      </c>
      <c r="K789" s="5" t="s">
        <v>2297</v>
      </c>
    </row>
    <row r="790" spans="1:11">
      <c r="A790" s="21">
        <v>788</v>
      </c>
      <c r="B790" s="5" t="s">
        <v>2298</v>
      </c>
      <c r="C790" s="23" t="s">
        <v>3052</v>
      </c>
      <c r="D790" s="23" t="s">
        <v>34</v>
      </c>
      <c r="E790" s="5" t="s">
        <v>2299</v>
      </c>
      <c r="F790" s="71" t="s">
        <v>6106</v>
      </c>
      <c r="G790" s="22" t="s">
        <v>40</v>
      </c>
      <c r="H790" s="5" t="s">
        <v>71</v>
      </c>
      <c r="I790" s="5" t="s">
        <v>14</v>
      </c>
      <c r="J790" s="5" t="s">
        <v>5335</v>
      </c>
      <c r="K790" s="5" t="s">
        <v>2300</v>
      </c>
    </row>
    <row r="791" spans="1:11">
      <c r="A791" s="21">
        <v>789</v>
      </c>
      <c r="B791" s="5" t="s">
        <v>2301</v>
      </c>
      <c r="C791" s="23" t="s">
        <v>3412</v>
      </c>
      <c r="D791" s="23" t="s">
        <v>17</v>
      </c>
      <c r="E791" s="5" t="s">
        <v>2302</v>
      </c>
      <c r="F791" s="71" t="s">
        <v>6106</v>
      </c>
      <c r="G791" s="22" t="s">
        <v>3933</v>
      </c>
      <c r="H791" s="5" t="s">
        <v>3932</v>
      </c>
      <c r="I791" s="5" t="s">
        <v>14</v>
      </c>
      <c r="J791" s="5" t="s">
        <v>5465</v>
      </c>
      <c r="K791" s="5" t="s">
        <v>2303</v>
      </c>
    </row>
    <row r="792" spans="1:11">
      <c r="A792" s="21">
        <v>790</v>
      </c>
      <c r="B792" s="5" t="s">
        <v>2304</v>
      </c>
      <c r="C792" s="23" t="s">
        <v>3173</v>
      </c>
      <c r="D792" s="23" t="s">
        <v>34</v>
      </c>
      <c r="E792" s="5" t="s">
        <v>2305</v>
      </c>
      <c r="F792" s="71" t="s">
        <v>6106</v>
      </c>
      <c r="G792" s="22" t="s">
        <v>179</v>
      </c>
      <c r="H792" s="22" t="s">
        <v>179</v>
      </c>
      <c r="I792" s="5" t="s">
        <v>21</v>
      </c>
      <c r="J792" s="5" t="s">
        <v>5389</v>
      </c>
      <c r="K792" s="5" t="s">
        <v>2306</v>
      </c>
    </row>
    <row r="793" spans="1:11">
      <c r="A793" s="21">
        <v>791</v>
      </c>
      <c r="B793" s="5" t="s">
        <v>3961</v>
      </c>
      <c r="C793" s="23" t="s">
        <v>3053</v>
      </c>
      <c r="D793" s="23" t="s">
        <v>34</v>
      </c>
      <c r="E793" s="5" t="s">
        <v>2308</v>
      </c>
      <c r="F793" s="71" t="s">
        <v>6106</v>
      </c>
      <c r="G793" s="22" t="s">
        <v>40</v>
      </c>
      <c r="H793" s="5" t="s">
        <v>71</v>
      </c>
      <c r="I793" s="5" t="s">
        <v>42</v>
      </c>
      <c r="J793" s="5" t="s">
        <v>4971</v>
      </c>
      <c r="K793" s="5" t="s">
        <v>2309</v>
      </c>
    </row>
    <row r="794" spans="1:11">
      <c r="A794" s="21">
        <v>792</v>
      </c>
      <c r="B794" s="5" t="s">
        <v>2310</v>
      </c>
      <c r="C794" s="23" t="s">
        <v>3850</v>
      </c>
      <c r="D794" s="23" t="s">
        <v>59</v>
      </c>
      <c r="E794" s="5" t="s">
        <v>2311</v>
      </c>
      <c r="F794" s="71" t="s">
        <v>6106</v>
      </c>
      <c r="G794" s="22" t="s">
        <v>144</v>
      </c>
      <c r="H794" s="5" t="s">
        <v>25</v>
      </c>
      <c r="I794" s="5" t="s">
        <v>50</v>
      </c>
      <c r="J794" s="5" t="s">
        <v>4831</v>
      </c>
      <c r="K794" s="5" t="s">
        <v>2312</v>
      </c>
    </row>
    <row r="795" spans="1:11">
      <c r="A795" s="21">
        <v>793</v>
      </c>
      <c r="B795" s="5" t="s">
        <v>2313</v>
      </c>
      <c r="C795" s="23" t="s">
        <v>3174</v>
      </c>
      <c r="D795" s="23" t="s">
        <v>77</v>
      </c>
      <c r="E795" s="5" t="s">
        <v>2314</v>
      </c>
      <c r="F795" s="71" t="s">
        <v>6106</v>
      </c>
      <c r="G795" s="22" t="s">
        <v>179</v>
      </c>
      <c r="H795" s="22" t="s">
        <v>3932</v>
      </c>
      <c r="I795" s="5" t="s">
        <v>67</v>
      </c>
      <c r="J795" s="5" t="s">
        <v>5660</v>
      </c>
      <c r="K795" s="5" t="s">
        <v>2315</v>
      </c>
    </row>
    <row r="796" spans="1:11">
      <c r="A796" s="21">
        <v>794</v>
      </c>
      <c r="B796" s="5" t="s">
        <v>2316</v>
      </c>
      <c r="C796" s="23" t="s">
        <v>3642</v>
      </c>
      <c r="D796" s="23" t="s">
        <v>59</v>
      </c>
      <c r="E796" s="5" t="s">
        <v>2317</v>
      </c>
      <c r="F796" s="71" t="s">
        <v>6106</v>
      </c>
      <c r="G796" s="22" t="s">
        <v>179</v>
      </c>
      <c r="H796" s="5" t="s">
        <v>36</v>
      </c>
      <c r="I796" s="5" t="s">
        <v>42</v>
      </c>
      <c r="J796" s="5" t="s">
        <v>5472</v>
      </c>
      <c r="K796" s="5" t="s">
        <v>2318</v>
      </c>
    </row>
    <row r="797" spans="1:11">
      <c r="A797" s="21">
        <v>795</v>
      </c>
      <c r="B797" s="5" t="s">
        <v>2319</v>
      </c>
      <c r="C797" s="23" t="s">
        <v>3102</v>
      </c>
      <c r="D797" s="23" t="s">
        <v>77</v>
      </c>
      <c r="E797" s="5" t="s">
        <v>2320</v>
      </c>
      <c r="F797" s="71" t="s">
        <v>6106</v>
      </c>
      <c r="G797" s="22" t="s">
        <v>179</v>
      </c>
      <c r="H797" s="22" t="s">
        <v>179</v>
      </c>
      <c r="I797" s="5" t="s">
        <v>50</v>
      </c>
      <c r="J797" s="5" t="s">
        <v>4818</v>
      </c>
      <c r="K797" s="5" t="s">
        <v>2321</v>
      </c>
    </row>
    <row r="798" spans="1:11">
      <c r="A798" s="21">
        <v>796</v>
      </c>
      <c r="B798" s="5" t="s">
        <v>2322</v>
      </c>
      <c r="C798" s="23" t="s">
        <v>3316</v>
      </c>
      <c r="D798" s="23" t="s">
        <v>77</v>
      </c>
      <c r="E798" s="5" t="s">
        <v>2323</v>
      </c>
      <c r="F798" s="71" t="s">
        <v>6106</v>
      </c>
      <c r="G798" s="22" t="s">
        <v>179</v>
      </c>
      <c r="H798" s="5" t="s">
        <v>3932</v>
      </c>
      <c r="I798" s="5" t="s">
        <v>50</v>
      </c>
      <c r="J798" s="5" t="s">
        <v>5033</v>
      </c>
      <c r="K798" s="5" t="s">
        <v>2324</v>
      </c>
    </row>
    <row r="799" spans="1:11">
      <c r="A799" s="21">
        <v>797</v>
      </c>
      <c r="B799" s="5" t="s">
        <v>2325</v>
      </c>
      <c r="C799" s="23" t="s">
        <v>3519</v>
      </c>
      <c r="D799" s="23" t="s">
        <v>77</v>
      </c>
      <c r="E799" s="5" t="s">
        <v>2326</v>
      </c>
      <c r="F799" s="71" t="s">
        <v>6106</v>
      </c>
      <c r="G799" s="22" t="s">
        <v>160</v>
      </c>
      <c r="H799" s="5" t="s">
        <v>3932</v>
      </c>
      <c r="I799" s="5" t="s">
        <v>14</v>
      </c>
      <c r="J799" s="5" t="s">
        <v>5414</v>
      </c>
      <c r="K799" s="5">
        <v>835867825</v>
      </c>
    </row>
    <row r="800" spans="1:11">
      <c r="A800" s="21">
        <v>798</v>
      </c>
      <c r="B800" s="5" t="s">
        <v>2327</v>
      </c>
      <c r="C800" s="23" t="s">
        <v>3263</v>
      </c>
      <c r="D800" s="23" t="s">
        <v>77</v>
      </c>
      <c r="E800" s="5" t="s">
        <v>2328</v>
      </c>
      <c r="F800" s="71" t="s">
        <v>6106</v>
      </c>
      <c r="G800" s="22" t="s">
        <v>179</v>
      </c>
      <c r="H800" s="5" t="s">
        <v>3932</v>
      </c>
      <c r="I800" s="5" t="s">
        <v>56</v>
      </c>
      <c r="J800" s="5" t="s">
        <v>5557</v>
      </c>
      <c r="K800" s="5" t="s">
        <v>2329</v>
      </c>
    </row>
    <row r="801" spans="1:11">
      <c r="A801" s="21">
        <v>799</v>
      </c>
      <c r="B801" s="5" t="s">
        <v>2330</v>
      </c>
      <c r="C801" s="23" t="s">
        <v>3413</v>
      </c>
      <c r="D801" s="23" t="s">
        <v>17</v>
      </c>
      <c r="E801" s="5" t="s">
        <v>2331</v>
      </c>
      <c r="F801" s="71" t="s">
        <v>6106</v>
      </c>
      <c r="G801" s="22" t="s">
        <v>3933</v>
      </c>
      <c r="H801" s="5" t="s">
        <v>3932</v>
      </c>
      <c r="I801" s="5" t="s">
        <v>14</v>
      </c>
      <c r="J801" s="5" t="s">
        <v>5766</v>
      </c>
      <c r="K801" s="5" t="s">
        <v>2332</v>
      </c>
    </row>
    <row r="802" spans="1:11">
      <c r="A802" s="21">
        <v>800</v>
      </c>
      <c r="B802" s="5" t="s">
        <v>2333</v>
      </c>
      <c r="C802" s="23" t="s">
        <v>3520</v>
      </c>
      <c r="D802" s="23" t="s">
        <v>77</v>
      </c>
      <c r="E802" s="5" t="s">
        <v>2334</v>
      </c>
      <c r="F802" s="71" t="s">
        <v>6106</v>
      </c>
      <c r="G802" s="22" t="s">
        <v>160</v>
      </c>
      <c r="H802" s="5" t="s">
        <v>3932</v>
      </c>
      <c r="I802" s="5" t="s">
        <v>67</v>
      </c>
      <c r="J802" s="5" t="s">
        <v>5417</v>
      </c>
      <c r="K802" s="5" t="s">
        <v>2335</v>
      </c>
    </row>
    <row r="803" spans="1:11">
      <c r="A803" s="21">
        <v>801</v>
      </c>
      <c r="B803" s="5" t="s">
        <v>2336</v>
      </c>
      <c r="C803" s="23" t="s">
        <v>3804</v>
      </c>
      <c r="D803" s="23" t="s">
        <v>59</v>
      </c>
      <c r="E803" s="5" t="s">
        <v>2337</v>
      </c>
      <c r="F803" s="71" t="s">
        <v>6106</v>
      </c>
      <c r="G803" s="22" t="s">
        <v>24</v>
      </c>
      <c r="H803" s="5" t="s">
        <v>25</v>
      </c>
      <c r="I803" s="5" t="s">
        <v>42</v>
      </c>
      <c r="J803" s="5" t="s">
        <v>4836</v>
      </c>
      <c r="K803" s="5" t="s">
        <v>2338</v>
      </c>
    </row>
    <row r="804" spans="1:11">
      <c r="A804" s="21">
        <v>802</v>
      </c>
      <c r="B804" s="5" t="s">
        <v>2339</v>
      </c>
      <c r="C804" s="23" t="s">
        <v>3805</v>
      </c>
      <c r="D804" s="23" t="s">
        <v>59</v>
      </c>
      <c r="E804" s="5" t="s">
        <v>2340</v>
      </c>
      <c r="F804" s="71" t="s">
        <v>6106</v>
      </c>
      <c r="G804" s="22" t="s">
        <v>24</v>
      </c>
      <c r="H804" s="5" t="s">
        <v>25</v>
      </c>
      <c r="I804" s="5" t="s">
        <v>14</v>
      </c>
      <c r="J804" s="5" t="s">
        <v>5168</v>
      </c>
      <c r="K804" s="5" t="s">
        <v>2341</v>
      </c>
    </row>
    <row r="805" spans="1:11">
      <c r="A805" s="21">
        <v>803</v>
      </c>
      <c r="B805" s="5" t="s">
        <v>2342</v>
      </c>
      <c r="C805" s="23" t="s">
        <v>3264</v>
      </c>
      <c r="D805" s="23" t="s">
        <v>77</v>
      </c>
      <c r="E805" s="5" t="s">
        <v>1182</v>
      </c>
      <c r="F805" s="71" t="s">
        <v>6106</v>
      </c>
      <c r="G805" s="22" t="s">
        <v>179</v>
      </c>
      <c r="H805" s="5" t="s">
        <v>3932</v>
      </c>
      <c r="I805" s="5" t="s">
        <v>42</v>
      </c>
      <c r="J805" s="5" t="s">
        <v>4816</v>
      </c>
      <c r="K805" s="5" t="s">
        <v>2343</v>
      </c>
    </row>
    <row r="806" spans="1:11">
      <c r="A806" s="21">
        <v>804</v>
      </c>
      <c r="B806" s="5" t="s">
        <v>2344</v>
      </c>
      <c r="C806" s="23" t="s">
        <v>3265</v>
      </c>
      <c r="D806" s="23" t="s">
        <v>77</v>
      </c>
      <c r="E806" s="5" t="s">
        <v>2345</v>
      </c>
      <c r="F806" s="71" t="s">
        <v>6106</v>
      </c>
      <c r="G806" s="22" t="s">
        <v>179</v>
      </c>
      <c r="H806" s="5" t="s">
        <v>3932</v>
      </c>
      <c r="I806" s="5" t="s">
        <v>14</v>
      </c>
      <c r="J806" s="5" t="s">
        <v>4874</v>
      </c>
      <c r="K806" s="5" t="s">
        <v>2346</v>
      </c>
    </row>
    <row r="807" spans="1:11">
      <c r="A807" s="21">
        <v>805</v>
      </c>
      <c r="B807" s="5" t="s">
        <v>2347</v>
      </c>
      <c r="C807" s="23" t="s">
        <v>3738</v>
      </c>
      <c r="D807" s="23" t="s">
        <v>59</v>
      </c>
      <c r="E807" s="5" t="s">
        <v>2348</v>
      </c>
      <c r="F807" s="71" t="s">
        <v>6106</v>
      </c>
      <c r="G807" s="22" t="s">
        <v>3934</v>
      </c>
      <c r="H807" s="5" t="s">
        <v>13</v>
      </c>
      <c r="I807" s="5" t="s">
        <v>50</v>
      </c>
      <c r="J807" s="5" t="s">
        <v>5315</v>
      </c>
      <c r="K807" s="5" t="s">
        <v>2349</v>
      </c>
    </row>
    <row r="808" spans="1:11">
      <c r="A808" s="21">
        <v>806</v>
      </c>
      <c r="B808" s="5" t="s">
        <v>3962</v>
      </c>
      <c r="C808" s="23" t="s">
        <v>3103</v>
      </c>
      <c r="D808" s="23" t="s">
        <v>77</v>
      </c>
      <c r="E808" s="5" t="s">
        <v>2350</v>
      </c>
      <c r="F808" s="71" t="s">
        <v>6106</v>
      </c>
      <c r="G808" s="22" t="s">
        <v>179</v>
      </c>
      <c r="H808" s="22" t="s">
        <v>179</v>
      </c>
      <c r="I808" s="5" t="s">
        <v>50</v>
      </c>
      <c r="J808" s="5" t="s">
        <v>5216</v>
      </c>
      <c r="K808" s="5" t="s">
        <v>2351</v>
      </c>
    </row>
    <row r="809" spans="1:11">
      <c r="A809" s="21">
        <v>807</v>
      </c>
      <c r="B809" s="5" t="s">
        <v>2352</v>
      </c>
      <c r="C809" s="23" t="s">
        <v>3266</v>
      </c>
      <c r="D809" s="23" t="s">
        <v>77</v>
      </c>
      <c r="E809" s="5" t="s">
        <v>2353</v>
      </c>
      <c r="F809" s="71" t="s">
        <v>6106</v>
      </c>
      <c r="G809" s="22" t="s">
        <v>179</v>
      </c>
      <c r="H809" s="5" t="s">
        <v>3932</v>
      </c>
      <c r="I809" s="5" t="s">
        <v>50</v>
      </c>
      <c r="J809" s="5" t="s">
        <v>5060</v>
      </c>
      <c r="K809" s="5" t="s">
        <v>2354</v>
      </c>
    </row>
    <row r="810" spans="1:11">
      <c r="A810" s="21">
        <v>808</v>
      </c>
      <c r="B810" s="5" t="s">
        <v>2355</v>
      </c>
      <c r="C810" s="23" t="s">
        <v>3521</v>
      </c>
      <c r="D810" s="23" t="s">
        <v>77</v>
      </c>
      <c r="E810" s="5" t="s">
        <v>2356</v>
      </c>
      <c r="F810" s="71" t="s">
        <v>6106</v>
      </c>
      <c r="G810" s="22" t="s">
        <v>160</v>
      </c>
      <c r="H810" s="5" t="s">
        <v>3932</v>
      </c>
      <c r="I810" s="5" t="s">
        <v>21</v>
      </c>
      <c r="J810" s="5" t="s">
        <v>5428</v>
      </c>
      <c r="K810" s="5" t="s">
        <v>2357</v>
      </c>
    </row>
    <row r="811" spans="1:11">
      <c r="A811" s="21">
        <v>809</v>
      </c>
      <c r="B811" s="5" t="s">
        <v>2358</v>
      </c>
      <c r="C811" s="23" t="s">
        <v>3175</v>
      </c>
      <c r="D811" s="23" t="s">
        <v>77</v>
      </c>
      <c r="E811" s="5" t="s">
        <v>2359</v>
      </c>
      <c r="F811" s="71" t="s">
        <v>6106</v>
      </c>
      <c r="G811" s="22" t="s">
        <v>179</v>
      </c>
      <c r="H811" s="5" t="s">
        <v>3932</v>
      </c>
      <c r="I811" s="5" t="s">
        <v>21</v>
      </c>
      <c r="J811" s="5" t="s">
        <v>5466</v>
      </c>
      <c r="K811" s="5" t="s">
        <v>2360</v>
      </c>
    </row>
    <row r="812" spans="1:11">
      <c r="A812" s="21">
        <v>810</v>
      </c>
      <c r="B812" s="5" t="s">
        <v>2361</v>
      </c>
      <c r="C812" s="23" t="s">
        <v>2963</v>
      </c>
      <c r="D812" s="23" t="s">
        <v>17</v>
      </c>
      <c r="E812" s="5" t="s">
        <v>2362</v>
      </c>
      <c r="F812" s="71" t="s">
        <v>6106</v>
      </c>
      <c r="G812" s="22" t="s">
        <v>119</v>
      </c>
      <c r="H812" s="5" t="s">
        <v>120</v>
      </c>
      <c r="I812" s="5" t="s">
        <v>14</v>
      </c>
      <c r="J812" s="5" t="s">
        <v>5520</v>
      </c>
      <c r="K812" s="5" t="s">
        <v>2363</v>
      </c>
    </row>
    <row r="813" spans="1:11">
      <c r="A813" s="21">
        <v>811</v>
      </c>
      <c r="B813" s="5" t="s">
        <v>2364</v>
      </c>
      <c r="C813" s="23" t="s">
        <v>3522</v>
      </c>
      <c r="D813" s="23" t="s">
        <v>77</v>
      </c>
      <c r="E813" s="5" t="s">
        <v>1320</v>
      </c>
      <c r="F813" s="71" t="s">
        <v>6106</v>
      </c>
      <c r="G813" s="22" t="s">
        <v>160</v>
      </c>
      <c r="H813" s="5" t="s">
        <v>3932</v>
      </c>
      <c r="I813" s="5" t="s">
        <v>56</v>
      </c>
      <c r="J813" s="5" t="s">
        <v>4947</v>
      </c>
      <c r="K813" s="5" t="s">
        <v>2365</v>
      </c>
    </row>
    <row r="814" spans="1:11">
      <c r="A814" s="21">
        <v>812</v>
      </c>
      <c r="B814" s="5" t="s">
        <v>2366</v>
      </c>
      <c r="C814" s="23" t="s">
        <v>3054</v>
      </c>
      <c r="D814" s="23" t="s">
        <v>34</v>
      </c>
      <c r="E814" s="5" t="s">
        <v>2367</v>
      </c>
      <c r="F814" s="71" t="s">
        <v>6106</v>
      </c>
      <c r="G814" s="22" t="s">
        <v>40</v>
      </c>
      <c r="H814" s="5" t="s">
        <v>71</v>
      </c>
      <c r="I814" s="5" t="s">
        <v>50</v>
      </c>
      <c r="J814" s="5" t="s">
        <v>5462</v>
      </c>
      <c r="K814" s="5" t="s">
        <v>2368</v>
      </c>
    </row>
    <row r="815" spans="1:11">
      <c r="A815" s="21">
        <v>813</v>
      </c>
      <c r="B815" s="5" t="s">
        <v>2369</v>
      </c>
      <c r="C815" s="23" t="s">
        <v>3643</v>
      </c>
      <c r="D815" s="23" t="s">
        <v>59</v>
      </c>
      <c r="E815" s="5" t="s">
        <v>2370</v>
      </c>
      <c r="F815" s="71" t="s">
        <v>6106</v>
      </c>
      <c r="G815" s="22" t="s">
        <v>160</v>
      </c>
      <c r="H815" s="5" t="s">
        <v>36</v>
      </c>
      <c r="I815" s="5" t="s">
        <v>21</v>
      </c>
      <c r="J815" s="5" t="s">
        <v>5260</v>
      </c>
      <c r="K815" s="5" t="s">
        <v>2371</v>
      </c>
    </row>
    <row r="816" spans="1:11">
      <c r="A816" s="21">
        <v>814</v>
      </c>
      <c r="B816" s="5" t="s">
        <v>2372</v>
      </c>
      <c r="C816" s="23" t="s">
        <v>3644</v>
      </c>
      <c r="D816" s="23" t="s">
        <v>59</v>
      </c>
      <c r="E816" s="5" t="s">
        <v>2373</v>
      </c>
      <c r="F816" s="71" t="s">
        <v>6106</v>
      </c>
      <c r="G816" s="22" t="s">
        <v>160</v>
      </c>
      <c r="H816" s="5" t="s">
        <v>36</v>
      </c>
      <c r="I816" s="5" t="s">
        <v>21</v>
      </c>
      <c r="J816" s="5" t="s">
        <v>5642</v>
      </c>
      <c r="K816" s="5" t="s">
        <v>2374</v>
      </c>
    </row>
    <row r="817" spans="1:11">
      <c r="A817" s="21">
        <v>815</v>
      </c>
      <c r="B817" s="5" t="s">
        <v>2375</v>
      </c>
      <c r="C817" s="23" t="s">
        <v>3414</v>
      </c>
      <c r="D817" s="23" t="s">
        <v>17</v>
      </c>
      <c r="E817" s="5" t="s">
        <v>2376</v>
      </c>
      <c r="F817" s="71" t="s">
        <v>6106</v>
      </c>
      <c r="G817" s="22" t="s">
        <v>3933</v>
      </c>
      <c r="H817" s="5" t="s">
        <v>3932</v>
      </c>
      <c r="I817" s="5" t="s">
        <v>50</v>
      </c>
      <c r="J817" s="5" t="s">
        <v>5577</v>
      </c>
      <c r="K817" s="5" t="s">
        <v>2377</v>
      </c>
    </row>
    <row r="818" spans="1:11">
      <c r="A818" s="21">
        <v>816</v>
      </c>
      <c r="B818" s="5" t="s">
        <v>2378</v>
      </c>
      <c r="C818" s="23" t="s">
        <v>3739</v>
      </c>
      <c r="D818" s="23" t="s">
        <v>59</v>
      </c>
      <c r="E818" s="5" t="s">
        <v>2379</v>
      </c>
      <c r="F818" s="71" t="s">
        <v>6106</v>
      </c>
      <c r="G818" s="22" t="s">
        <v>3934</v>
      </c>
      <c r="H818" s="5" t="s">
        <v>13</v>
      </c>
      <c r="I818" s="5" t="s">
        <v>26</v>
      </c>
      <c r="J818" s="5" t="s">
        <v>5166</v>
      </c>
      <c r="K818" s="5">
        <v>828116760</v>
      </c>
    </row>
    <row r="819" spans="1:11">
      <c r="A819" s="21">
        <v>817</v>
      </c>
      <c r="B819" s="5" t="s">
        <v>2380</v>
      </c>
      <c r="C819" s="23" t="s">
        <v>3317</v>
      </c>
      <c r="D819" s="23" t="s">
        <v>34</v>
      </c>
      <c r="E819" s="5" t="s">
        <v>2381</v>
      </c>
      <c r="F819" s="71" t="s">
        <v>6106</v>
      </c>
      <c r="G819" s="22" t="s">
        <v>179</v>
      </c>
      <c r="H819" s="5" t="s">
        <v>3932</v>
      </c>
      <c r="I819" s="5" t="s">
        <v>50</v>
      </c>
      <c r="J819" s="5" t="s">
        <v>5355</v>
      </c>
      <c r="K819" s="5" t="s">
        <v>2382</v>
      </c>
    </row>
    <row r="820" spans="1:11">
      <c r="A820" s="21">
        <v>818</v>
      </c>
      <c r="B820" s="5" t="s">
        <v>2383</v>
      </c>
      <c r="C820" s="23" t="s">
        <v>3740</v>
      </c>
      <c r="D820" s="23" t="s">
        <v>59</v>
      </c>
      <c r="E820" s="5" t="s">
        <v>864</v>
      </c>
      <c r="F820" s="71" t="s">
        <v>6106</v>
      </c>
      <c r="G820" s="22" t="s">
        <v>3934</v>
      </c>
      <c r="H820" s="5" t="s">
        <v>13</v>
      </c>
      <c r="I820" s="5" t="s">
        <v>21</v>
      </c>
      <c r="J820" s="5" t="s">
        <v>5681</v>
      </c>
      <c r="K820" s="5" t="s">
        <v>2384</v>
      </c>
    </row>
    <row r="821" spans="1:11">
      <c r="A821" s="21">
        <v>819</v>
      </c>
      <c r="B821" s="5" t="s">
        <v>3963</v>
      </c>
      <c r="C821" s="23" t="s">
        <v>3523</v>
      </c>
      <c r="D821" s="23" t="s">
        <v>17</v>
      </c>
      <c r="E821" s="5" t="s">
        <v>2385</v>
      </c>
      <c r="F821" s="71" t="s">
        <v>6106</v>
      </c>
      <c r="G821" s="22" t="s">
        <v>160</v>
      </c>
      <c r="H821" s="5" t="s">
        <v>3932</v>
      </c>
      <c r="I821" s="5" t="s">
        <v>26</v>
      </c>
      <c r="J821" s="5" t="s">
        <v>5150</v>
      </c>
      <c r="K821" s="5" t="s">
        <v>2386</v>
      </c>
    </row>
    <row r="822" spans="1:11">
      <c r="A822" s="21">
        <v>820</v>
      </c>
      <c r="B822" s="5" t="s">
        <v>2387</v>
      </c>
      <c r="C822" s="23" t="s">
        <v>3806</v>
      </c>
      <c r="D822" s="23" t="s">
        <v>59</v>
      </c>
      <c r="E822" s="5" t="s">
        <v>2388</v>
      </c>
      <c r="F822" s="71" t="s">
        <v>6106</v>
      </c>
      <c r="G822" s="22" t="s">
        <v>24</v>
      </c>
      <c r="H822" s="5" t="s">
        <v>25</v>
      </c>
      <c r="I822" s="5" t="s">
        <v>50</v>
      </c>
      <c r="J822" s="5" t="s">
        <v>5041</v>
      </c>
      <c r="K822" s="5" t="s">
        <v>2389</v>
      </c>
    </row>
    <row r="823" spans="1:11">
      <c r="A823" s="21">
        <v>821</v>
      </c>
      <c r="B823" s="5" t="s">
        <v>2390</v>
      </c>
      <c r="C823" s="23" t="s">
        <v>3104</v>
      </c>
      <c r="D823" s="23" t="s">
        <v>77</v>
      </c>
      <c r="E823" s="5" t="s">
        <v>2391</v>
      </c>
      <c r="F823" s="71" t="s">
        <v>6106</v>
      </c>
      <c r="G823" s="22" t="s">
        <v>179</v>
      </c>
      <c r="H823" s="22" t="s">
        <v>179</v>
      </c>
      <c r="I823" s="5" t="s">
        <v>50</v>
      </c>
      <c r="J823" s="5" t="s">
        <v>4932</v>
      </c>
      <c r="K823" s="5" t="s">
        <v>2392</v>
      </c>
    </row>
    <row r="824" spans="1:11">
      <c r="A824" s="21">
        <v>822</v>
      </c>
      <c r="B824" s="5" t="s">
        <v>2393</v>
      </c>
      <c r="C824" s="23" t="s">
        <v>3851</v>
      </c>
      <c r="D824" s="23" t="s">
        <v>59</v>
      </c>
      <c r="E824" s="5" t="s">
        <v>2394</v>
      </c>
      <c r="F824" s="71" t="s">
        <v>6106</v>
      </c>
      <c r="G824" s="22" t="s">
        <v>144</v>
      </c>
      <c r="H824" s="5" t="s">
        <v>25</v>
      </c>
      <c r="I824" s="5" t="s">
        <v>14</v>
      </c>
      <c r="J824" s="5" t="s">
        <v>5246</v>
      </c>
      <c r="K824" s="5" t="s">
        <v>2395</v>
      </c>
    </row>
    <row r="825" spans="1:11">
      <c r="A825" s="21">
        <v>823</v>
      </c>
      <c r="B825" s="5" t="s">
        <v>2396</v>
      </c>
      <c r="C825" s="23" t="s">
        <v>3852</v>
      </c>
      <c r="D825" s="23" t="s">
        <v>59</v>
      </c>
      <c r="E825" s="5" t="s">
        <v>2397</v>
      </c>
      <c r="F825" s="71" t="s">
        <v>6106</v>
      </c>
      <c r="G825" s="22" t="s">
        <v>144</v>
      </c>
      <c r="H825" s="5" t="s">
        <v>25</v>
      </c>
      <c r="I825" s="5" t="s">
        <v>42</v>
      </c>
      <c r="J825" s="5" t="s">
        <v>5258</v>
      </c>
      <c r="K825" s="5" t="s">
        <v>2398</v>
      </c>
    </row>
    <row r="826" spans="1:11">
      <c r="A826" s="21">
        <v>824</v>
      </c>
      <c r="B826" s="5" t="s">
        <v>2399</v>
      </c>
      <c r="C826" s="23" t="s">
        <v>3415</v>
      </c>
      <c r="D826" s="23" t="s">
        <v>17</v>
      </c>
      <c r="E826" s="5" t="s">
        <v>2400</v>
      </c>
      <c r="F826" s="71" t="s">
        <v>6106</v>
      </c>
      <c r="G826" s="22" t="s">
        <v>3933</v>
      </c>
      <c r="H826" s="5" t="s">
        <v>3932</v>
      </c>
      <c r="I826" s="5" t="s">
        <v>14</v>
      </c>
      <c r="J826" s="5" t="s">
        <v>5502</v>
      </c>
      <c r="K826" s="5" t="s">
        <v>2401</v>
      </c>
    </row>
    <row r="827" spans="1:11">
      <c r="A827" s="21">
        <v>825</v>
      </c>
      <c r="B827" s="5" t="s">
        <v>2402</v>
      </c>
      <c r="C827" s="23" t="s">
        <v>3055</v>
      </c>
      <c r="D827" s="23" t="s">
        <v>34</v>
      </c>
      <c r="E827" s="5" t="s">
        <v>2403</v>
      </c>
      <c r="F827" s="71" t="s">
        <v>6106</v>
      </c>
      <c r="G827" s="22" t="s">
        <v>74</v>
      </c>
      <c r="H827" s="5" t="s">
        <v>71</v>
      </c>
      <c r="I827" s="5" t="s">
        <v>42</v>
      </c>
      <c r="J827" s="5" t="s">
        <v>4896</v>
      </c>
      <c r="K827" s="5" t="s">
        <v>2404</v>
      </c>
    </row>
    <row r="828" spans="1:11">
      <c r="A828" s="21">
        <v>826</v>
      </c>
      <c r="B828" s="5" t="s">
        <v>2405</v>
      </c>
      <c r="C828" s="23" t="s">
        <v>3807</v>
      </c>
      <c r="D828" s="23" t="s">
        <v>59</v>
      </c>
      <c r="E828" s="5" t="s">
        <v>2406</v>
      </c>
      <c r="F828" s="71" t="s">
        <v>6106</v>
      </c>
      <c r="G828" s="22" t="s">
        <v>24</v>
      </c>
      <c r="H828" s="5" t="s">
        <v>46</v>
      </c>
      <c r="I828" s="5" t="s">
        <v>14</v>
      </c>
      <c r="J828" s="5" t="s">
        <v>5491</v>
      </c>
      <c r="K828" s="5" t="s">
        <v>2407</v>
      </c>
    </row>
    <row r="829" spans="1:11">
      <c r="A829" s="21">
        <v>827</v>
      </c>
      <c r="B829" s="5" t="s">
        <v>2408</v>
      </c>
      <c r="C829" s="23" t="s">
        <v>3416</v>
      </c>
      <c r="D829" s="23" t="s">
        <v>17</v>
      </c>
      <c r="E829" s="5" t="s">
        <v>2409</v>
      </c>
      <c r="F829" s="71" t="s">
        <v>6106</v>
      </c>
      <c r="G829" s="22" t="s">
        <v>3933</v>
      </c>
      <c r="H829" s="5" t="s">
        <v>3932</v>
      </c>
      <c r="I829" s="5" t="s">
        <v>67</v>
      </c>
      <c r="J829" s="5" t="s">
        <v>5673</v>
      </c>
      <c r="K829" s="5" t="s">
        <v>2410</v>
      </c>
    </row>
    <row r="830" spans="1:11">
      <c r="A830" s="21">
        <v>828</v>
      </c>
      <c r="B830" s="5" t="s">
        <v>2411</v>
      </c>
      <c r="C830" s="23" t="s">
        <v>3176</v>
      </c>
      <c r="D830" s="23" t="s">
        <v>77</v>
      </c>
      <c r="E830" s="5" t="s">
        <v>2412</v>
      </c>
      <c r="F830" s="71" t="s">
        <v>6106</v>
      </c>
      <c r="G830" s="22" t="s">
        <v>179</v>
      </c>
      <c r="H830" s="22" t="s">
        <v>179</v>
      </c>
      <c r="I830" s="5" t="s">
        <v>21</v>
      </c>
      <c r="J830" s="5" t="s">
        <v>5442</v>
      </c>
      <c r="K830" s="5">
        <v>896380633</v>
      </c>
    </row>
    <row r="831" spans="1:11">
      <c r="A831" s="21">
        <v>829</v>
      </c>
      <c r="B831" s="5" t="s">
        <v>2413</v>
      </c>
      <c r="C831" s="23" t="s">
        <v>3524</v>
      </c>
      <c r="D831" s="23" t="s">
        <v>77</v>
      </c>
      <c r="E831" s="5" t="s">
        <v>2414</v>
      </c>
      <c r="F831" s="71" t="s">
        <v>6106</v>
      </c>
      <c r="G831" s="22" t="s">
        <v>160</v>
      </c>
      <c r="H831" s="5" t="s">
        <v>3932</v>
      </c>
      <c r="I831" s="5" t="s">
        <v>42</v>
      </c>
      <c r="J831" s="5" t="s">
        <v>5038</v>
      </c>
      <c r="K831" s="5" t="s">
        <v>2415</v>
      </c>
    </row>
    <row r="832" spans="1:11">
      <c r="A832" s="21">
        <v>830</v>
      </c>
      <c r="B832" s="5" t="s">
        <v>2416</v>
      </c>
      <c r="C832" s="23" t="s">
        <v>3808</v>
      </c>
      <c r="D832" s="23" t="s">
        <v>59</v>
      </c>
      <c r="E832" s="5" t="s">
        <v>2417</v>
      </c>
      <c r="F832" s="71" t="s">
        <v>6106</v>
      </c>
      <c r="G832" s="22" t="s">
        <v>24</v>
      </c>
      <c r="H832" s="5" t="s">
        <v>46</v>
      </c>
      <c r="I832" s="5" t="s">
        <v>21</v>
      </c>
      <c r="J832" s="5" t="s">
        <v>5054</v>
      </c>
      <c r="K832" s="5" t="s">
        <v>2418</v>
      </c>
    </row>
    <row r="833" spans="1:11">
      <c r="A833" s="21">
        <v>831</v>
      </c>
      <c r="B833" s="5" t="s">
        <v>2419</v>
      </c>
      <c r="C833" s="23" t="s">
        <v>3056</v>
      </c>
      <c r="D833" s="23" t="s">
        <v>34</v>
      </c>
      <c r="E833" s="5" t="s">
        <v>2420</v>
      </c>
      <c r="F833" s="71" t="s">
        <v>6106</v>
      </c>
      <c r="G833" s="22" t="s">
        <v>179</v>
      </c>
      <c r="H833" s="5" t="s">
        <v>3932</v>
      </c>
      <c r="I833" s="5" t="s">
        <v>67</v>
      </c>
      <c r="J833" s="5" t="s">
        <v>4965</v>
      </c>
      <c r="K833" s="5" t="s">
        <v>2421</v>
      </c>
    </row>
    <row r="834" spans="1:11">
      <c r="A834" s="21">
        <v>832</v>
      </c>
      <c r="B834" s="5" t="s">
        <v>2422</v>
      </c>
      <c r="C834" s="23" t="s">
        <v>3572</v>
      </c>
      <c r="D834" s="23" t="s">
        <v>59</v>
      </c>
      <c r="E834" s="5" t="s">
        <v>2423</v>
      </c>
      <c r="F834" s="71" t="s">
        <v>6106</v>
      </c>
      <c r="G834" s="22" t="s">
        <v>12</v>
      </c>
      <c r="H834" s="5" t="s">
        <v>36</v>
      </c>
      <c r="I834" s="5" t="s">
        <v>42</v>
      </c>
      <c r="J834" s="5" t="s">
        <v>5528</v>
      </c>
      <c r="K834" s="5" t="s">
        <v>2424</v>
      </c>
    </row>
    <row r="835" spans="1:11">
      <c r="A835" s="21">
        <v>833</v>
      </c>
      <c r="B835" s="5" t="s">
        <v>2425</v>
      </c>
      <c r="C835" s="23" t="s">
        <v>3057</v>
      </c>
      <c r="D835" s="23" t="s">
        <v>34</v>
      </c>
      <c r="E835" s="5" t="s">
        <v>2426</v>
      </c>
      <c r="F835" s="71" t="s">
        <v>6106</v>
      </c>
      <c r="G835" s="22" t="s">
        <v>179</v>
      </c>
      <c r="H835" s="5" t="s">
        <v>3932</v>
      </c>
      <c r="I835" s="5" t="s">
        <v>67</v>
      </c>
      <c r="J835" s="5" t="s">
        <v>5254</v>
      </c>
      <c r="K835" s="5" t="s">
        <v>2427</v>
      </c>
    </row>
    <row r="836" spans="1:11">
      <c r="A836" s="21">
        <v>834</v>
      </c>
      <c r="B836" s="5" t="s">
        <v>2428</v>
      </c>
      <c r="C836" s="23" t="s">
        <v>3853</v>
      </c>
      <c r="D836" s="23" t="s">
        <v>17</v>
      </c>
      <c r="E836" s="5" t="s">
        <v>2429</v>
      </c>
      <c r="F836" s="71" t="s">
        <v>6106</v>
      </c>
      <c r="G836" s="22" t="s">
        <v>144</v>
      </c>
      <c r="H836" s="5" t="s">
        <v>25</v>
      </c>
      <c r="I836" s="5" t="s">
        <v>56</v>
      </c>
      <c r="J836" s="5" t="s">
        <v>5745</v>
      </c>
      <c r="K836" s="5" t="s">
        <v>2430</v>
      </c>
    </row>
    <row r="837" spans="1:11">
      <c r="A837" s="21">
        <v>835</v>
      </c>
      <c r="B837" s="5" t="s">
        <v>2431</v>
      </c>
      <c r="C837" s="23" t="s">
        <v>3741</v>
      </c>
      <c r="D837" s="23" t="s">
        <v>59</v>
      </c>
      <c r="E837" s="5" t="s">
        <v>2432</v>
      </c>
      <c r="F837" s="71" t="s">
        <v>6106</v>
      </c>
      <c r="G837" s="22" t="s">
        <v>3934</v>
      </c>
      <c r="H837" s="5" t="s">
        <v>13</v>
      </c>
      <c r="I837" s="5" t="s">
        <v>56</v>
      </c>
      <c r="J837" s="5" t="s">
        <v>5048</v>
      </c>
      <c r="K837" s="5" t="s">
        <v>2433</v>
      </c>
    </row>
    <row r="838" spans="1:11">
      <c r="A838" s="21">
        <v>836</v>
      </c>
      <c r="B838" s="5" t="s">
        <v>2434</v>
      </c>
      <c r="C838" s="23" t="s">
        <v>3742</v>
      </c>
      <c r="D838" s="23" t="s">
        <v>59</v>
      </c>
      <c r="E838" s="5" t="s">
        <v>2435</v>
      </c>
      <c r="F838" s="71" t="s">
        <v>6106</v>
      </c>
      <c r="G838" s="22" t="s">
        <v>3934</v>
      </c>
      <c r="H838" s="5" t="s">
        <v>13</v>
      </c>
      <c r="I838" s="5" t="s">
        <v>14</v>
      </c>
      <c r="J838" s="5" t="s">
        <v>5645</v>
      </c>
      <c r="K838" s="5" t="s">
        <v>2436</v>
      </c>
    </row>
    <row r="839" spans="1:11">
      <c r="A839" s="21">
        <v>837</v>
      </c>
      <c r="B839" s="5" t="s">
        <v>2437</v>
      </c>
      <c r="C839" s="23" t="s">
        <v>3318</v>
      </c>
      <c r="D839" s="23" t="s">
        <v>77</v>
      </c>
      <c r="E839" s="5" t="s">
        <v>1544</v>
      </c>
      <c r="F839" s="71" t="s">
        <v>6106</v>
      </c>
      <c r="G839" s="22" t="s">
        <v>179</v>
      </c>
      <c r="H839" s="5" t="s">
        <v>3932</v>
      </c>
      <c r="I839" s="5" t="s">
        <v>21</v>
      </c>
      <c r="J839" s="5" t="s">
        <v>4863</v>
      </c>
      <c r="K839" s="5" t="s">
        <v>2438</v>
      </c>
    </row>
    <row r="840" spans="1:11">
      <c r="A840" s="21">
        <v>838</v>
      </c>
      <c r="B840" s="5" t="s">
        <v>2439</v>
      </c>
      <c r="C840" s="23" t="s">
        <v>3525</v>
      </c>
      <c r="D840" s="23" t="s">
        <v>77</v>
      </c>
      <c r="E840" s="5" t="s">
        <v>2440</v>
      </c>
      <c r="F840" s="71" t="s">
        <v>6106</v>
      </c>
      <c r="G840" s="22" t="s">
        <v>160</v>
      </c>
      <c r="H840" s="5" t="s">
        <v>3932</v>
      </c>
      <c r="I840" s="5" t="s">
        <v>26</v>
      </c>
      <c r="J840" s="5" t="s">
        <v>4854</v>
      </c>
      <c r="K840" s="5" t="s">
        <v>2441</v>
      </c>
    </row>
    <row r="841" spans="1:11">
      <c r="A841" s="21">
        <v>839</v>
      </c>
      <c r="B841" s="5" t="s">
        <v>2442</v>
      </c>
      <c r="C841" s="23" t="s">
        <v>3267</v>
      </c>
      <c r="D841" s="23" t="s">
        <v>77</v>
      </c>
      <c r="E841" s="5" t="s">
        <v>2443</v>
      </c>
      <c r="F841" s="71" t="s">
        <v>6106</v>
      </c>
      <c r="G841" s="22" t="s">
        <v>179</v>
      </c>
      <c r="H841" s="5" t="s">
        <v>3932</v>
      </c>
      <c r="I841" s="5" t="s">
        <v>21</v>
      </c>
      <c r="J841" s="5" t="s">
        <v>5416</v>
      </c>
      <c r="K841" s="5" t="s">
        <v>2444</v>
      </c>
    </row>
    <row r="842" spans="1:11">
      <c r="A842" s="21">
        <v>840</v>
      </c>
      <c r="B842" s="5" t="s">
        <v>2445</v>
      </c>
      <c r="C842" s="23" t="s">
        <v>3526</v>
      </c>
      <c r="D842" s="23" t="s">
        <v>77</v>
      </c>
      <c r="E842" s="5" t="s">
        <v>2446</v>
      </c>
      <c r="F842" s="71" t="s">
        <v>6106</v>
      </c>
      <c r="G842" s="22" t="s">
        <v>160</v>
      </c>
      <c r="H842" s="5" t="s">
        <v>3932</v>
      </c>
      <c r="I842" s="5" t="s">
        <v>42</v>
      </c>
      <c r="J842" s="5" t="s">
        <v>5652</v>
      </c>
      <c r="K842" s="5" t="s">
        <v>2447</v>
      </c>
    </row>
    <row r="843" spans="1:11">
      <c r="A843" s="21">
        <v>841</v>
      </c>
      <c r="B843" s="5" t="s">
        <v>2448</v>
      </c>
      <c r="C843" s="23" t="s">
        <v>3177</v>
      </c>
      <c r="D843" s="23" t="s">
        <v>77</v>
      </c>
      <c r="E843" s="5" t="s">
        <v>2449</v>
      </c>
      <c r="F843" s="71" t="s">
        <v>6106</v>
      </c>
      <c r="G843" s="22" t="s">
        <v>66</v>
      </c>
      <c r="H843" s="5" t="s">
        <v>130</v>
      </c>
      <c r="I843" s="5" t="s">
        <v>26</v>
      </c>
      <c r="J843" s="5" t="s">
        <v>5063</v>
      </c>
      <c r="K843" s="5" t="s">
        <v>2450</v>
      </c>
    </row>
    <row r="844" spans="1:11">
      <c r="A844" s="21">
        <v>842</v>
      </c>
      <c r="B844" s="5" t="s">
        <v>2451</v>
      </c>
      <c r="C844" s="23" t="s">
        <v>3417</v>
      </c>
      <c r="D844" s="23" t="s">
        <v>17</v>
      </c>
      <c r="E844" s="5" t="s">
        <v>2452</v>
      </c>
      <c r="F844" s="71" t="s">
        <v>6106</v>
      </c>
      <c r="G844" s="22" t="s">
        <v>3933</v>
      </c>
      <c r="H844" s="5" t="s">
        <v>3932</v>
      </c>
      <c r="I844" s="5" t="s">
        <v>50</v>
      </c>
      <c r="J844" s="5" t="s">
        <v>5206</v>
      </c>
      <c r="K844" s="5" t="s">
        <v>2453</v>
      </c>
    </row>
    <row r="845" spans="1:11">
      <c r="A845" s="21">
        <v>843</v>
      </c>
      <c r="B845" s="5" t="s">
        <v>2454</v>
      </c>
      <c r="C845" s="23" t="s">
        <v>3319</v>
      </c>
      <c r="D845" s="23" t="s">
        <v>77</v>
      </c>
      <c r="E845" s="5" t="s">
        <v>2455</v>
      </c>
      <c r="F845" s="71" t="s">
        <v>6106</v>
      </c>
      <c r="G845" s="22" t="s">
        <v>179</v>
      </c>
      <c r="H845" s="5" t="s">
        <v>3932</v>
      </c>
      <c r="I845" s="5" t="s">
        <v>42</v>
      </c>
      <c r="J845" s="5" t="s">
        <v>5131</v>
      </c>
      <c r="K845" s="5" t="s">
        <v>2456</v>
      </c>
    </row>
    <row r="846" spans="1:11">
      <c r="A846" s="21">
        <v>844</v>
      </c>
      <c r="B846" s="5" t="s">
        <v>2457</v>
      </c>
      <c r="C846" s="23" t="s">
        <v>3058</v>
      </c>
      <c r="D846" s="23" t="s">
        <v>34</v>
      </c>
      <c r="E846" s="5" t="s">
        <v>2458</v>
      </c>
      <c r="F846" s="71" t="s">
        <v>6106</v>
      </c>
      <c r="G846" s="22" t="s">
        <v>40</v>
      </c>
      <c r="H846" s="5" t="s">
        <v>71</v>
      </c>
      <c r="I846" s="5" t="s">
        <v>14</v>
      </c>
      <c r="J846" s="5" t="s">
        <v>4946</v>
      </c>
      <c r="K846" s="5" t="s">
        <v>2459</v>
      </c>
    </row>
    <row r="847" spans="1:11">
      <c r="A847" s="21">
        <v>845</v>
      </c>
      <c r="B847" s="5" t="s">
        <v>2460</v>
      </c>
      <c r="C847" s="23" t="s">
        <v>3320</v>
      </c>
      <c r="D847" s="23" t="s">
        <v>77</v>
      </c>
      <c r="E847" s="5" t="s">
        <v>811</v>
      </c>
      <c r="F847" s="71" t="s">
        <v>6106</v>
      </c>
      <c r="G847" s="22" t="s">
        <v>61</v>
      </c>
      <c r="H847" s="5" t="s">
        <v>98</v>
      </c>
      <c r="I847" s="5" t="s">
        <v>56</v>
      </c>
      <c r="J847" s="5" t="s">
        <v>4859</v>
      </c>
      <c r="K847" s="5" t="s">
        <v>2461</v>
      </c>
    </row>
    <row r="848" spans="1:11">
      <c r="A848" s="21">
        <v>846</v>
      </c>
      <c r="B848" s="5" t="s">
        <v>2462</v>
      </c>
      <c r="C848" s="23" t="s">
        <v>2974</v>
      </c>
      <c r="D848" s="23" t="s">
        <v>17</v>
      </c>
      <c r="E848" s="5" t="s">
        <v>2463</v>
      </c>
      <c r="F848" s="71" t="s">
        <v>6106</v>
      </c>
      <c r="G848" s="22" t="s">
        <v>85</v>
      </c>
      <c r="H848" s="5" t="s">
        <v>86</v>
      </c>
      <c r="I848" s="5" t="s">
        <v>26</v>
      </c>
      <c r="J848" s="5" t="s">
        <v>5686</v>
      </c>
      <c r="K848" s="5" t="s">
        <v>2464</v>
      </c>
    </row>
    <row r="849" spans="1:11">
      <c r="A849" s="21">
        <v>847</v>
      </c>
      <c r="B849" s="5" t="s">
        <v>2465</v>
      </c>
      <c r="C849" s="23" t="s">
        <v>3268</v>
      </c>
      <c r="D849" s="23" t="s">
        <v>77</v>
      </c>
      <c r="E849" s="5" t="s">
        <v>2466</v>
      </c>
      <c r="F849" s="71" t="s">
        <v>6106</v>
      </c>
      <c r="G849" s="22" t="s">
        <v>179</v>
      </c>
      <c r="H849" s="5" t="s">
        <v>3932</v>
      </c>
      <c r="I849" s="5" t="s">
        <v>56</v>
      </c>
      <c r="J849" s="5" t="s">
        <v>4894</v>
      </c>
      <c r="K849" s="5" t="s">
        <v>2467</v>
      </c>
    </row>
    <row r="850" spans="1:11">
      <c r="A850" s="21">
        <v>848</v>
      </c>
      <c r="B850" s="5" t="s">
        <v>2468</v>
      </c>
      <c r="C850" s="23" t="s">
        <v>3269</v>
      </c>
      <c r="D850" s="23" t="s">
        <v>77</v>
      </c>
      <c r="E850" s="5" t="s">
        <v>595</v>
      </c>
      <c r="F850" s="71" t="s">
        <v>6106</v>
      </c>
      <c r="G850" s="22" t="s">
        <v>179</v>
      </c>
      <c r="H850" s="5" t="s">
        <v>3932</v>
      </c>
      <c r="I850" s="5" t="s">
        <v>67</v>
      </c>
      <c r="J850" s="5" t="s">
        <v>5290</v>
      </c>
      <c r="K850" s="5" t="s">
        <v>2469</v>
      </c>
    </row>
    <row r="851" spans="1:11">
      <c r="A851" s="21">
        <v>849</v>
      </c>
      <c r="B851" s="5" t="s">
        <v>2470</v>
      </c>
      <c r="C851" s="23" t="s">
        <v>3573</v>
      </c>
      <c r="D851" s="23" t="s">
        <v>59</v>
      </c>
      <c r="E851" s="5" t="s">
        <v>2471</v>
      </c>
      <c r="F851" s="71" t="s">
        <v>6107</v>
      </c>
      <c r="G851" s="22" t="s">
        <v>12</v>
      </c>
      <c r="H851" s="5" t="s">
        <v>13</v>
      </c>
      <c r="I851" s="5" t="s">
        <v>42</v>
      </c>
      <c r="J851" s="5" t="s">
        <v>5446</v>
      </c>
      <c r="K851" s="5" t="s">
        <v>2472</v>
      </c>
    </row>
    <row r="852" spans="1:11">
      <c r="A852" s="21">
        <v>850</v>
      </c>
      <c r="B852" s="5" t="s">
        <v>2473</v>
      </c>
      <c r="C852" s="23" t="s">
        <v>2962</v>
      </c>
      <c r="D852" s="23" t="s">
        <v>17</v>
      </c>
      <c r="E852" s="5" t="s">
        <v>2474</v>
      </c>
      <c r="F852" s="71" t="s">
        <v>6107</v>
      </c>
      <c r="G852" s="22" t="s">
        <v>119</v>
      </c>
      <c r="H852" s="5" t="s">
        <v>120</v>
      </c>
      <c r="I852" s="5" t="s">
        <v>42</v>
      </c>
      <c r="J852" s="5" t="s">
        <v>5691</v>
      </c>
      <c r="K852" s="5" t="s">
        <v>2475</v>
      </c>
    </row>
    <row r="853" spans="1:11">
      <c r="A853" s="21">
        <v>851</v>
      </c>
      <c r="B853" s="5" t="s">
        <v>2476</v>
      </c>
      <c r="C853" s="23" t="s">
        <v>3527</v>
      </c>
      <c r="D853" s="23" t="s">
        <v>77</v>
      </c>
      <c r="E853" s="5" t="s">
        <v>2477</v>
      </c>
      <c r="F853" s="71" t="s">
        <v>6107</v>
      </c>
      <c r="G853" s="22" t="s">
        <v>160</v>
      </c>
      <c r="H853" s="5" t="s">
        <v>3932</v>
      </c>
      <c r="I853" s="5" t="s">
        <v>56</v>
      </c>
      <c r="J853" s="5" t="s">
        <v>5655</v>
      </c>
      <c r="K853" s="5" t="s">
        <v>2478</v>
      </c>
    </row>
    <row r="854" spans="1:11">
      <c r="A854" s="21">
        <v>852</v>
      </c>
      <c r="B854" s="5" t="s">
        <v>2479</v>
      </c>
      <c r="C854" s="23" t="s">
        <v>3178</v>
      </c>
      <c r="D854" s="23" t="s">
        <v>77</v>
      </c>
      <c r="E854" s="5" t="s">
        <v>2480</v>
      </c>
      <c r="F854" s="71" t="s">
        <v>6107</v>
      </c>
      <c r="G854" s="22" t="s">
        <v>179</v>
      </c>
      <c r="H854" s="22" t="s">
        <v>179</v>
      </c>
      <c r="I854" s="5" t="s">
        <v>50</v>
      </c>
      <c r="J854" s="5" t="s">
        <v>5232</v>
      </c>
      <c r="K854" s="5" t="s">
        <v>2481</v>
      </c>
    </row>
    <row r="855" spans="1:11">
      <c r="A855" s="21">
        <v>853</v>
      </c>
      <c r="B855" s="5" t="s">
        <v>2482</v>
      </c>
      <c r="C855" s="23" t="s">
        <v>3179</v>
      </c>
      <c r="D855" s="23" t="s">
        <v>77</v>
      </c>
      <c r="E855" s="5" t="s">
        <v>1975</v>
      </c>
      <c r="F855" s="71" t="s">
        <v>6107</v>
      </c>
      <c r="G855" s="22" t="s">
        <v>179</v>
      </c>
      <c r="H855" s="22" t="s">
        <v>179</v>
      </c>
      <c r="I855" s="5" t="s">
        <v>21</v>
      </c>
      <c r="J855" s="5" t="s">
        <v>5061</v>
      </c>
      <c r="K855" s="5" t="s">
        <v>2483</v>
      </c>
    </row>
    <row r="856" spans="1:11">
      <c r="A856" s="21">
        <v>854</v>
      </c>
      <c r="B856" s="5" t="s">
        <v>2484</v>
      </c>
      <c r="C856" s="23" t="s">
        <v>3270</v>
      </c>
      <c r="D856" s="23" t="s">
        <v>77</v>
      </c>
      <c r="E856" s="5" t="s">
        <v>2485</v>
      </c>
      <c r="F856" s="71" t="s">
        <v>6107</v>
      </c>
      <c r="G856" s="22" t="s">
        <v>179</v>
      </c>
      <c r="H856" s="5" t="s">
        <v>3932</v>
      </c>
      <c r="I856" s="5" t="s">
        <v>21</v>
      </c>
      <c r="J856" s="5" t="s">
        <v>5473</v>
      </c>
      <c r="K856" s="5" t="s">
        <v>2486</v>
      </c>
    </row>
    <row r="857" spans="1:11">
      <c r="A857" s="21">
        <v>855</v>
      </c>
      <c r="B857" s="5" t="s">
        <v>2487</v>
      </c>
      <c r="C857" s="23" t="s">
        <v>3854</v>
      </c>
      <c r="D857" s="23" t="s">
        <v>59</v>
      </c>
      <c r="E857" s="5" t="s">
        <v>2488</v>
      </c>
      <c r="F857" s="71" t="s">
        <v>6107</v>
      </c>
      <c r="G857" s="22" t="s">
        <v>144</v>
      </c>
      <c r="H857" s="5" t="s">
        <v>25</v>
      </c>
      <c r="I857" s="5" t="s">
        <v>56</v>
      </c>
      <c r="J857" s="5" t="s">
        <v>5717</v>
      </c>
      <c r="K857" s="5" t="s">
        <v>2489</v>
      </c>
    </row>
    <row r="858" spans="1:11">
      <c r="A858" s="21">
        <v>856</v>
      </c>
      <c r="B858" s="5" t="s">
        <v>2490</v>
      </c>
      <c r="C858" s="23" t="s">
        <v>3528</v>
      </c>
      <c r="D858" s="23" t="s">
        <v>77</v>
      </c>
      <c r="E858" s="5" t="s">
        <v>2491</v>
      </c>
      <c r="F858" s="71" t="s">
        <v>6107</v>
      </c>
      <c r="G858" s="22" t="s">
        <v>160</v>
      </c>
      <c r="H858" s="5" t="s">
        <v>3932</v>
      </c>
      <c r="I858" s="5" t="s">
        <v>26</v>
      </c>
      <c r="J858" s="5" t="s">
        <v>5299</v>
      </c>
      <c r="K858" s="5" t="s">
        <v>2492</v>
      </c>
    </row>
    <row r="859" spans="1:11">
      <c r="A859" s="21">
        <v>857</v>
      </c>
      <c r="B859" s="5" t="s">
        <v>2493</v>
      </c>
      <c r="C859" s="23" t="s">
        <v>3418</v>
      </c>
      <c r="D859" s="23" t="s">
        <v>17</v>
      </c>
      <c r="E859" s="5" t="s">
        <v>2494</v>
      </c>
      <c r="F859" s="71" t="s">
        <v>6107</v>
      </c>
      <c r="G859" s="22" t="s">
        <v>3933</v>
      </c>
      <c r="H859" s="5" t="s">
        <v>3932</v>
      </c>
      <c r="I859" s="5" t="s">
        <v>67</v>
      </c>
      <c r="J859" s="5" t="s">
        <v>5229</v>
      </c>
      <c r="K859" s="5" t="s">
        <v>2495</v>
      </c>
    </row>
    <row r="860" spans="1:11">
      <c r="A860" s="21">
        <v>858</v>
      </c>
      <c r="B860" s="5" t="s">
        <v>2496</v>
      </c>
      <c r="C860" s="23" t="s">
        <v>3743</v>
      </c>
      <c r="D860" s="23" t="s">
        <v>59</v>
      </c>
      <c r="E860" s="5" t="s">
        <v>2356</v>
      </c>
      <c r="F860" s="71" t="s">
        <v>6107</v>
      </c>
      <c r="G860" s="22" t="s">
        <v>3934</v>
      </c>
      <c r="H860" s="5" t="s">
        <v>13</v>
      </c>
      <c r="I860" s="5" t="s">
        <v>50</v>
      </c>
      <c r="J860" s="5" t="s">
        <v>5032</v>
      </c>
      <c r="K860" s="5" t="s">
        <v>2497</v>
      </c>
    </row>
    <row r="861" spans="1:11">
      <c r="A861" s="21">
        <v>859</v>
      </c>
      <c r="B861" s="5" t="s">
        <v>2498</v>
      </c>
      <c r="C861" s="23" t="s">
        <v>3529</v>
      </c>
      <c r="D861" s="23" t="s">
        <v>77</v>
      </c>
      <c r="E861" s="5" t="s">
        <v>2499</v>
      </c>
      <c r="F861" s="71" t="s">
        <v>6107</v>
      </c>
      <c r="G861" s="22" t="s">
        <v>160</v>
      </c>
      <c r="H861" s="5" t="s">
        <v>3932</v>
      </c>
      <c r="I861" s="5" t="s">
        <v>56</v>
      </c>
      <c r="J861" s="5" t="s">
        <v>5143</v>
      </c>
      <c r="K861" s="5" t="s">
        <v>2500</v>
      </c>
    </row>
    <row r="862" spans="1:11">
      <c r="A862" s="21">
        <v>860</v>
      </c>
      <c r="B862" s="5" t="s">
        <v>2501</v>
      </c>
      <c r="C862" s="23" t="s">
        <v>3744</v>
      </c>
      <c r="D862" s="23" t="s">
        <v>59</v>
      </c>
      <c r="E862" s="5" t="s">
        <v>2119</v>
      </c>
      <c r="F862" s="71" t="s">
        <v>6107</v>
      </c>
      <c r="G862" s="22" t="s">
        <v>3934</v>
      </c>
      <c r="H862" s="5" t="s">
        <v>13</v>
      </c>
      <c r="I862" s="5" t="s">
        <v>56</v>
      </c>
      <c r="J862" s="5" t="s">
        <v>5398</v>
      </c>
      <c r="K862" s="5" t="s">
        <v>2502</v>
      </c>
    </row>
    <row r="863" spans="1:11">
      <c r="A863" s="21">
        <v>861</v>
      </c>
      <c r="B863" s="5" t="s">
        <v>2503</v>
      </c>
      <c r="C863" s="23" t="s">
        <v>2958</v>
      </c>
      <c r="D863" s="23" t="s">
        <v>17</v>
      </c>
      <c r="E863" s="5" t="s">
        <v>2504</v>
      </c>
      <c r="F863" s="71" t="s">
        <v>6107</v>
      </c>
      <c r="G863" s="22" t="s">
        <v>119</v>
      </c>
      <c r="H863" s="5" t="s">
        <v>86</v>
      </c>
      <c r="I863" s="5" t="s">
        <v>42</v>
      </c>
      <c r="J863" s="5" t="s">
        <v>4993</v>
      </c>
      <c r="K863" s="5">
        <v>89756465598</v>
      </c>
    </row>
    <row r="864" spans="1:11">
      <c r="A864" s="21">
        <v>862</v>
      </c>
      <c r="B864" s="5" t="s">
        <v>2505</v>
      </c>
      <c r="C864" s="23" t="s">
        <v>3419</v>
      </c>
      <c r="D864" s="23" t="s">
        <v>17</v>
      </c>
      <c r="E864" s="5" t="s">
        <v>2506</v>
      </c>
      <c r="F864" s="71" t="s">
        <v>6107</v>
      </c>
      <c r="G864" s="22" t="s">
        <v>3933</v>
      </c>
      <c r="H864" s="5" t="s">
        <v>3932</v>
      </c>
      <c r="I864" s="5" t="s">
        <v>56</v>
      </c>
      <c r="J864" s="5" t="s">
        <v>4842</v>
      </c>
      <c r="K864" s="5" t="s">
        <v>2507</v>
      </c>
    </row>
    <row r="865" spans="1:11">
      <c r="A865" s="21">
        <v>863</v>
      </c>
      <c r="B865" s="5" t="s">
        <v>2508</v>
      </c>
      <c r="C865" s="23" t="s">
        <v>2957</v>
      </c>
      <c r="D865" s="23" t="s">
        <v>17</v>
      </c>
      <c r="E865" s="5" t="s">
        <v>2509</v>
      </c>
      <c r="F865" s="71" t="s">
        <v>6107</v>
      </c>
      <c r="G865" s="22" t="s">
        <v>119</v>
      </c>
      <c r="H865" s="5" t="s">
        <v>86</v>
      </c>
      <c r="I865" s="5" t="s">
        <v>21</v>
      </c>
      <c r="J865" s="5" t="s">
        <v>5169</v>
      </c>
      <c r="K865" s="5" t="s">
        <v>2510</v>
      </c>
    </row>
    <row r="866" spans="1:11">
      <c r="A866" s="21">
        <v>864</v>
      </c>
      <c r="B866" s="5" t="s">
        <v>2511</v>
      </c>
      <c r="C866" s="23" t="s">
        <v>2947</v>
      </c>
      <c r="D866" s="23" t="s">
        <v>17</v>
      </c>
      <c r="E866" s="5" t="s">
        <v>2512</v>
      </c>
      <c r="F866" s="71" t="s">
        <v>6107</v>
      </c>
      <c r="G866" s="22" t="s">
        <v>119</v>
      </c>
      <c r="H866" s="5" t="s">
        <v>120</v>
      </c>
      <c r="I866" s="5" t="s">
        <v>42</v>
      </c>
      <c r="J866" s="5" t="s">
        <v>5379</v>
      </c>
      <c r="K866" s="5" t="s">
        <v>2513</v>
      </c>
    </row>
    <row r="867" spans="1:11">
      <c r="A867" s="21">
        <v>865</v>
      </c>
      <c r="B867" s="5" t="s">
        <v>2514</v>
      </c>
      <c r="C867" s="23" t="s">
        <v>3645</v>
      </c>
      <c r="D867" s="23" t="s">
        <v>59</v>
      </c>
      <c r="E867" s="5" t="s">
        <v>2515</v>
      </c>
      <c r="F867" s="71" t="s">
        <v>6107</v>
      </c>
      <c r="G867" s="22" t="s">
        <v>179</v>
      </c>
      <c r="H867" s="5" t="s">
        <v>36</v>
      </c>
      <c r="I867" s="5" t="s">
        <v>26</v>
      </c>
      <c r="J867" s="5" t="s">
        <v>5064</v>
      </c>
      <c r="K867" s="5" t="s">
        <v>2516</v>
      </c>
    </row>
    <row r="868" spans="1:11">
      <c r="A868" s="21">
        <v>866</v>
      </c>
      <c r="B868" s="5" t="s">
        <v>2517</v>
      </c>
      <c r="C868" s="23" t="s">
        <v>2935</v>
      </c>
      <c r="D868" s="23" t="s">
        <v>17</v>
      </c>
      <c r="E868" s="5" t="s">
        <v>2518</v>
      </c>
      <c r="F868" s="71" t="s">
        <v>6107</v>
      </c>
      <c r="G868" s="22" t="s">
        <v>85</v>
      </c>
      <c r="H868" s="5" t="s">
        <v>120</v>
      </c>
      <c r="I868" s="5" t="s">
        <v>67</v>
      </c>
      <c r="J868" s="5" t="s">
        <v>4847</v>
      </c>
      <c r="K868" s="5" t="s">
        <v>2519</v>
      </c>
    </row>
    <row r="869" spans="1:11">
      <c r="A869" s="21">
        <v>867</v>
      </c>
      <c r="B869" s="5" t="s">
        <v>2520</v>
      </c>
      <c r="C869" s="23" t="s">
        <v>3420</v>
      </c>
      <c r="D869" s="23" t="s">
        <v>17</v>
      </c>
      <c r="E869" s="5" t="s">
        <v>2521</v>
      </c>
      <c r="F869" s="71" t="s">
        <v>6107</v>
      </c>
      <c r="G869" s="22" t="s">
        <v>3933</v>
      </c>
      <c r="H869" s="5" t="s">
        <v>3932</v>
      </c>
      <c r="I869" s="5" t="s">
        <v>50</v>
      </c>
      <c r="J869" s="5" t="s">
        <v>4795</v>
      </c>
      <c r="K869" s="5" t="s">
        <v>2522</v>
      </c>
    </row>
    <row r="870" spans="1:11">
      <c r="A870" s="21">
        <v>868</v>
      </c>
      <c r="B870" s="5" t="s">
        <v>2523</v>
      </c>
      <c r="C870" s="23" t="s">
        <v>3421</v>
      </c>
      <c r="D870" s="23" t="s">
        <v>17</v>
      </c>
      <c r="E870" s="5" t="s">
        <v>2524</v>
      </c>
      <c r="F870" s="71" t="s">
        <v>6107</v>
      </c>
      <c r="G870" s="22" t="s">
        <v>3933</v>
      </c>
      <c r="H870" s="5" t="s">
        <v>3932</v>
      </c>
      <c r="I870" s="5" t="s">
        <v>50</v>
      </c>
      <c r="J870" s="5" t="s">
        <v>4975</v>
      </c>
      <c r="K870" s="5" t="s">
        <v>2525</v>
      </c>
    </row>
    <row r="871" spans="1:11">
      <c r="A871" s="21">
        <v>869</v>
      </c>
      <c r="B871" s="5" t="s">
        <v>2526</v>
      </c>
      <c r="C871" s="23" t="s">
        <v>3321</v>
      </c>
      <c r="D871" s="23" t="s">
        <v>77</v>
      </c>
      <c r="E871" s="5" t="s">
        <v>2527</v>
      </c>
      <c r="F871" s="71" t="s">
        <v>6107</v>
      </c>
      <c r="G871" s="22" t="s">
        <v>179</v>
      </c>
      <c r="H871" s="5" t="s">
        <v>3932</v>
      </c>
      <c r="I871" s="5" t="s">
        <v>42</v>
      </c>
      <c r="J871" s="5" t="s">
        <v>5270</v>
      </c>
      <c r="K871" s="5" t="s">
        <v>2528</v>
      </c>
    </row>
    <row r="872" spans="1:11">
      <c r="A872" s="21">
        <v>870</v>
      </c>
      <c r="B872" s="5" t="s">
        <v>2529</v>
      </c>
      <c r="C872" s="23" t="s">
        <v>3271</v>
      </c>
      <c r="D872" s="23" t="s">
        <v>77</v>
      </c>
      <c r="E872" s="5" t="s">
        <v>2530</v>
      </c>
      <c r="F872" s="71" t="s">
        <v>6107</v>
      </c>
      <c r="G872" s="22" t="s">
        <v>179</v>
      </c>
      <c r="H872" s="5" t="s">
        <v>3932</v>
      </c>
      <c r="I872" s="5" t="s">
        <v>67</v>
      </c>
      <c r="J872" s="5" t="s">
        <v>5440</v>
      </c>
      <c r="K872" s="5" t="s">
        <v>2531</v>
      </c>
    </row>
    <row r="873" spans="1:11">
      <c r="A873" s="21">
        <v>871</v>
      </c>
      <c r="B873" s="5" t="s">
        <v>2532</v>
      </c>
      <c r="C873" s="23" t="s">
        <v>2967</v>
      </c>
      <c r="D873" s="23" t="s">
        <v>17</v>
      </c>
      <c r="E873" s="5" t="s">
        <v>2449</v>
      </c>
      <c r="F873" s="71" t="s">
        <v>6107</v>
      </c>
      <c r="G873" s="22" t="s">
        <v>85</v>
      </c>
      <c r="H873" s="5" t="s">
        <v>86</v>
      </c>
      <c r="I873" s="5" t="s">
        <v>26</v>
      </c>
      <c r="J873" s="5" t="s">
        <v>4791</v>
      </c>
      <c r="K873" s="5" t="s">
        <v>2533</v>
      </c>
    </row>
    <row r="874" spans="1:11">
      <c r="A874" s="21">
        <v>872</v>
      </c>
      <c r="B874" s="5" t="s">
        <v>2534</v>
      </c>
      <c r="C874" s="23" t="s">
        <v>3180</v>
      </c>
      <c r="D874" s="23" t="s">
        <v>77</v>
      </c>
      <c r="E874" s="5" t="s">
        <v>2535</v>
      </c>
      <c r="F874" s="71" t="s">
        <v>6107</v>
      </c>
      <c r="G874" s="22" t="s">
        <v>179</v>
      </c>
      <c r="H874" s="22" t="s">
        <v>179</v>
      </c>
      <c r="I874" s="5" t="s">
        <v>21</v>
      </c>
      <c r="J874" s="5" t="s">
        <v>4935</v>
      </c>
      <c r="K874" s="5" t="s">
        <v>2536</v>
      </c>
    </row>
    <row r="875" spans="1:11">
      <c r="A875" s="21">
        <v>873</v>
      </c>
      <c r="B875" s="5" t="s">
        <v>2537</v>
      </c>
      <c r="C875" s="23" t="s">
        <v>2970</v>
      </c>
      <c r="D875" s="23" t="s">
        <v>17</v>
      </c>
      <c r="E875" s="5" t="s">
        <v>2538</v>
      </c>
      <c r="F875" s="71" t="s">
        <v>6107</v>
      </c>
      <c r="G875" s="22" t="s">
        <v>85</v>
      </c>
      <c r="H875" s="5" t="s">
        <v>86</v>
      </c>
      <c r="I875" s="5" t="s">
        <v>14</v>
      </c>
      <c r="J875" s="5" t="s">
        <v>5668</v>
      </c>
      <c r="K875" s="5">
        <v>802841033</v>
      </c>
    </row>
    <row r="876" spans="1:11">
      <c r="A876" s="21">
        <v>874</v>
      </c>
      <c r="B876" s="5" t="s">
        <v>2539</v>
      </c>
      <c r="C876" s="23" t="s">
        <v>3181</v>
      </c>
      <c r="D876" s="23" t="s">
        <v>77</v>
      </c>
      <c r="E876" s="5" t="s">
        <v>2540</v>
      </c>
      <c r="F876" s="71" t="s">
        <v>6107</v>
      </c>
      <c r="G876" s="22" t="s">
        <v>179</v>
      </c>
      <c r="H876" s="22" t="s">
        <v>179</v>
      </c>
      <c r="I876" s="5" t="s">
        <v>21</v>
      </c>
      <c r="J876" s="5" t="s">
        <v>5027</v>
      </c>
      <c r="K876" s="5" t="s">
        <v>2541</v>
      </c>
    </row>
    <row r="877" spans="1:11">
      <c r="A877" s="21">
        <v>875</v>
      </c>
      <c r="B877" s="5" t="s">
        <v>2542</v>
      </c>
      <c r="C877" s="23" t="s">
        <v>3105</v>
      </c>
      <c r="D877" s="23" t="s">
        <v>77</v>
      </c>
      <c r="E877" s="5" t="s">
        <v>625</v>
      </c>
      <c r="F877" s="71" t="s">
        <v>6107</v>
      </c>
      <c r="G877" s="22" t="s">
        <v>179</v>
      </c>
      <c r="H877" s="22" t="s">
        <v>179</v>
      </c>
      <c r="I877" s="5" t="s">
        <v>21</v>
      </c>
      <c r="J877" s="5" t="s">
        <v>5111</v>
      </c>
      <c r="K877" s="5" t="s">
        <v>2543</v>
      </c>
    </row>
    <row r="878" spans="1:11">
      <c r="A878" s="21">
        <v>876</v>
      </c>
      <c r="B878" s="5" t="s">
        <v>2544</v>
      </c>
      <c r="C878" s="23" t="s">
        <v>3646</v>
      </c>
      <c r="D878" s="23" t="s">
        <v>59</v>
      </c>
      <c r="E878" s="5" t="s">
        <v>2545</v>
      </c>
      <c r="F878" s="71" t="s">
        <v>6107</v>
      </c>
      <c r="G878" s="22" t="s">
        <v>179</v>
      </c>
      <c r="H878" s="5" t="s">
        <v>36</v>
      </c>
      <c r="I878" s="5" t="s">
        <v>50</v>
      </c>
      <c r="J878" s="5" t="s">
        <v>5572</v>
      </c>
      <c r="K878" s="5">
        <v>89756465599</v>
      </c>
    </row>
    <row r="879" spans="1:11">
      <c r="A879" s="21">
        <v>877</v>
      </c>
      <c r="B879" s="5" t="s">
        <v>2546</v>
      </c>
      <c r="C879" s="23" t="s">
        <v>3059</v>
      </c>
      <c r="D879" s="23" t="s">
        <v>34</v>
      </c>
      <c r="E879" s="5" t="s">
        <v>2547</v>
      </c>
      <c r="F879" s="71" t="s">
        <v>6107</v>
      </c>
      <c r="G879" s="22" t="s">
        <v>179</v>
      </c>
      <c r="H879" s="5" t="s">
        <v>3932</v>
      </c>
      <c r="I879" s="5" t="s">
        <v>67</v>
      </c>
      <c r="J879" s="5" t="s">
        <v>5456</v>
      </c>
      <c r="K879" s="5" t="s">
        <v>2548</v>
      </c>
    </row>
    <row r="880" spans="1:11">
      <c r="A880" s="21">
        <v>878</v>
      </c>
      <c r="B880" s="5" t="s">
        <v>2549</v>
      </c>
      <c r="C880" s="23" t="s">
        <v>3745</v>
      </c>
      <c r="D880" s="23" t="s">
        <v>59</v>
      </c>
      <c r="E880" s="5" t="s">
        <v>2550</v>
      </c>
      <c r="F880" s="71" t="s">
        <v>6107</v>
      </c>
      <c r="G880" s="22" t="s">
        <v>3934</v>
      </c>
      <c r="H880" s="5" t="s">
        <v>13</v>
      </c>
      <c r="I880" s="5" t="s">
        <v>42</v>
      </c>
      <c r="J880" s="5" t="s">
        <v>5284</v>
      </c>
      <c r="K880" s="5" t="s">
        <v>2551</v>
      </c>
    </row>
    <row r="881" spans="1:11">
      <c r="A881" s="21">
        <v>879</v>
      </c>
      <c r="B881" s="5" t="s">
        <v>2552</v>
      </c>
      <c r="C881" s="23" t="s">
        <v>2949</v>
      </c>
      <c r="D881" s="23" t="s">
        <v>17</v>
      </c>
      <c r="E881" s="5" t="s">
        <v>2553</v>
      </c>
      <c r="F881" s="71" t="s">
        <v>6107</v>
      </c>
      <c r="G881" s="22" t="s">
        <v>85</v>
      </c>
      <c r="H881" s="5" t="s">
        <v>120</v>
      </c>
      <c r="I881" s="5" t="s">
        <v>21</v>
      </c>
      <c r="J881" s="5" t="s">
        <v>5430</v>
      </c>
      <c r="K881" s="5" t="s">
        <v>2554</v>
      </c>
    </row>
    <row r="882" spans="1:11">
      <c r="A882" s="21">
        <v>880</v>
      </c>
      <c r="B882" s="5" t="s">
        <v>2555</v>
      </c>
      <c r="C882" s="23" t="s">
        <v>3422</v>
      </c>
      <c r="D882" s="23" t="s">
        <v>17</v>
      </c>
      <c r="E882" s="5" t="s">
        <v>2556</v>
      </c>
      <c r="F882" s="71" t="s">
        <v>6107</v>
      </c>
      <c r="G882" s="22" t="s">
        <v>216</v>
      </c>
      <c r="H882" s="5" t="s">
        <v>94</v>
      </c>
      <c r="I882" s="5" t="s">
        <v>42</v>
      </c>
      <c r="J882" s="5" t="s">
        <v>5574</v>
      </c>
      <c r="K882" s="5" t="s">
        <v>2557</v>
      </c>
    </row>
    <row r="883" spans="1:11">
      <c r="A883" s="21">
        <v>881</v>
      </c>
      <c r="B883" s="5" t="s">
        <v>2558</v>
      </c>
      <c r="C883" s="23" t="s">
        <v>3060</v>
      </c>
      <c r="D883" s="23" t="s">
        <v>34</v>
      </c>
      <c r="E883" s="5" t="s">
        <v>2559</v>
      </c>
      <c r="F883" s="71" t="s">
        <v>6107</v>
      </c>
      <c r="G883" s="22" t="s">
        <v>179</v>
      </c>
      <c r="H883" s="5" t="s">
        <v>3932</v>
      </c>
      <c r="I883" s="5" t="s">
        <v>56</v>
      </c>
      <c r="J883" s="5" t="s">
        <v>5511</v>
      </c>
      <c r="K883" s="5" t="s">
        <v>2560</v>
      </c>
    </row>
    <row r="884" spans="1:11">
      <c r="A884" s="21">
        <v>882</v>
      </c>
      <c r="B884" s="5" t="s">
        <v>2561</v>
      </c>
      <c r="C884" s="23" t="s">
        <v>3106</v>
      </c>
      <c r="D884" s="23" t="s">
        <v>77</v>
      </c>
      <c r="E884" s="5" t="s">
        <v>2562</v>
      </c>
      <c r="F884" s="71" t="s">
        <v>6107</v>
      </c>
      <c r="G884" s="22" t="s">
        <v>179</v>
      </c>
      <c r="H884" s="22" t="s">
        <v>3932</v>
      </c>
      <c r="I884" s="5" t="s">
        <v>56</v>
      </c>
      <c r="J884" s="5" t="s">
        <v>5052</v>
      </c>
      <c r="K884" s="5" t="s">
        <v>2563</v>
      </c>
    </row>
    <row r="885" spans="1:11">
      <c r="A885" s="21">
        <v>883</v>
      </c>
      <c r="B885" s="5" t="s">
        <v>2564</v>
      </c>
      <c r="C885" s="23" t="s">
        <v>3647</v>
      </c>
      <c r="D885" s="23" t="s">
        <v>59</v>
      </c>
      <c r="E885" s="5" t="s">
        <v>2565</v>
      </c>
      <c r="F885" s="71" t="s">
        <v>6107</v>
      </c>
      <c r="G885" s="22" t="s">
        <v>179</v>
      </c>
      <c r="H885" s="5" t="s">
        <v>13</v>
      </c>
      <c r="I885" s="5" t="s">
        <v>14</v>
      </c>
      <c r="J885" s="5" t="s">
        <v>4898</v>
      </c>
      <c r="K885" s="5" t="s">
        <v>2566</v>
      </c>
    </row>
    <row r="886" spans="1:11">
      <c r="A886" s="21">
        <v>884</v>
      </c>
      <c r="B886" s="5" t="s">
        <v>3964</v>
      </c>
      <c r="C886" s="23" t="s">
        <v>3182</v>
      </c>
      <c r="D886" s="23" t="s">
        <v>77</v>
      </c>
      <c r="E886" s="5" t="s">
        <v>2567</v>
      </c>
      <c r="F886" s="71" t="s">
        <v>6107</v>
      </c>
      <c r="G886" s="22" t="s">
        <v>179</v>
      </c>
      <c r="H886" s="22" t="s">
        <v>179</v>
      </c>
      <c r="I886" s="5" t="s">
        <v>21</v>
      </c>
      <c r="J886" s="5" t="s">
        <v>5443</v>
      </c>
      <c r="K886" s="5" t="s">
        <v>2568</v>
      </c>
    </row>
    <row r="887" spans="1:11">
      <c r="A887" s="21">
        <v>885</v>
      </c>
      <c r="B887" s="5" t="s">
        <v>2569</v>
      </c>
      <c r="C887" s="23" t="s">
        <v>3746</v>
      </c>
      <c r="D887" s="23" t="s">
        <v>59</v>
      </c>
      <c r="E887" s="5" t="s">
        <v>2570</v>
      </c>
      <c r="F887" s="71" t="s">
        <v>6107</v>
      </c>
      <c r="G887" s="22" t="s">
        <v>3934</v>
      </c>
      <c r="H887" s="5" t="s">
        <v>13</v>
      </c>
      <c r="I887" s="5" t="s">
        <v>42</v>
      </c>
      <c r="J887" s="5" t="s">
        <v>5556</v>
      </c>
      <c r="K887" s="5" t="s">
        <v>2571</v>
      </c>
    </row>
    <row r="888" spans="1:11">
      <c r="A888" s="21">
        <v>886</v>
      </c>
      <c r="B888" s="5" t="s">
        <v>2572</v>
      </c>
      <c r="C888" s="23" t="s">
        <v>3747</v>
      </c>
      <c r="D888" s="23" t="s">
        <v>59</v>
      </c>
      <c r="E888" s="5" t="s">
        <v>2573</v>
      </c>
      <c r="F888" s="71" t="s">
        <v>6107</v>
      </c>
      <c r="G888" s="22" t="s">
        <v>3934</v>
      </c>
      <c r="H888" s="5" t="s">
        <v>13</v>
      </c>
      <c r="I888" s="5" t="s">
        <v>26</v>
      </c>
      <c r="J888" s="5" t="s">
        <v>5333</v>
      </c>
      <c r="K888" s="5" t="s">
        <v>2574</v>
      </c>
    </row>
    <row r="889" spans="1:11">
      <c r="A889" s="21">
        <v>887</v>
      </c>
      <c r="B889" s="5" t="s">
        <v>2575</v>
      </c>
      <c r="C889" s="23" t="s">
        <v>3530</v>
      </c>
      <c r="D889" s="23" t="s">
        <v>77</v>
      </c>
      <c r="E889" s="5" t="s">
        <v>2576</v>
      </c>
      <c r="F889" s="71" t="s">
        <v>6107</v>
      </c>
      <c r="G889" s="22" t="s">
        <v>160</v>
      </c>
      <c r="H889" s="5" t="s">
        <v>3932</v>
      </c>
      <c r="I889" s="5" t="s">
        <v>14</v>
      </c>
      <c r="J889" s="5" t="s">
        <v>5291</v>
      </c>
      <c r="K889" s="5" t="s">
        <v>2577</v>
      </c>
    </row>
    <row r="890" spans="1:11">
      <c r="A890" s="21">
        <v>888</v>
      </c>
      <c r="B890" s="5" t="s">
        <v>2578</v>
      </c>
      <c r="C890" s="23" t="s">
        <v>3855</v>
      </c>
      <c r="D890" s="23" t="s">
        <v>59</v>
      </c>
      <c r="E890" s="5" t="s">
        <v>2579</v>
      </c>
      <c r="F890" s="71" t="s">
        <v>6107</v>
      </c>
      <c r="G890" s="22" t="s">
        <v>144</v>
      </c>
      <c r="H890" s="5" t="s">
        <v>46</v>
      </c>
      <c r="I890" s="5" t="s">
        <v>50</v>
      </c>
      <c r="J890" s="5" t="s">
        <v>5328</v>
      </c>
      <c r="K890" s="5" t="s">
        <v>2580</v>
      </c>
    </row>
    <row r="891" spans="1:11">
      <c r="A891" s="21">
        <v>889</v>
      </c>
      <c r="B891" s="5" t="s">
        <v>2581</v>
      </c>
      <c r="C891" s="23" t="s">
        <v>2950</v>
      </c>
      <c r="D891" s="23" t="s">
        <v>17</v>
      </c>
      <c r="E891" s="5" t="s">
        <v>2582</v>
      </c>
      <c r="F891" s="71" t="s">
        <v>6107</v>
      </c>
      <c r="G891" s="22" t="s">
        <v>85</v>
      </c>
      <c r="H891" s="5" t="s">
        <v>120</v>
      </c>
      <c r="I891" s="5" t="s">
        <v>42</v>
      </c>
      <c r="J891" s="5" t="s">
        <v>5445</v>
      </c>
      <c r="K891" s="5" t="s">
        <v>2583</v>
      </c>
    </row>
    <row r="892" spans="1:11">
      <c r="A892" s="21">
        <v>890</v>
      </c>
      <c r="B892" s="5" t="s">
        <v>2584</v>
      </c>
      <c r="C892" s="23" t="s">
        <v>3061</v>
      </c>
      <c r="D892" s="23" t="s">
        <v>34</v>
      </c>
      <c r="E892" s="5" t="s">
        <v>2585</v>
      </c>
      <c r="F892" s="71" t="s">
        <v>6107</v>
      </c>
      <c r="G892" s="22" t="s">
        <v>74</v>
      </c>
      <c r="H892" s="5" t="s">
        <v>71</v>
      </c>
      <c r="I892" s="5" t="s">
        <v>50</v>
      </c>
      <c r="J892" s="5" t="s">
        <v>5698</v>
      </c>
      <c r="K892" s="5" t="s">
        <v>2586</v>
      </c>
    </row>
    <row r="893" spans="1:11">
      <c r="A893" s="21">
        <v>891</v>
      </c>
      <c r="B893" s="5" t="s">
        <v>2587</v>
      </c>
      <c r="C893" s="23" t="s">
        <v>3531</v>
      </c>
      <c r="D893" s="23" t="s">
        <v>77</v>
      </c>
      <c r="E893" s="5" t="s">
        <v>2588</v>
      </c>
      <c r="F893" s="71" t="s">
        <v>6107</v>
      </c>
      <c r="G893" s="22" t="s">
        <v>160</v>
      </c>
      <c r="H893" s="5" t="s">
        <v>3932</v>
      </c>
      <c r="I893" s="5" t="s">
        <v>56</v>
      </c>
      <c r="J893" s="5" t="s">
        <v>5040</v>
      </c>
      <c r="K893" s="5" t="s">
        <v>2589</v>
      </c>
    </row>
    <row r="894" spans="1:11">
      <c r="A894" s="21">
        <v>892</v>
      </c>
      <c r="B894" s="5" t="s">
        <v>2590</v>
      </c>
      <c r="C894" s="23" t="s">
        <v>3272</v>
      </c>
      <c r="D894" s="23" t="s">
        <v>77</v>
      </c>
      <c r="E894" s="5" t="s">
        <v>1218</v>
      </c>
      <c r="F894" s="71" t="s">
        <v>6107</v>
      </c>
      <c r="G894" s="22" t="s">
        <v>179</v>
      </c>
      <c r="H894" s="5" t="s">
        <v>3932</v>
      </c>
      <c r="I894" s="5" t="s">
        <v>42</v>
      </c>
      <c r="J894" s="5" t="s">
        <v>5741</v>
      </c>
      <c r="K894" s="5" t="s">
        <v>2591</v>
      </c>
    </row>
    <row r="895" spans="1:11">
      <c r="A895" s="21">
        <v>893</v>
      </c>
      <c r="B895" s="5" t="s">
        <v>2592</v>
      </c>
      <c r="C895" s="23" t="s">
        <v>3856</v>
      </c>
      <c r="D895" s="23" t="s">
        <v>59</v>
      </c>
      <c r="E895" s="5" t="s">
        <v>2593</v>
      </c>
      <c r="F895" s="71" t="s">
        <v>6107</v>
      </c>
      <c r="G895" s="22" t="s">
        <v>144</v>
      </c>
      <c r="H895" s="5" t="s">
        <v>25</v>
      </c>
      <c r="I895" s="5" t="s">
        <v>42</v>
      </c>
      <c r="J895" s="5" t="s">
        <v>4817</v>
      </c>
      <c r="K895" s="5" t="s">
        <v>2594</v>
      </c>
    </row>
    <row r="896" spans="1:11">
      <c r="A896" s="21">
        <v>894</v>
      </c>
      <c r="B896" s="5" t="s">
        <v>2595</v>
      </c>
      <c r="C896" s="23" t="s">
        <v>3423</v>
      </c>
      <c r="D896" s="23" t="s">
        <v>17</v>
      </c>
      <c r="E896" s="5" t="s">
        <v>2596</v>
      </c>
      <c r="F896" s="71" t="s">
        <v>6107</v>
      </c>
      <c r="G896" s="22" t="s">
        <v>3933</v>
      </c>
      <c r="H896" s="5" t="s">
        <v>3932</v>
      </c>
      <c r="I896" s="5" t="s">
        <v>56</v>
      </c>
      <c r="J896" s="5" t="s">
        <v>4966</v>
      </c>
      <c r="K896" s="5" t="s">
        <v>2597</v>
      </c>
    </row>
    <row r="897" spans="1:11">
      <c r="A897" s="21">
        <v>895</v>
      </c>
      <c r="B897" s="5" t="s">
        <v>2598</v>
      </c>
      <c r="C897" s="23" t="s">
        <v>3809</v>
      </c>
      <c r="D897" s="23" t="s">
        <v>59</v>
      </c>
      <c r="E897" s="5" t="s">
        <v>2599</v>
      </c>
      <c r="F897" s="71" t="s">
        <v>6107</v>
      </c>
      <c r="G897" s="22" t="s">
        <v>24</v>
      </c>
      <c r="H897" s="5" t="s">
        <v>25</v>
      </c>
      <c r="I897" s="5" t="s">
        <v>21</v>
      </c>
      <c r="J897" s="5" t="s">
        <v>5360</v>
      </c>
      <c r="K897" s="5" t="s">
        <v>2600</v>
      </c>
    </row>
    <row r="898" spans="1:11">
      <c r="A898" s="21">
        <v>896</v>
      </c>
      <c r="B898" s="5" t="s">
        <v>2601</v>
      </c>
      <c r="C898" s="23" t="s">
        <v>3322</v>
      </c>
      <c r="D898" s="23" t="s">
        <v>77</v>
      </c>
      <c r="E898" s="5" t="s">
        <v>2602</v>
      </c>
      <c r="F898" s="71" t="s">
        <v>6107</v>
      </c>
      <c r="G898" s="22" t="s">
        <v>179</v>
      </c>
      <c r="H898" s="5" t="s">
        <v>3932</v>
      </c>
      <c r="I898" s="5" t="s">
        <v>42</v>
      </c>
      <c r="J898" s="5" t="s">
        <v>5089</v>
      </c>
      <c r="K898" s="5" t="s">
        <v>2603</v>
      </c>
    </row>
    <row r="899" spans="1:11">
      <c r="A899" s="21">
        <v>897</v>
      </c>
      <c r="B899" s="5" t="s">
        <v>2604</v>
      </c>
      <c r="C899" s="23" t="s">
        <v>3062</v>
      </c>
      <c r="D899" s="23" t="s">
        <v>34</v>
      </c>
      <c r="E899" s="5" t="s">
        <v>2605</v>
      </c>
      <c r="F899" s="71" t="s">
        <v>6107</v>
      </c>
      <c r="G899" s="22" t="s">
        <v>74</v>
      </c>
      <c r="H899" s="5" t="s">
        <v>41</v>
      </c>
      <c r="I899" s="5" t="s">
        <v>50</v>
      </c>
      <c r="J899" s="5" t="s">
        <v>4920</v>
      </c>
      <c r="K899" s="5" t="s">
        <v>2606</v>
      </c>
    </row>
    <row r="900" spans="1:11">
      <c r="A900" s="21">
        <v>898</v>
      </c>
      <c r="B900" s="5" t="s">
        <v>2607</v>
      </c>
      <c r="C900" s="23" t="s">
        <v>3183</v>
      </c>
      <c r="D900" s="23" t="s">
        <v>77</v>
      </c>
      <c r="E900" s="5" t="s">
        <v>2608</v>
      </c>
      <c r="F900" s="71" t="s">
        <v>6107</v>
      </c>
      <c r="G900" s="22" t="s">
        <v>66</v>
      </c>
      <c r="H900" s="5" t="s">
        <v>20</v>
      </c>
      <c r="I900" s="5" t="s">
        <v>50</v>
      </c>
      <c r="J900" s="5" t="s">
        <v>5501</v>
      </c>
      <c r="K900" s="5" t="s">
        <v>2609</v>
      </c>
    </row>
    <row r="901" spans="1:11">
      <c r="A901" s="21">
        <v>899</v>
      </c>
      <c r="B901" s="5" t="s">
        <v>2610</v>
      </c>
      <c r="C901" s="23" t="s">
        <v>3184</v>
      </c>
      <c r="D901" s="23" t="s">
        <v>77</v>
      </c>
      <c r="E901" s="5" t="s">
        <v>2611</v>
      </c>
      <c r="F901" s="71" t="s">
        <v>6107</v>
      </c>
      <c r="G901" s="22" t="s">
        <v>66</v>
      </c>
      <c r="H901" s="5" t="s">
        <v>20</v>
      </c>
      <c r="I901" s="5" t="s">
        <v>26</v>
      </c>
      <c r="J901" s="5" t="s">
        <v>5357</v>
      </c>
      <c r="K901" s="5" t="s">
        <v>2612</v>
      </c>
    </row>
    <row r="902" spans="1:11">
      <c r="A902" s="21">
        <v>900</v>
      </c>
      <c r="B902" s="5" t="s">
        <v>2613</v>
      </c>
      <c r="C902" s="23" t="s">
        <v>3063</v>
      </c>
      <c r="D902" s="23" t="s">
        <v>34</v>
      </c>
      <c r="E902" s="5" t="s">
        <v>2614</v>
      </c>
      <c r="F902" s="71" t="s">
        <v>6107</v>
      </c>
      <c r="G902" s="22" t="s">
        <v>179</v>
      </c>
      <c r="H902" s="5" t="s">
        <v>3932</v>
      </c>
      <c r="I902" s="5" t="s">
        <v>67</v>
      </c>
      <c r="J902" s="5" t="s">
        <v>4921</v>
      </c>
      <c r="K902" s="5" t="s">
        <v>2615</v>
      </c>
    </row>
    <row r="903" spans="1:11">
      <c r="A903" s="21">
        <v>901</v>
      </c>
      <c r="B903" s="5" t="s">
        <v>2616</v>
      </c>
      <c r="C903" s="23" t="s">
        <v>3857</v>
      </c>
      <c r="D903" s="23" t="s">
        <v>59</v>
      </c>
      <c r="E903" s="5" t="s">
        <v>2617</v>
      </c>
      <c r="F903" s="71" t="s">
        <v>6107</v>
      </c>
      <c r="G903" s="22" t="s">
        <v>144</v>
      </c>
      <c r="H903" s="5" t="s">
        <v>25</v>
      </c>
      <c r="I903" s="5" t="s">
        <v>67</v>
      </c>
      <c r="J903" s="5" t="s">
        <v>5412</v>
      </c>
      <c r="K903" s="5" t="s">
        <v>2618</v>
      </c>
    </row>
    <row r="904" spans="1:11">
      <c r="A904" s="21">
        <v>902</v>
      </c>
      <c r="B904" s="5" t="s">
        <v>2619</v>
      </c>
      <c r="C904" s="23" t="s">
        <v>3107</v>
      </c>
      <c r="D904" s="23" t="s">
        <v>77</v>
      </c>
      <c r="E904" s="5" t="s">
        <v>2620</v>
      </c>
      <c r="F904" s="71" t="s">
        <v>6107</v>
      </c>
      <c r="G904" s="22" t="s">
        <v>19</v>
      </c>
      <c r="H904" s="5" t="s">
        <v>20</v>
      </c>
      <c r="I904" s="5" t="s">
        <v>42</v>
      </c>
      <c r="J904" s="5" t="s">
        <v>5310</v>
      </c>
      <c r="K904" s="5" t="s">
        <v>2621</v>
      </c>
    </row>
    <row r="905" spans="1:11">
      <c r="A905" s="21">
        <v>903</v>
      </c>
      <c r="B905" s="5" t="s">
        <v>2622</v>
      </c>
      <c r="C905" s="23" t="s">
        <v>3424</v>
      </c>
      <c r="D905" s="23" t="s">
        <v>17</v>
      </c>
      <c r="E905" s="5" t="s">
        <v>2623</v>
      </c>
      <c r="F905" s="71" t="s">
        <v>6107</v>
      </c>
      <c r="G905" s="22" t="s">
        <v>3933</v>
      </c>
      <c r="H905" s="5" t="s">
        <v>3932</v>
      </c>
      <c r="I905" s="5" t="s">
        <v>21</v>
      </c>
      <c r="J905" s="5" t="s">
        <v>5253</v>
      </c>
      <c r="K905" s="5" t="s">
        <v>2624</v>
      </c>
    </row>
    <row r="906" spans="1:11">
      <c r="A906" s="21">
        <v>904</v>
      </c>
      <c r="B906" s="5" t="s">
        <v>2625</v>
      </c>
      <c r="C906" s="23" t="s">
        <v>3748</v>
      </c>
      <c r="D906" s="23" t="s">
        <v>59</v>
      </c>
      <c r="E906" s="5" t="s">
        <v>2626</v>
      </c>
      <c r="F906" s="71" t="s">
        <v>6107</v>
      </c>
      <c r="G906" s="22" t="s">
        <v>3934</v>
      </c>
      <c r="H906" s="5" t="s">
        <v>13</v>
      </c>
      <c r="I906" s="5" t="s">
        <v>56</v>
      </c>
      <c r="J906" s="5" t="s">
        <v>5429</v>
      </c>
      <c r="K906" s="5" t="s">
        <v>2627</v>
      </c>
    </row>
    <row r="907" spans="1:11">
      <c r="A907" s="21">
        <v>905</v>
      </c>
      <c r="B907" s="5" t="s">
        <v>2628</v>
      </c>
      <c r="C907" s="23" t="s">
        <v>2975</v>
      </c>
      <c r="D907" s="23" t="s">
        <v>17</v>
      </c>
      <c r="E907" s="5" t="s">
        <v>2629</v>
      </c>
      <c r="F907" s="71" t="s">
        <v>6107</v>
      </c>
      <c r="G907" s="22" t="s">
        <v>119</v>
      </c>
      <c r="H907" s="5" t="s">
        <v>120</v>
      </c>
      <c r="I907" s="5" t="s">
        <v>50</v>
      </c>
      <c r="J907" s="5" t="s">
        <v>5144</v>
      </c>
      <c r="K907" s="5" t="s">
        <v>2630</v>
      </c>
    </row>
    <row r="908" spans="1:11">
      <c r="A908" s="21">
        <v>906</v>
      </c>
      <c r="B908" s="5" t="s">
        <v>2631</v>
      </c>
      <c r="C908" s="23" t="s">
        <v>3749</v>
      </c>
      <c r="D908" s="23" t="s">
        <v>59</v>
      </c>
      <c r="E908" s="5" t="s">
        <v>1239</v>
      </c>
      <c r="F908" s="71" t="s">
        <v>6107</v>
      </c>
      <c r="G908" s="22" t="s">
        <v>3934</v>
      </c>
      <c r="H908" s="5" t="s">
        <v>13</v>
      </c>
      <c r="I908" s="5" t="s">
        <v>26</v>
      </c>
      <c r="J908" s="5" t="s">
        <v>5431</v>
      </c>
      <c r="K908" s="5" t="s">
        <v>2632</v>
      </c>
    </row>
    <row r="909" spans="1:11">
      <c r="A909" s="21">
        <v>907</v>
      </c>
      <c r="B909" s="5" t="s">
        <v>2633</v>
      </c>
      <c r="C909" s="23" t="s">
        <v>3750</v>
      </c>
      <c r="D909" s="23" t="s">
        <v>59</v>
      </c>
      <c r="E909" s="5" t="s">
        <v>2634</v>
      </c>
      <c r="F909" s="71" t="s">
        <v>6107</v>
      </c>
      <c r="G909" s="22" t="s">
        <v>3934</v>
      </c>
      <c r="H909" s="5" t="s">
        <v>13</v>
      </c>
      <c r="I909" s="5" t="s">
        <v>56</v>
      </c>
      <c r="J909" s="5" t="s">
        <v>5722</v>
      </c>
      <c r="K909" s="5" t="s">
        <v>2635</v>
      </c>
    </row>
    <row r="910" spans="1:11">
      <c r="A910" s="21">
        <v>908</v>
      </c>
      <c r="B910" s="5" t="s">
        <v>2636</v>
      </c>
      <c r="C910" s="23" t="s">
        <v>3751</v>
      </c>
      <c r="D910" s="23" t="s">
        <v>59</v>
      </c>
      <c r="E910" s="5" t="s">
        <v>2637</v>
      </c>
      <c r="F910" s="71" t="s">
        <v>6107</v>
      </c>
      <c r="G910" s="22" t="s">
        <v>3934</v>
      </c>
      <c r="H910" s="5" t="s">
        <v>13</v>
      </c>
      <c r="I910" s="5" t="s">
        <v>14</v>
      </c>
      <c r="J910" s="5" t="s">
        <v>5580</v>
      </c>
      <c r="K910" s="5" t="s">
        <v>2638</v>
      </c>
    </row>
    <row r="911" spans="1:11">
      <c r="A911" s="21">
        <v>909</v>
      </c>
      <c r="B911" s="5" t="s">
        <v>2639</v>
      </c>
      <c r="C911" s="23" t="s">
        <v>3532</v>
      </c>
      <c r="D911" s="23" t="s">
        <v>17</v>
      </c>
      <c r="E911" s="5" t="s">
        <v>2640</v>
      </c>
      <c r="F911" s="71" t="s">
        <v>6107</v>
      </c>
      <c r="G911" s="22" t="s">
        <v>160</v>
      </c>
      <c r="H911" s="5" t="s">
        <v>3932</v>
      </c>
      <c r="I911" s="5" t="s">
        <v>42</v>
      </c>
      <c r="J911" s="5" t="s">
        <v>4917</v>
      </c>
      <c r="K911" s="5" t="s">
        <v>2641</v>
      </c>
    </row>
    <row r="912" spans="1:11">
      <c r="A912" s="21">
        <v>910</v>
      </c>
      <c r="B912" s="5" t="s">
        <v>2642</v>
      </c>
      <c r="C912" s="23" t="s">
        <v>3273</v>
      </c>
      <c r="D912" s="23" t="s">
        <v>77</v>
      </c>
      <c r="E912" s="5" t="s">
        <v>2643</v>
      </c>
      <c r="F912" s="71" t="s">
        <v>6107</v>
      </c>
      <c r="G912" s="22" t="s">
        <v>179</v>
      </c>
      <c r="H912" s="5" t="s">
        <v>3932</v>
      </c>
      <c r="I912" s="5" t="s">
        <v>50</v>
      </c>
      <c r="J912" s="5" t="s">
        <v>5563</v>
      </c>
      <c r="K912" s="5" t="s">
        <v>2644</v>
      </c>
    </row>
    <row r="913" spans="1:11">
      <c r="A913" s="21">
        <v>911</v>
      </c>
      <c r="B913" s="5" t="s">
        <v>2645</v>
      </c>
      <c r="C913" s="23" t="s">
        <v>3425</v>
      </c>
      <c r="D913" s="23" t="s">
        <v>17</v>
      </c>
      <c r="E913" s="5" t="s">
        <v>2646</v>
      </c>
      <c r="F913" s="71" t="s">
        <v>6107</v>
      </c>
      <c r="G913" s="22" t="s">
        <v>3933</v>
      </c>
      <c r="H913" s="5" t="s">
        <v>3932</v>
      </c>
      <c r="I913" s="5" t="s">
        <v>67</v>
      </c>
      <c r="J913" s="5" t="s">
        <v>4962</v>
      </c>
      <c r="K913" s="5" t="s">
        <v>2647</v>
      </c>
    </row>
    <row r="914" spans="1:11">
      <c r="A914" s="21">
        <v>912</v>
      </c>
      <c r="B914" s="5" t="s">
        <v>2648</v>
      </c>
      <c r="C914" s="23" t="s">
        <v>3185</v>
      </c>
      <c r="D914" s="23" t="s">
        <v>77</v>
      </c>
      <c r="E914" s="5" t="s">
        <v>2649</v>
      </c>
      <c r="F914" s="71" t="s">
        <v>6107</v>
      </c>
      <c r="G914" s="22" t="s">
        <v>198</v>
      </c>
      <c r="H914" s="5" t="s">
        <v>20</v>
      </c>
      <c r="I914" s="5" t="s">
        <v>50</v>
      </c>
      <c r="J914" s="5" t="s">
        <v>4824</v>
      </c>
      <c r="K914" s="5">
        <v>862341956</v>
      </c>
    </row>
    <row r="915" spans="1:11">
      <c r="A915" s="21">
        <v>913</v>
      </c>
      <c r="B915" s="5" t="s">
        <v>2650</v>
      </c>
      <c r="C915" s="23" t="s">
        <v>2953</v>
      </c>
      <c r="D915" s="23" t="s">
        <v>17</v>
      </c>
      <c r="E915" s="5" t="s">
        <v>2651</v>
      </c>
      <c r="F915" s="71" t="s">
        <v>6107</v>
      </c>
      <c r="G915" s="22" t="s">
        <v>119</v>
      </c>
      <c r="H915" s="5" t="s">
        <v>120</v>
      </c>
      <c r="I915" s="5" t="s">
        <v>50</v>
      </c>
      <c r="J915" s="5" t="s">
        <v>5468</v>
      </c>
      <c r="K915" s="5" t="s">
        <v>2652</v>
      </c>
    </row>
    <row r="916" spans="1:11">
      <c r="A916" s="21">
        <v>914</v>
      </c>
      <c r="B916" s="5" t="s">
        <v>2653</v>
      </c>
      <c r="C916" s="23" t="s">
        <v>3108</v>
      </c>
      <c r="D916" s="23" t="s">
        <v>77</v>
      </c>
      <c r="E916" s="5" t="s">
        <v>2654</v>
      </c>
      <c r="F916" s="71" t="s">
        <v>6107</v>
      </c>
      <c r="G916" s="22" t="s">
        <v>179</v>
      </c>
      <c r="H916" s="22" t="s">
        <v>3932</v>
      </c>
      <c r="I916" s="5" t="s">
        <v>67</v>
      </c>
      <c r="J916" s="5" t="s">
        <v>5230</v>
      </c>
      <c r="K916" s="5" t="s">
        <v>2655</v>
      </c>
    </row>
    <row r="917" spans="1:11">
      <c r="A917" s="21">
        <v>915</v>
      </c>
      <c r="B917" s="5" t="s">
        <v>2656</v>
      </c>
      <c r="C917" s="23" t="s">
        <v>3186</v>
      </c>
      <c r="D917" s="23" t="s">
        <v>77</v>
      </c>
      <c r="E917" s="5" t="s">
        <v>2657</v>
      </c>
      <c r="F917" s="71" t="s">
        <v>6107</v>
      </c>
      <c r="G917" s="22" t="s">
        <v>198</v>
      </c>
      <c r="H917" s="5" t="s">
        <v>20</v>
      </c>
      <c r="I917" s="5" t="s">
        <v>42</v>
      </c>
      <c r="J917" s="5" t="s">
        <v>5094</v>
      </c>
      <c r="K917" s="5" t="s">
        <v>2658</v>
      </c>
    </row>
    <row r="918" spans="1:11">
      <c r="A918" s="21">
        <v>916</v>
      </c>
      <c r="B918" s="5" t="s">
        <v>2659</v>
      </c>
      <c r="C918" s="23" t="s">
        <v>3426</v>
      </c>
      <c r="D918" s="23" t="s">
        <v>17</v>
      </c>
      <c r="E918" s="5" t="s">
        <v>2660</v>
      </c>
      <c r="F918" s="71" t="s">
        <v>6107</v>
      </c>
      <c r="G918" s="22" t="s">
        <v>3933</v>
      </c>
      <c r="H918" s="5" t="s">
        <v>3932</v>
      </c>
      <c r="I918" s="5" t="s">
        <v>67</v>
      </c>
      <c r="J918" s="5" t="s">
        <v>4788</v>
      </c>
      <c r="K918" s="5" t="s">
        <v>2661</v>
      </c>
    </row>
    <row r="919" spans="1:11">
      <c r="A919" s="21">
        <v>917</v>
      </c>
      <c r="B919" s="5" t="s">
        <v>2662</v>
      </c>
      <c r="C919" s="23" t="s">
        <v>3752</v>
      </c>
      <c r="D919" s="23" t="s">
        <v>59</v>
      </c>
      <c r="E919" s="5" t="s">
        <v>2663</v>
      </c>
      <c r="F919" s="71" t="s">
        <v>6107</v>
      </c>
      <c r="G919" s="22" t="s">
        <v>3934</v>
      </c>
      <c r="H919" s="5" t="s">
        <v>13</v>
      </c>
      <c r="I919" s="5" t="s">
        <v>50</v>
      </c>
      <c r="J919" s="5" t="s">
        <v>5596</v>
      </c>
      <c r="K919" s="5" t="s">
        <v>2664</v>
      </c>
    </row>
    <row r="920" spans="1:11">
      <c r="A920" s="21">
        <v>918</v>
      </c>
      <c r="B920" s="5" t="s">
        <v>2665</v>
      </c>
      <c r="C920" s="23" t="s">
        <v>3648</v>
      </c>
      <c r="D920" s="23" t="s">
        <v>59</v>
      </c>
      <c r="E920" s="5" t="s">
        <v>2666</v>
      </c>
      <c r="F920" s="71" t="s">
        <v>6107</v>
      </c>
      <c r="G920" s="22" t="s">
        <v>179</v>
      </c>
      <c r="H920" s="5" t="s">
        <v>36</v>
      </c>
      <c r="I920" s="5" t="s">
        <v>42</v>
      </c>
      <c r="J920" s="5" t="s">
        <v>5356</v>
      </c>
      <c r="K920" s="5" t="s">
        <v>2667</v>
      </c>
    </row>
    <row r="921" spans="1:11">
      <c r="A921" s="21">
        <v>919</v>
      </c>
      <c r="B921" s="5" t="s">
        <v>2668</v>
      </c>
      <c r="C921" s="23" t="s">
        <v>3533</v>
      </c>
      <c r="D921" s="23" t="s">
        <v>77</v>
      </c>
      <c r="E921" s="5" t="s">
        <v>2669</v>
      </c>
      <c r="F921" s="71" t="s">
        <v>6107</v>
      </c>
      <c r="G921" s="22" t="s">
        <v>54</v>
      </c>
      <c r="H921" s="5" t="s">
        <v>140</v>
      </c>
      <c r="I921" s="5" t="s">
        <v>26</v>
      </c>
      <c r="J921" s="5" t="s">
        <v>5585</v>
      </c>
      <c r="K921" s="5" t="s">
        <v>2670</v>
      </c>
    </row>
    <row r="922" spans="1:11">
      <c r="A922" s="21">
        <v>920</v>
      </c>
      <c r="B922" s="5" t="s">
        <v>2671</v>
      </c>
      <c r="C922" s="23" t="s">
        <v>3064</v>
      </c>
      <c r="D922" s="23" t="s">
        <v>34</v>
      </c>
      <c r="E922" s="5" t="s">
        <v>2672</v>
      </c>
      <c r="F922" s="71" t="s">
        <v>6107</v>
      </c>
      <c r="G922" s="22" t="s">
        <v>40</v>
      </c>
      <c r="H922" s="5" t="s">
        <v>71</v>
      </c>
      <c r="I922" s="5" t="s">
        <v>14</v>
      </c>
      <c r="J922" s="5" t="s">
        <v>5507</v>
      </c>
      <c r="K922" s="5">
        <v>89756465600</v>
      </c>
    </row>
    <row r="923" spans="1:11">
      <c r="A923" s="21">
        <v>921</v>
      </c>
      <c r="B923" s="5" t="s">
        <v>2673</v>
      </c>
      <c r="C923" s="23" t="s">
        <v>3810</v>
      </c>
      <c r="D923" s="23" t="s">
        <v>59</v>
      </c>
      <c r="E923" s="5" t="s">
        <v>2674</v>
      </c>
      <c r="F923" s="71" t="s">
        <v>6107</v>
      </c>
      <c r="G923" s="22" t="s">
        <v>24</v>
      </c>
      <c r="H923" s="5" t="s">
        <v>25</v>
      </c>
      <c r="I923" s="5" t="s">
        <v>67</v>
      </c>
      <c r="J923" s="5" t="s">
        <v>5086</v>
      </c>
      <c r="K923" s="5" t="s">
        <v>2675</v>
      </c>
    </row>
    <row r="924" spans="1:11">
      <c r="A924" s="21">
        <v>922</v>
      </c>
      <c r="B924" s="5" t="s">
        <v>2676</v>
      </c>
      <c r="C924" s="23" t="s">
        <v>3858</v>
      </c>
      <c r="D924" s="23" t="s">
        <v>59</v>
      </c>
      <c r="E924" s="5" t="s">
        <v>2677</v>
      </c>
      <c r="F924" s="71" t="s">
        <v>6107</v>
      </c>
      <c r="G924" s="22" t="s">
        <v>144</v>
      </c>
      <c r="H924" s="5" t="s">
        <v>25</v>
      </c>
      <c r="I924" s="5" t="s">
        <v>26</v>
      </c>
      <c r="J924" s="5" t="s">
        <v>4808</v>
      </c>
      <c r="K924" s="5" t="s">
        <v>2678</v>
      </c>
    </row>
    <row r="925" spans="1:11">
      <c r="A925" s="21">
        <v>923</v>
      </c>
      <c r="B925" s="5" t="s">
        <v>2679</v>
      </c>
      <c r="C925" s="23" t="s">
        <v>3649</v>
      </c>
      <c r="D925" s="23" t="s">
        <v>59</v>
      </c>
      <c r="E925" s="5" t="s">
        <v>1921</v>
      </c>
      <c r="F925" s="71" t="s">
        <v>6107</v>
      </c>
      <c r="G925" s="22" t="s">
        <v>160</v>
      </c>
      <c r="H925" s="5" t="s">
        <v>36</v>
      </c>
      <c r="I925" s="5" t="s">
        <v>21</v>
      </c>
      <c r="J925" s="5" t="s">
        <v>4892</v>
      </c>
      <c r="K925" s="5" t="s">
        <v>2680</v>
      </c>
    </row>
    <row r="926" spans="1:11">
      <c r="A926" s="21">
        <v>924</v>
      </c>
      <c r="B926" s="5" t="s">
        <v>2681</v>
      </c>
      <c r="C926" s="23" t="s">
        <v>3187</v>
      </c>
      <c r="D926" s="23" t="s">
        <v>77</v>
      </c>
      <c r="E926" s="5" t="s">
        <v>2682</v>
      </c>
      <c r="F926" s="71" t="s">
        <v>6107</v>
      </c>
      <c r="G926" s="22" t="s">
        <v>179</v>
      </c>
      <c r="H926" s="22" t="s">
        <v>3932</v>
      </c>
      <c r="I926" s="5" t="s">
        <v>67</v>
      </c>
      <c r="J926" s="5" t="s">
        <v>5449</v>
      </c>
      <c r="K926" s="5" t="s">
        <v>2683</v>
      </c>
    </row>
    <row r="927" spans="1:11">
      <c r="A927" s="21">
        <v>925</v>
      </c>
      <c r="B927" s="5" t="s">
        <v>2684</v>
      </c>
      <c r="C927" s="23" t="s">
        <v>3811</v>
      </c>
      <c r="D927" s="23" t="s">
        <v>59</v>
      </c>
      <c r="E927" s="5" t="s">
        <v>2685</v>
      </c>
      <c r="F927" s="71" t="s">
        <v>6107</v>
      </c>
      <c r="G927" s="22" t="s">
        <v>24</v>
      </c>
      <c r="H927" s="5" t="s">
        <v>25</v>
      </c>
      <c r="I927" s="5" t="s">
        <v>26</v>
      </c>
      <c r="J927" s="5" t="s">
        <v>5433</v>
      </c>
      <c r="K927" s="5" t="s">
        <v>2686</v>
      </c>
    </row>
    <row r="928" spans="1:11">
      <c r="A928" s="21">
        <v>926</v>
      </c>
      <c r="B928" s="5" t="s">
        <v>2687</v>
      </c>
      <c r="C928" s="23" t="s">
        <v>3274</v>
      </c>
      <c r="D928" s="23" t="s">
        <v>77</v>
      </c>
      <c r="E928" s="5" t="s">
        <v>2688</v>
      </c>
      <c r="F928" s="71" t="s">
        <v>6107</v>
      </c>
      <c r="G928" s="22" t="s">
        <v>179</v>
      </c>
      <c r="H928" s="5" t="s">
        <v>3932</v>
      </c>
      <c r="I928" s="5" t="s">
        <v>67</v>
      </c>
      <c r="J928" s="5" t="s">
        <v>5037</v>
      </c>
      <c r="K928" s="5" t="s">
        <v>2689</v>
      </c>
    </row>
    <row r="929" spans="1:11">
      <c r="A929" s="21">
        <v>927</v>
      </c>
      <c r="B929" s="5" t="s">
        <v>2690</v>
      </c>
      <c r="C929" s="23" t="s">
        <v>3275</v>
      </c>
      <c r="D929" s="23" t="s">
        <v>77</v>
      </c>
      <c r="E929" s="5" t="s">
        <v>2691</v>
      </c>
      <c r="F929" s="71" t="s">
        <v>6107</v>
      </c>
      <c r="G929" s="22" t="s">
        <v>179</v>
      </c>
      <c r="H929" s="5" t="s">
        <v>3932</v>
      </c>
      <c r="I929" s="5" t="s">
        <v>14</v>
      </c>
      <c r="J929" s="5" t="s">
        <v>5646</v>
      </c>
      <c r="K929" s="5" t="s">
        <v>2692</v>
      </c>
    </row>
    <row r="930" spans="1:11">
      <c r="A930" s="21">
        <v>928</v>
      </c>
      <c r="B930" s="5" t="s">
        <v>2693</v>
      </c>
      <c r="C930" s="23" t="s">
        <v>2118</v>
      </c>
      <c r="D930" s="23" t="s">
        <v>17</v>
      </c>
      <c r="E930" s="5" t="s">
        <v>2694</v>
      </c>
      <c r="F930" s="71" t="s">
        <v>6107</v>
      </c>
      <c r="G930" s="22" t="s">
        <v>85</v>
      </c>
      <c r="H930" s="5" t="s">
        <v>86</v>
      </c>
      <c r="I930" s="5" t="s">
        <v>56</v>
      </c>
      <c r="J930" s="5" t="s">
        <v>5205</v>
      </c>
      <c r="K930" s="5" t="s">
        <v>2695</v>
      </c>
    </row>
    <row r="931" spans="1:11">
      <c r="A931" s="21">
        <v>929</v>
      </c>
      <c r="B931" s="5" t="s">
        <v>2696</v>
      </c>
      <c r="C931" s="23" t="s">
        <v>3427</v>
      </c>
      <c r="D931" s="23" t="s">
        <v>17</v>
      </c>
      <c r="E931" s="5" t="s">
        <v>2697</v>
      </c>
      <c r="F931" s="71" t="s">
        <v>6107</v>
      </c>
      <c r="G931" s="22" t="s">
        <v>216</v>
      </c>
      <c r="H931" s="5" t="s">
        <v>217</v>
      </c>
      <c r="I931" s="5" t="s">
        <v>42</v>
      </c>
      <c r="J931" s="5" t="s">
        <v>4988</v>
      </c>
      <c r="K931" s="5" t="s">
        <v>2698</v>
      </c>
    </row>
    <row r="932" spans="1:11">
      <c r="A932" s="21">
        <v>930</v>
      </c>
      <c r="B932" s="5" t="s">
        <v>2699</v>
      </c>
      <c r="C932" s="23" t="s">
        <v>3188</v>
      </c>
      <c r="D932" s="23" t="s">
        <v>77</v>
      </c>
      <c r="E932" s="5" t="s">
        <v>2700</v>
      </c>
      <c r="F932" s="71" t="s">
        <v>6107</v>
      </c>
      <c r="G932" s="22" t="s">
        <v>66</v>
      </c>
      <c r="H932" s="5" t="s">
        <v>130</v>
      </c>
      <c r="I932" s="5" t="s">
        <v>14</v>
      </c>
      <c r="J932" s="5" t="s">
        <v>5549</v>
      </c>
      <c r="K932" s="5" t="s">
        <v>2701</v>
      </c>
    </row>
    <row r="933" spans="1:11">
      <c r="A933" s="21">
        <v>931</v>
      </c>
      <c r="B933" s="5" t="s">
        <v>2702</v>
      </c>
      <c r="C933" s="23" t="s">
        <v>3065</v>
      </c>
      <c r="D933" s="23" t="s">
        <v>34</v>
      </c>
      <c r="E933" s="5" t="s">
        <v>2703</v>
      </c>
      <c r="F933" s="71" t="s">
        <v>6107</v>
      </c>
      <c r="G933" s="22" t="s">
        <v>74</v>
      </c>
      <c r="H933" s="5" t="s">
        <v>41</v>
      </c>
      <c r="I933" s="5" t="s">
        <v>14</v>
      </c>
      <c r="J933" s="5" t="s">
        <v>5675</v>
      </c>
      <c r="K933" s="5" t="s">
        <v>2704</v>
      </c>
    </row>
    <row r="934" spans="1:11">
      <c r="A934" s="21">
        <v>932</v>
      </c>
      <c r="B934" s="5" t="s">
        <v>2705</v>
      </c>
      <c r="C934" s="23" t="s">
        <v>3534</v>
      </c>
      <c r="D934" s="23" t="s">
        <v>77</v>
      </c>
      <c r="E934" s="5" t="s">
        <v>2706</v>
      </c>
      <c r="F934" s="71" t="s">
        <v>6107</v>
      </c>
      <c r="G934" s="22" t="s">
        <v>160</v>
      </c>
      <c r="H934" s="5" t="s">
        <v>3932</v>
      </c>
      <c r="I934" s="5" t="s">
        <v>67</v>
      </c>
      <c r="J934" s="5" t="s">
        <v>5107</v>
      </c>
      <c r="K934" s="5" t="s">
        <v>2707</v>
      </c>
    </row>
    <row r="935" spans="1:11">
      <c r="A935" s="21">
        <v>933</v>
      </c>
      <c r="B935" s="5" t="s">
        <v>2708</v>
      </c>
      <c r="C935" s="23" t="s">
        <v>2966</v>
      </c>
      <c r="D935" s="23" t="s">
        <v>17</v>
      </c>
      <c r="E935" s="5" t="s">
        <v>2709</v>
      </c>
      <c r="F935" s="71" t="s">
        <v>6107</v>
      </c>
      <c r="G935" s="22" t="s">
        <v>85</v>
      </c>
      <c r="H935" s="5" t="s">
        <v>120</v>
      </c>
      <c r="I935" s="5" t="s">
        <v>14</v>
      </c>
      <c r="J935" s="5" t="s">
        <v>5505</v>
      </c>
      <c r="K935" s="5" t="s">
        <v>2710</v>
      </c>
    </row>
    <row r="936" spans="1:11">
      <c r="A936" s="21">
        <v>934</v>
      </c>
      <c r="B936" s="5" t="s">
        <v>3965</v>
      </c>
      <c r="C936" s="23" t="s">
        <v>3428</v>
      </c>
      <c r="D936" s="23" t="s">
        <v>17</v>
      </c>
      <c r="E936" s="5" t="s">
        <v>2711</v>
      </c>
      <c r="F936" s="71" t="s">
        <v>6107</v>
      </c>
      <c r="G936" s="22" t="s">
        <v>93</v>
      </c>
      <c r="H936" s="5" t="s">
        <v>217</v>
      </c>
      <c r="I936" s="5" t="s">
        <v>26</v>
      </c>
      <c r="J936" s="5" t="s">
        <v>4967</v>
      </c>
      <c r="K936" s="5" t="s">
        <v>2712</v>
      </c>
    </row>
    <row r="937" spans="1:11">
      <c r="A937" s="21">
        <v>935</v>
      </c>
      <c r="B937" s="5" t="s">
        <v>2713</v>
      </c>
      <c r="C937" s="23" t="s">
        <v>3189</v>
      </c>
      <c r="D937" s="23" t="s">
        <v>77</v>
      </c>
      <c r="E937" s="5" t="s">
        <v>2714</v>
      </c>
      <c r="F937" s="71" t="s">
        <v>6107</v>
      </c>
      <c r="G937" s="22" t="s">
        <v>198</v>
      </c>
      <c r="H937" s="5" t="s">
        <v>130</v>
      </c>
      <c r="I937" s="5" t="s">
        <v>42</v>
      </c>
      <c r="J937" s="5" t="s">
        <v>5286</v>
      </c>
      <c r="K937" s="5" t="s">
        <v>2715</v>
      </c>
    </row>
    <row r="938" spans="1:11">
      <c r="A938" s="21">
        <v>936</v>
      </c>
      <c r="B938" s="5" t="s">
        <v>2716</v>
      </c>
      <c r="C938" s="23" t="s">
        <v>2968</v>
      </c>
      <c r="D938" s="23" t="s">
        <v>17</v>
      </c>
      <c r="E938" s="5" t="s">
        <v>2717</v>
      </c>
      <c r="F938" s="71" t="s">
        <v>6107</v>
      </c>
      <c r="G938" s="22" t="s">
        <v>74</v>
      </c>
      <c r="H938" s="5" t="s">
        <v>41</v>
      </c>
      <c r="I938" s="5" t="s">
        <v>14</v>
      </c>
      <c r="J938" s="5" t="s">
        <v>4889</v>
      </c>
      <c r="K938" s="5" t="s">
        <v>2718</v>
      </c>
    </row>
    <row r="939" spans="1:11">
      <c r="A939" s="21">
        <v>937</v>
      </c>
      <c r="B939" s="5" t="s">
        <v>2719</v>
      </c>
      <c r="C939" s="23" t="s">
        <v>3066</v>
      </c>
      <c r="D939" s="23" t="s">
        <v>34</v>
      </c>
      <c r="E939" s="5" t="s">
        <v>2720</v>
      </c>
      <c r="F939" s="71" t="s">
        <v>6107</v>
      </c>
      <c r="G939" s="22" t="s">
        <v>40</v>
      </c>
      <c r="H939" s="5" t="s">
        <v>71</v>
      </c>
      <c r="I939" s="5" t="s">
        <v>50</v>
      </c>
      <c r="J939" s="5" t="s">
        <v>4879</v>
      </c>
      <c r="K939" s="5" t="s">
        <v>2721</v>
      </c>
    </row>
    <row r="940" spans="1:11">
      <c r="A940" s="21">
        <v>938</v>
      </c>
      <c r="B940" s="5" t="s">
        <v>2722</v>
      </c>
      <c r="C940" s="23" t="s">
        <v>3535</v>
      </c>
      <c r="D940" s="23" t="s">
        <v>77</v>
      </c>
      <c r="E940" s="5" t="s">
        <v>2723</v>
      </c>
      <c r="F940" s="71" t="s">
        <v>6107</v>
      </c>
      <c r="G940" s="22" t="s">
        <v>54</v>
      </c>
      <c r="H940" s="5" t="s">
        <v>140</v>
      </c>
      <c r="I940" s="5" t="s">
        <v>26</v>
      </c>
      <c r="J940" s="5" t="s">
        <v>5678</v>
      </c>
      <c r="K940" s="5" t="s">
        <v>2724</v>
      </c>
    </row>
    <row r="941" spans="1:11">
      <c r="A941" s="21">
        <v>939</v>
      </c>
      <c r="B941" s="5" t="s">
        <v>2725</v>
      </c>
      <c r="C941" s="23" t="s">
        <v>3753</v>
      </c>
      <c r="D941" s="23" t="s">
        <v>59</v>
      </c>
      <c r="E941" s="5" t="s">
        <v>2726</v>
      </c>
      <c r="F941" s="71" t="s">
        <v>6107</v>
      </c>
      <c r="G941" s="22" t="s">
        <v>3934</v>
      </c>
      <c r="H941" s="5" t="s">
        <v>13</v>
      </c>
      <c r="I941" s="5" t="s">
        <v>50</v>
      </c>
      <c r="J941" s="5" t="s">
        <v>5130</v>
      </c>
      <c r="K941" s="5" t="s">
        <v>2727</v>
      </c>
    </row>
    <row r="942" spans="1:11">
      <c r="A942" s="21">
        <v>940</v>
      </c>
      <c r="B942" s="5" t="s">
        <v>2728</v>
      </c>
      <c r="C942" s="23" t="s">
        <v>3650</v>
      </c>
      <c r="D942" s="23" t="s">
        <v>59</v>
      </c>
      <c r="E942" s="5" t="s">
        <v>2729</v>
      </c>
      <c r="F942" s="71" t="s">
        <v>6107</v>
      </c>
      <c r="G942" s="22" t="s">
        <v>179</v>
      </c>
      <c r="H942" s="5" t="s">
        <v>36</v>
      </c>
      <c r="I942" s="5" t="s">
        <v>56</v>
      </c>
      <c r="J942" s="5" t="s">
        <v>5151</v>
      </c>
      <c r="K942" s="5" t="s">
        <v>2730</v>
      </c>
    </row>
    <row r="943" spans="1:11">
      <c r="A943" s="21">
        <v>941</v>
      </c>
      <c r="B943" s="5" t="s">
        <v>2731</v>
      </c>
      <c r="C943" s="23" t="s">
        <v>3067</v>
      </c>
      <c r="D943" s="23" t="s">
        <v>34</v>
      </c>
      <c r="E943" s="5" t="s">
        <v>2732</v>
      </c>
      <c r="F943" s="71" t="s">
        <v>6107</v>
      </c>
      <c r="G943" s="22" t="s">
        <v>179</v>
      </c>
      <c r="H943" s="5" t="s">
        <v>3932</v>
      </c>
      <c r="I943" s="5" t="s">
        <v>56</v>
      </c>
      <c r="J943" s="5" t="s">
        <v>4959</v>
      </c>
      <c r="K943" s="5" t="s">
        <v>2733</v>
      </c>
    </row>
    <row r="944" spans="1:11">
      <c r="A944" s="21">
        <v>942</v>
      </c>
      <c r="B944" s="5" t="s">
        <v>2734</v>
      </c>
      <c r="C944" s="23" t="s">
        <v>3754</v>
      </c>
      <c r="D944" s="23" t="s">
        <v>59</v>
      </c>
      <c r="E944" s="5" t="s">
        <v>2735</v>
      </c>
      <c r="F944" s="71" t="s">
        <v>6107</v>
      </c>
      <c r="G944" s="22" t="s">
        <v>3934</v>
      </c>
      <c r="H944" s="5" t="s">
        <v>13</v>
      </c>
      <c r="I944" s="5" t="s">
        <v>42</v>
      </c>
      <c r="J944" s="5" t="s">
        <v>5179</v>
      </c>
      <c r="K944" s="5" t="s">
        <v>2736</v>
      </c>
    </row>
    <row r="945" spans="1:11">
      <c r="A945" s="21">
        <v>943</v>
      </c>
      <c r="B945" s="5" t="s">
        <v>2737</v>
      </c>
      <c r="C945" s="23" t="s">
        <v>3068</v>
      </c>
      <c r="D945" s="23" t="s">
        <v>34</v>
      </c>
      <c r="E945" s="5" t="s">
        <v>2738</v>
      </c>
      <c r="F945" s="71" t="s">
        <v>6107</v>
      </c>
      <c r="G945" s="22" t="s">
        <v>74</v>
      </c>
      <c r="H945" s="5" t="s">
        <v>71</v>
      </c>
      <c r="I945" s="5" t="s">
        <v>50</v>
      </c>
      <c r="J945" s="5" t="s">
        <v>4918</v>
      </c>
      <c r="K945" s="5" t="s">
        <v>2739</v>
      </c>
    </row>
    <row r="946" spans="1:11">
      <c r="A946" s="21">
        <v>944</v>
      </c>
      <c r="B946" s="5" t="s">
        <v>2740</v>
      </c>
      <c r="C946" s="23" t="s">
        <v>3276</v>
      </c>
      <c r="D946" s="23" t="s">
        <v>77</v>
      </c>
      <c r="E946" s="5" t="s">
        <v>1784</v>
      </c>
      <c r="F946" s="71" t="s">
        <v>6107</v>
      </c>
      <c r="G946" s="22" t="s">
        <v>179</v>
      </c>
      <c r="H946" s="5" t="s">
        <v>3932</v>
      </c>
      <c r="I946" s="5" t="s">
        <v>56</v>
      </c>
      <c r="J946" s="5" t="s">
        <v>5721</v>
      </c>
      <c r="K946" s="5" t="s">
        <v>2741</v>
      </c>
    </row>
    <row r="947" spans="1:11">
      <c r="A947" s="21">
        <v>945</v>
      </c>
      <c r="B947" s="5" t="s">
        <v>2742</v>
      </c>
      <c r="C947" s="23" t="s">
        <v>3859</v>
      </c>
      <c r="D947" s="23" t="s">
        <v>59</v>
      </c>
      <c r="E947" s="5" t="s">
        <v>2743</v>
      </c>
      <c r="F947" s="71" t="s">
        <v>6107</v>
      </c>
      <c r="G947" s="22" t="s">
        <v>144</v>
      </c>
      <c r="H947" s="5" t="s">
        <v>25</v>
      </c>
      <c r="I947" s="5" t="s">
        <v>67</v>
      </c>
      <c r="J947" s="5" t="s">
        <v>4922</v>
      </c>
      <c r="K947" s="5">
        <v>867290995</v>
      </c>
    </row>
    <row r="948" spans="1:11">
      <c r="A948" s="21">
        <v>946</v>
      </c>
      <c r="B948" s="5" t="s">
        <v>2744</v>
      </c>
      <c r="C948" s="23" t="s">
        <v>3323</v>
      </c>
      <c r="D948" s="23" t="s">
        <v>34</v>
      </c>
      <c r="E948" s="5" t="s">
        <v>2745</v>
      </c>
      <c r="F948" s="71" t="s">
        <v>6107</v>
      </c>
      <c r="G948" s="22" t="s">
        <v>179</v>
      </c>
      <c r="H948" s="5" t="s">
        <v>3932</v>
      </c>
      <c r="I948" s="5" t="s">
        <v>42</v>
      </c>
      <c r="J948" s="5" t="s">
        <v>5015</v>
      </c>
      <c r="K948" s="5" t="s">
        <v>2746</v>
      </c>
    </row>
    <row r="949" spans="1:11">
      <c r="A949" s="21">
        <v>947</v>
      </c>
      <c r="B949" s="5" t="s">
        <v>2747</v>
      </c>
      <c r="C949" s="23" t="s">
        <v>3109</v>
      </c>
      <c r="D949" s="23" t="s">
        <v>77</v>
      </c>
      <c r="E949" s="5" t="s">
        <v>2748</v>
      </c>
      <c r="F949" s="71" t="s">
        <v>6107</v>
      </c>
      <c r="G949" s="22" t="s">
        <v>179</v>
      </c>
      <c r="H949" s="22" t="s">
        <v>3932</v>
      </c>
      <c r="I949" s="5" t="s">
        <v>56</v>
      </c>
      <c r="J949" s="5" t="s">
        <v>5550</v>
      </c>
      <c r="K949" s="5" t="s">
        <v>2749</v>
      </c>
    </row>
    <row r="950" spans="1:11">
      <c r="A950" s="21">
        <v>948</v>
      </c>
      <c r="B950" s="5" t="s">
        <v>2750</v>
      </c>
      <c r="C950" s="23" t="s">
        <v>3755</v>
      </c>
      <c r="D950" s="23" t="s">
        <v>59</v>
      </c>
      <c r="E950" s="5" t="s">
        <v>2751</v>
      </c>
      <c r="F950" s="71" t="s">
        <v>6107</v>
      </c>
      <c r="G950" s="22" t="s">
        <v>3934</v>
      </c>
      <c r="H950" s="5" t="s">
        <v>13</v>
      </c>
      <c r="I950" s="5" t="s">
        <v>21</v>
      </c>
      <c r="J950" s="5" t="s">
        <v>5119</v>
      </c>
      <c r="K950" s="5" t="s">
        <v>2752</v>
      </c>
    </row>
    <row r="951" spans="1:11">
      <c r="A951" s="21">
        <v>949</v>
      </c>
      <c r="B951" s="5" t="s">
        <v>2753</v>
      </c>
      <c r="C951" s="23" t="s">
        <v>3536</v>
      </c>
      <c r="D951" s="23" t="s">
        <v>77</v>
      </c>
      <c r="E951" s="5" t="s">
        <v>2754</v>
      </c>
      <c r="F951" s="71" t="s">
        <v>6107</v>
      </c>
      <c r="G951" s="22" t="s">
        <v>102</v>
      </c>
      <c r="H951" s="5" t="s">
        <v>55</v>
      </c>
      <c r="I951" s="5" t="s">
        <v>26</v>
      </c>
      <c r="J951" s="5" t="s">
        <v>4878</v>
      </c>
      <c r="K951" s="5" t="s">
        <v>2755</v>
      </c>
    </row>
    <row r="952" spans="1:11">
      <c r="A952" s="21">
        <v>950</v>
      </c>
      <c r="B952" s="5" t="s">
        <v>2756</v>
      </c>
      <c r="C952" s="23" t="s">
        <v>3075</v>
      </c>
      <c r="D952" s="23" t="s">
        <v>59</v>
      </c>
      <c r="E952" s="5" t="s">
        <v>2757</v>
      </c>
      <c r="F952" s="71" t="s">
        <v>6107</v>
      </c>
      <c r="G952" s="22" t="s">
        <v>144</v>
      </c>
      <c r="H952" s="5" t="s">
        <v>25</v>
      </c>
      <c r="I952" s="5" t="s">
        <v>14</v>
      </c>
      <c r="J952" s="5" t="s">
        <v>5082</v>
      </c>
      <c r="K952" s="5" t="s">
        <v>2758</v>
      </c>
    </row>
    <row r="953" spans="1:11">
      <c r="A953" s="21">
        <v>951</v>
      </c>
      <c r="B953" s="5" t="s">
        <v>2759</v>
      </c>
      <c r="C953" s="23" t="s">
        <v>3651</v>
      </c>
      <c r="D953" s="23" t="s">
        <v>59</v>
      </c>
      <c r="E953" s="5" t="s">
        <v>2760</v>
      </c>
      <c r="F953" s="71" t="s">
        <v>6107</v>
      </c>
      <c r="G953" s="22" t="s">
        <v>179</v>
      </c>
      <c r="H953" s="5" t="s">
        <v>36</v>
      </c>
      <c r="I953" s="5" t="s">
        <v>67</v>
      </c>
      <c r="J953" s="5" t="s">
        <v>5752</v>
      </c>
      <c r="K953" s="5" t="s">
        <v>2761</v>
      </c>
    </row>
    <row r="954" spans="1:11">
      <c r="A954" s="21">
        <v>952</v>
      </c>
      <c r="B954" s="5" t="s">
        <v>2762</v>
      </c>
      <c r="C954" s="23" t="s">
        <v>3277</v>
      </c>
      <c r="D954" s="23" t="s">
        <v>77</v>
      </c>
      <c r="E954" s="5" t="s">
        <v>2763</v>
      </c>
      <c r="F954" s="71" t="s">
        <v>6107</v>
      </c>
      <c r="G954" s="22" t="s">
        <v>179</v>
      </c>
      <c r="H954" s="5" t="s">
        <v>3932</v>
      </c>
      <c r="I954" s="5" t="s">
        <v>50</v>
      </c>
      <c r="J954" s="5" t="s">
        <v>5612</v>
      </c>
      <c r="K954" s="5" t="s">
        <v>2764</v>
      </c>
    </row>
    <row r="955" spans="1:11">
      <c r="A955" s="21">
        <v>953</v>
      </c>
      <c r="B955" s="5" t="s">
        <v>2765</v>
      </c>
      <c r="C955" s="23" t="s">
        <v>3860</v>
      </c>
      <c r="D955" s="23" t="s">
        <v>59</v>
      </c>
      <c r="E955" s="5" t="s">
        <v>2766</v>
      </c>
      <c r="F955" s="71" t="s">
        <v>6107</v>
      </c>
      <c r="G955" s="22" t="s">
        <v>144</v>
      </c>
      <c r="H955" s="5" t="s">
        <v>25</v>
      </c>
      <c r="I955" s="5" t="s">
        <v>56</v>
      </c>
      <c r="J955" s="5" t="s">
        <v>5248</v>
      </c>
      <c r="K955" s="5" t="s">
        <v>2767</v>
      </c>
    </row>
    <row r="956" spans="1:11">
      <c r="A956" s="21">
        <v>954</v>
      </c>
      <c r="B956" s="5" t="s">
        <v>2768</v>
      </c>
      <c r="C956" s="23" t="s">
        <v>3110</v>
      </c>
      <c r="D956" s="23" t="s">
        <v>77</v>
      </c>
      <c r="E956" s="5" t="s">
        <v>2769</v>
      </c>
      <c r="F956" s="71" t="s">
        <v>6107</v>
      </c>
      <c r="G956" s="22" t="s">
        <v>19</v>
      </c>
      <c r="H956" s="5" t="s">
        <v>130</v>
      </c>
      <c r="I956" s="5" t="s">
        <v>50</v>
      </c>
      <c r="J956" s="5" t="s">
        <v>5650</v>
      </c>
      <c r="K956" s="5" t="s">
        <v>2770</v>
      </c>
    </row>
    <row r="957" spans="1:11">
      <c r="A957" s="21">
        <v>955</v>
      </c>
      <c r="B957" s="5" t="s">
        <v>2771</v>
      </c>
      <c r="C957" s="23" t="s">
        <v>3429</v>
      </c>
      <c r="D957" s="23" t="s">
        <v>17</v>
      </c>
      <c r="E957" s="5" t="s">
        <v>2772</v>
      </c>
      <c r="F957" s="71" t="s">
        <v>6107</v>
      </c>
      <c r="G957" s="22" t="s">
        <v>3933</v>
      </c>
      <c r="H957" s="5" t="s">
        <v>3932</v>
      </c>
      <c r="I957" s="5" t="s">
        <v>67</v>
      </c>
      <c r="J957" s="5" t="s">
        <v>5002</v>
      </c>
      <c r="K957" s="5" t="s">
        <v>2773</v>
      </c>
    </row>
    <row r="958" spans="1:11">
      <c r="A958" s="21">
        <v>956</v>
      </c>
      <c r="B958" s="5" t="s">
        <v>2774</v>
      </c>
      <c r="C958" s="23" t="s">
        <v>3430</v>
      </c>
      <c r="D958" s="23" t="s">
        <v>17</v>
      </c>
      <c r="E958" s="5" t="s">
        <v>2775</v>
      </c>
      <c r="F958" s="71" t="s">
        <v>6107</v>
      </c>
      <c r="G958" s="22" t="s">
        <v>3933</v>
      </c>
      <c r="H958" s="5" t="s">
        <v>3932</v>
      </c>
      <c r="I958" s="5" t="s">
        <v>67</v>
      </c>
      <c r="J958" s="5" t="s">
        <v>5542</v>
      </c>
      <c r="K958" s="5">
        <v>851656548</v>
      </c>
    </row>
    <row r="959" spans="1:11">
      <c r="A959" s="21">
        <v>957</v>
      </c>
      <c r="B959" s="5" t="s">
        <v>2776</v>
      </c>
      <c r="C959" s="23" t="s">
        <v>3537</v>
      </c>
      <c r="D959" s="23" t="s">
        <v>77</v>
      </c>
      <c r="E959" s="5" t="s">
        <v>1020</v>
      </c>
      <c r="F959" s="71" t="s">
        <v>6107</v>
      </c>
      <c r="G959" s="22" t="s">
        <v>160</v>
      </c>
      <c r="H959" s="5" t="s">
        <v>3932</v>
      </c>
      <c r="I959" s="5" t="s">
        <v>67</v>
      </c>
      <c r="J959" s="5" t="s">
        <v>5128</v>
      </c>
      <c r="K959" s="5" t="s">
        <v>2777</v>
      </c>
    </row>
    <row r="960" spans="1:11">
      <c r="A960" s="21">
        <v>958</v>
      </c>
      <c r="B960" s="5" t="s">
        <v>2778</v>
      </c>
      <c r="C960" s="23" t="s">
        <v>3861</v>
      </c>
      <c r="D960" s="23" t="s">
        <v>59</v>
      </c>
      <c r="E960" s="5" t="s">
        <v>2779</v>
      </c>
      <c r="F960" s="71" t="s">
        <v>6107</v>
      </c>
      <c r="G960" s="22" t="s">
        <v>144</v>
      </c>
      <c r="H960" s="5" t="s">
        <v>25</v>
      </c>
      <c r="I960" s="5" t="s">
        <v>26</v>
      </c>
      <c r="J960" s="5" t="s">
        <v>5025</v>
      </c>
      <c r="K960" s="5" t="s">
        <v>2780</v>
      </c>
    </row>
    <row r="961" spans="1:11">
      <c r="A961" s="21">
        <v>959</v>
      </c>
      <c r="B961" s="5" t="s">
        <v>2781</v>
      </c>
      <c r="C961" s="23" t="s">
        <v>2936</v>
      </c>
      <c r="D961" s="23" t="s">
        <v>17</v>
      </c>
      <c r="E961" s="5" t="s">
        <v>2782</v>
      </c>
      <c r="F961" s="71" t="s">
        <v>6107</v>
      </c>
      <c r="G961" s="22" t="s">
        <v>119</v>
      </c>
      <c r="H961" s="5" t="s">
        <v>120</v>
      </c>
      <c r="I961" s="5" t="s">
        <v>56</v>
      </c>
      <c r="J961" s="5" t="s">
        <v>5184</v>
      </c>
      <c r="K961" s="5" t="s">
        <v>2783</v>
      </c>
    </row>
    <row r="962" spans="1:11">
      <c r="A962" s="21">
        <v>960</v>
      </c>
      <c r="B962" s="5" t="s">
        <v>2784</v>
      </c>
      <c r="C962" s="23" t="s">
        <v>3069</v>
      </c>
      <c r="D962" s="23" t="s">
        <v>34</v>
      </c>
      <c r="E962" s="5" t="s">
        <v>2785</v>
      </c>
      <c r="F962" s="71" t="s">
        <v>6107</v>
      </c>
      <c r="G962" s="22" t="s">
        <v>179</v>
      </c>
      <c r="H962" s="5" t="s">
        <v>3932</v>
      </c>
      <c r="I962" s="5" t="s">
        <v>56</v>
      </c>
      <c r="J962" s="5" t="s">
        <v>4998</v>
      </c>
      <c r="K962" s="5" t="s">
        <v>2786</v>
      </c>
    </row>
    <row r="963" spans="1:11">
      <c r="A963" s="21">
        <v>961</v>
      </c>
      <c r="B963" s="5" t="s">
        <v>2787</v>
      </c>
      <c r="C963" s="23" t="s">
        <v>3574</v>
      </c>
      <c r="D963" s="23" t="s">
        <v>59</v>
      </c>
      <c r="E963" s="5" t="s">
        <v>2788</v>
      </c>
      <c r="F963" s="71" t="s">
        <v>6107</v>
      </c>
      <c r="G963" s="22" t="s">
        <v>12</v>
      </c>
      <c r="H963" s="5" t="s">
        <v>13</v>
      </c>
      <c r="I963" s="5" t="s">
        <v>42</v>
      </c>
      <c r="J963" s="5" t="s">
        <v>5526</v>
      </c>
      <c r="K963" s="5" t="s">
        <v>2789</v>
      </c>
    </row>
    <row r="964" spans="1:11">
      <c r="A964" s="21">
        <v>962</v>
      </c>
      <c r="B964" s="5" t="s">
        <v>2790</v>
      </c>
      <c r="C964" s="23" t="s">
        <v>3190</v>
      </c>
      <c r="D964" s="23" t="s">
        <v>77</v>
      </c>
      <c r="E964" s="5" t="s">
        <v>2791</v>
      </c>
      <c r="F964" s="71" t="s">
        <v>6107</v>
      </c>
      <c r="G964" s="22" t="s">
        <v>198</v>
      </c>
      <c r="H964" s="5" t="s">
        <v>20</v>
      </c>
      <c r="I964" s="5" t="s">
        <v>50</v>
      </c>
      <c r="J964" s="5" t="s">
        <v>4876</v>
      </c>
      <c r="K964" s="5" t="s">
        <v>2792</v>
      </c>
    </row>
    <row r="965" spans="1:11">
      <c r="A965" s="21">
        <v>963</v>
      </c>
      <c r="B965" s="5" t="s">
        <v>2793</v>
      </c>
      <c r="C965" s="23" t="s">
        <v>3862</v>
      </c>
      <c r="D965" s="23" t="s">
        <v>59</v>
      </c>
      <c r="E965" s="5" t="s">
        <v>529</v>
      </c>
      <c r="F965" s="71" t="s">
        <v>6107</v>
      </c>
      <c r="G965" s="22" t="s">
        <v>144</v>
      </c>
      <c r="H965" s="5" t="s">
        <v>46</v>
      </c>
      <c r="I965" s="5" t="s">
        <v>26</v>
      </c>
      <c r="J965" s="5" t="s">
        <v>5264</v>
      </c>
      <c r="K965" s="5">
        <v>89756465601</v>
      </c>
    </row>
    <row r="966" spans="1:11">
      <c r="A966" s="21">
        <v>964</v>
      </c>
      <c r="B966" s="5" t="s">
        <v>2794</v>
      </c>
      <c r="C966" s="23" t="s">
        <v>3812</v>
      </c>
      <c r="D966" s="23" t="s">
        <v>59</v>
      </c>
      <c r="E966" s="5" t="s">
        <v>2795</v>
      </c>
      <c r="F966" s="71" t="s">
        <v>6107</v>
      </c>
      <c r="G966" s="22" t="s">
        <v>24</v>
      </c>
      <c r="H966" s="5" t="s">
        <v>25</v>
      </c>
      <c r="I966" s="5" t="s">
        <v>14</v>
      </c>
      <c r="J966" s="5" t="s">
        <v>5294</v>
      </c>
      <c r="K966" s="5" t="s">
        <v>2796</v>
      </c>
    </row>
    <row r="967" spans="1:11">
      <c r="A967" s="21">
        <v>965</v>
      </c>
      <c r="B967" s="5" t="s">
        <v>2797</v>
      </c>
      <c r="C967" s="23" t="s">
        <v>3538</v>
      </c>
      <c r="D967" s="23" t="s">
        <v>17</v>
      </c>
      <c r="E967" s="5" t="s">
        <v>535</v>
      </c>
      <c r="F967" s="71" t="s">
        <v>6107</v>
      </c>
      <c r="G967" s="22" t="s">
        <v>160</v>
      </c>
      <c r="H967" s="5" t="s">
        <v>3932</v>
      </c>
      <c r="I967" s="5" t="s">
        <v>21</v>
      </c>
      <c r="J967" s="5" t="s">
        <v>5095</v>
      </c>
      <c r="K967" s="5" t="s">
        <v>2798</v>
      </c>
    </row>
    <row r="968" spans="1:11">
      <c r="A968" s="21">
        <v>966</v>
      </c>
      <c r="B968" s="5" t="s">
        <v>2799</v>
      </c>
      <c r="C968" s="23" t="s">
        <v>3652</v>
      </c>
      <c r="D968" s="23" t="s">
        <v>59</v>
      </c>
      <c r="E968" s="5" t="s">
        <v>2171</v>
      </c>
      <c r="F968" s="71" t="s">
        <v>6107</v>
      </c>
      <c r="G968" s="22" t="s">
        <v>179</v>
      </c>
      <c r="H968" s="5" t="s">
        <v>13</v>
      </c>
      <c r="I968" s="5" t="s">
        <v>26</v>
      </c>
      <c r="J968" s="5" t="s">
        <v>4877</v>
      </c>
      <c r="K968" s="5" t="s">
        <v>2800</v>
      </c>
    </row>
    <row r="969" spans="1:11">
      <c r="A969" s="21">
        <v>967</v>
      </c>
      <c r="B969" s="5" t="s">
        <v>2801</v>
      </c>
      <c r="C969" s="23" t="s">
        <v>3813</v>
      </c>
      <c r="D969" s="23" t="s">
        <v>59</v>
      </c>
      <c r="E969" s="5" t="s">
        <v>2802</v>
      </c>
      <c r="F969" s="71" t="s">
        <v>6107</v>
      </c>
      <c r="G969" s="22" t="s">
        <v>24</v>
      </c>
      <c r="H969" s="5" t="s">
        <v>25</v>
      </c>
      <c r="I969" s="5" t="s">
        <v>67</v>
      </c>
      <c r="J969" s="5" t="s">
        <v>5524</v>
      </c>
      <c r="K969" s="5" t="s">
        <v>2803</v>
      </c>
    </row>
    <row r="970" spans="1:11">
      <c r="A970" s="21">
        <v>968</v>
      </c>
      <c r="B970" s="5" t="s">
        <v>2804</v>
      </c>
      <c r="C970" s="23" t="s">
        <v>3431</v>
      </c>
      <c r="D970" s="23" t="s">
        <v>17</v>
      </c>
      <c r="E970" s="5" t="s">
        <v>2805</v>
      </c>
      <c r="F970" s="71" t="s">
        <v>6107</v>
      </c>
      <c r="G970" s="22" t="s">
        <v>3933</v>
      </c>
      <c r="H970" s="5" t="s">
        <v>3932</v>
      </c>
      <c r="I970" s="5" t="s">
        <v>67</v>
      </c>
      <c r="J970" s="5" t="s">
        <v>5019</v>
      </c>
      <c r="K970" s="5" t="s">
        <v>2806</v>
      </c>
    </row>
    <row r="971" spans="1:11">
      <c r="A971" s="21">
        <v>969</v>
      </c>
      <c r="B971" s="5" t="s">
        <v>2807</v>
      </c>
      <c r="C971" s="23" t="s">
        <v>3756</v>
      </c>
      <c r="D971" s="23" t="s">
        <v>59</v>
      </c>
      <c r="E971" s="5" t="s">
        <v>2808</v>
      </c>
      <c r="F971" s="71" t="s">
        <v>6107</v>
      </c>
      <c r="G971" s="22" t="s">
        <v>3934</v>
      </c>
      <c r="H971" s="5" t="s">
        <v>13</v>
      </c>
      <c r="I971" s="5" t="s">
        <v>14</v>
      </c>
      <c r="J971" s="5" t="s">
        <v>5022</v>
      </c>
      <c r="K971" s="5" t="s">
        <v>2809</v>
      </c>
    </row>
    <row r="972" spans="1:11">
      <c r="A972" s="21">
        <v>970</v>
      </c>
      <c r="B972" s="5" t="s">
        <v>2810</v>
      </c>
      <c r="C972" s="23" t="s">
        <v>3278</v>
      </c>
      <c r="D972" s="23" t="s">
        <v>77</v>
      </c>
      <c r="E972" s="5" t="s">
        <v>2811</v>
      </c>
      <c r="F972" s="71" t="s">
        <v>6107</v>
      </c>
      <c r="G972" s="22" t="s">
        <v>179</v>
      </c>
      <c r="H972" s="5" t="s">
        <v>3932</v>
      </c>
      <c r="I972" s="5" t="s">
        <v>42</v>
      </c>
      <c r="J972" s="5" t="s">
        <v>5304</v>
      </c>
      <c r="K972" s="5">
        <v>832489269</v>
      </c>
    </row>
    <row r="973" spans="1:11">
      <c r="A973" s="21">
        <v>971</v>
      </c>
      <c r="B973" s="5" t="s">
        <v>2812</v>
      </c>
      <c r="C973" s="23" t="s">
        <v>3279</v>
      </c>
      <c r="D973" s="23" t="s">
        <v>77</v>
      </c>
      <c r="E973" s="5" t="s">
        <v>2353</v>
      </c>
      <c r="F973" s="71" t="s">
        <v>6107</v>
      </c>
      <c r="G973" s="22" t="s">
        <v>179</v>
      </c>
      <c r="H973" s="5" t="s">
        <v>3932</v>
      </c>
      <c r="I973" s="5" t="s">
        <v>50</v>
      </c>
      <c r="J973" s="5" t="s">
        <v>5069</v>
      </c>
      <c r="K973" s="5">
        <v>89756465602</v>
      </c>
    </row>
    <row r="974" spans="1:11">
      <c r="A974" s="21">
        <v>972</v>
      </c>
      <c r="B974" s="5" t="s">
        <v>2813</v>
      </c>
      <c r="C974" s="23" t="s">
        <v>3757</v>
      </c>
      <c r="D974" s="23" t="s">
        <v>59</v>
      </c>
      <c r="E974" s="5" t="s">
        <v>2814</v>
      </c>
      <c r="F974" s="71" t="s">
        <v>6107</v>
      </c>
      <c r="G974" s="22" t="s">
        <v>3934</v>
      </c>
      <c r="H974" s="5" t="s">
        <v>13</v>
      </c>
      <c r="I974" s="5" t="s">
        <v>14</v>
      </c>
      <c r="J974" s="5" t="s">
        <v>5425</v>
      </c>
      <c r="K974" s="5" t="s">
        <v>2815</v>
      </c>
    </row>
    <row r="975" spans="1:11">
      <c r="A975" s="21">
        <v>973</v>
      </c>
      <c r="B975" s="5" t="s">
        <v>2816</v>
      </c>
      <c r="C975" s="23" t="s">
        <v>2969</v>
      </c>
      <c r="D975" s="23" t="s">
        <v>17</v>
      </c>
      <c r="E975" s="5" t="s">
        <v>2817</v>
      </c>
      <c r="F975" s="71" t="s">
        <v>6107</v>
      </c>
      <c r="G975" s="22" t="s">
        <v>85</v>
      </c>
      <c r="H975" s="5" t="s">
        <v>120</v>
      </c>
      <c r="I975" s="5" t="s">
        <v>26</v>
      </c>
      <c r="J975" s="5" t="s">
        <v>4862</v>
      </c>
      <c r="K975" s="5" t="s">
        <v>2818</v>
      </c>
    </row>
    <row r="976" spans="1:11">
      <c r="A976" s="21">
        <v>974</v>
      </c>
      <c r="B976" s="5" t="s">
        <v>2819</v>
      </c>
      <c r="C976" s="23" t="s">
        <v>2965</v>
      </c>
      <c r="D976" s="23" t="s">
        <v>17</v>
      </c>
      <c r="E976" s="5" t="s">
        <v>2820</v>
      </c>
      <c r="F976" s="71" t="s">
        <v>6107</v>
      </c>
      <c r="G976" s="22" t="s">
        <v>85</v>
      </c>
      <c r="H976" s="5" t="s">
        <v>120</v>
      </c>
      <c r="I976" s="5" t="s">
        <v>21</v>
      </c>
      <c r="J976" s="5" t="s">
        <v>4954</v>
      </c>
      <c r="K976" s="5" t="s">
        <v>2821</v>
      </c>
    </row>
    <row r="977" spans="1:11">
      <c r="A977" s="21">
        <v>975</v>
      </c>
      <c r="B977" s="5" t="s">
        <v>2822</v>
      </c>
      <c r="C977" s="23" t="s">
        <v>2972</v>
      </c>
      <c r="D977" s="23" t="s">
        <v>34</v>
      </c>
      <c r="E977" s="5" t="s">
        <v>2823</v>
      </c>
      <c r="F977" s="71" t="s">
        <v>6107</v>
      </c>
      <c r="G977" s="22" t="s">
        <v>40</v>
      </c>
      <c r="H977" s="5" t="s">
        <v>71</v>
      </c>
      <c r="I977" s="5" t="s">
        <v>26</v>
      </c>
      <c r="J977" s="5" t="s">
        <v>5492</v>
      </c>
      <c r="K977" s="5" t="s">
        <v>2824</v>
      </c>
    </row>
    <row r="978" spans="1:11">
      <c r="A978" s="21">
        <v>976</v>
      </c>
      <c r="B978" s="5" t="s">
        <v>2825</v>
      </c>
      <c r="C978" s="23" t="s">
        <v>3280</v>
      </c>
      <c r="D978" s="23" t="s">
        <v>34</v>
      </c>
      <c r="E978" s="5" t="s">
        <v>2826</v>
      </c>
      <c r="F978" s="71" t="s">
        <v>6107</v>
      </c>
      <c r="G978" s="22" t="s">
        <v>179</v>
      </c>
      <c r="H978" s="5" t="s">
        <v>3932</v>
      </c>
      <c r="I978" s="5" t="s">
        <v>50</v>
      </c>
      <c r="J978" s="5" t="s">
        <v>4872</v>
      </c>
      <c r="K978" s="5" t="s">
        <v>2827</v>
      </c>
    </row>
    <row r="979" spans="1:11">
      <c r="A979" s="21">
        <v>977</v>
      </c>
      <c r="B979" s="5" t="s">
        <v>2828</v>
      </c>
      <c r="C979" s="23" t="s">
        <v>3653</v>
      </c>
      <c r="D979" s="23" t="s">
        <v>59</v>
      </c>
      <c r="E979" s="5" t="s">
        <v>2829</v>
      </c>
      <c r="F979" s="71" t="s">
        <v>6107</v>
      </c>
      <c r="G979" s="22" t="s">
        <v>160</v>
      </c>
      <c r="H979" s="5" t="s">
        <v>36</v>
      </c>
      <c r="I979" s="5" t="s">
        <v>56</v>
      </c>
      <c r="J979" s="5" t="s">
        <v>4953</v>
      </c>
      <c r="K979" s="5" t="s">
        <v>2830</v>
      </c>
    </row>
    <row r="980" spans="1:11">
      <c r="A980" s="21">
        <v>978</v>
      </c>
      <c r="B980" s="5" t="s">
        <v>2831</v>
      </c>
      <c r="C980" s="23" t="s">
        <v>3758</v>
      </c>
      <c r="D980" s="23" t="s">
        <v>59</v>
      </c>
      <c r="E980" s="5" t="s">
        <v>2832</v>
      </c>
      <c r="F980" s="71" t="s">
        <v>6107</v>
      </c>
      <c r="G980" s="22" t="s">
        <v>3934</v>
      </c>
      <c r="H980" s="5" t="s">
        <v>13</v>
      </c>
      <c r="I980" s="5" t="s">
        <v>50</v>
      </c>
      <c r="J980" s="5" t="s">
        <v>5693</v>
      </c>
      <c r="K980" s="5" t="s">
        <v>2833</v>
      </c>
    </row>
    <row r="981" spans="1:11">
      <c r="A981" s="21">
        <v>979</v>
      </c>
      <c r="B981" s="5" t="s">
        <v>2834</v>
      </c>
      <c r="C981" s="23" t="s">
        <v>3654</v>
      </c>
      <c r="D981" s="23" t="s">
        <v>59</v>
      </c>
      <c r="E981" s="5" t="s">
        <v>2835</v>
      </c>
      <c r="F981" s="71" t="s">
        <v>6107</v>
      </c>
      <c r="G981" s="22" t="s">
        <v>160</v>
      </c>
      <c r="H981" s="5" t="s">
        <v>36</v>
      </c>
      <c r="I981" s="5" t="s">
        <v>26</v>
      </c>
      <c r="J981" s="5" t="s">
        <v>5590</v>
      </c>
      <c r="K981" s="5" t="s">
        <v>2836</v>
      </c>
    </row>
    <row r="982" spans="1:11">
      <c r="A982" s="21">
        <v>980</v>
      </c>
      <c r="B982" s="5" t="s">
        <v>2837</v>
      </c>
      <c r="C982" s="23" t="s">
        <v>3281</v>
      </c>
      <c r="D982" s="23" t="s">
        <v>77</v>
      </c>
      <c r="E982" s="5" t="s">
        <v>2838</v>
      </c>
      <c r="F982" s="71" t="s">
        <v>6107</v>
      </c>
      <c r="G982" s="22" t="s">
        <v>179</v>
      </c>
      <c r="H982" s="5" t="s">
        <v>3932</v>
      </c>
      <c r="I982" s="5" t="s">
        <v>42</v>
      </c>
      <c r="J982" s="5" t="s">
        <v>5070</v>
      </c>
      <c r="K982" s="5" t="s">
        <v>2839</v>
      </c>
    </row>
    <row r="983" spans="1:11">
      <c r="A983" s="21">
        <v>981</v>
      </c>
      <c r="B983" s="5" t="s">
        <v>2840</v>
      </c>
      <c r="C983" s="23" t="s">
        <v>3090</v>
      </c>
      <c r="D983" s="23" t="s">
        <v>59</v>
      </c>
      <c r="E983" s="5" t="s">
        <v>2841</v>
      </c>
      <c r="F983" s="71" t="s">
        <v>6107</v>
      </c>
      <c r="G983" s="22" t="s">
        <v>3934</v>
      </c>
      <c r="H983" s="5" t="s">
        <v>13</v>
      </c>
      <c r="I983" s="5" t="s">
        <v>56</v>
      </c>
      <c r="J983" s="5" t="s">
        <v>5383</v>
      </c>
      <c r="K983" s="5" t="s">
        <v>2842</v>
      </c>
    </row>
    <row r="984" spans="1:11">
      <c r="A984" s="21">
        <v>982</v>
      </c>
      <c r="B984" s="5" t="s">
        <v>2843</v>
      </c>
      <c r="C984" s="23" t="s">
        <v>3814</v>
      </c>
      <c r="D984" s="23" t="s">
        <v>59</v>
      </c>
      <c r="E984" s="5" t="s">
        <v>2844</v>
      </c>
      <c r="F984" s="71" t="s">
        <v>6107</v>
      </c>
      <c r="G984" s="22" t="s">
        <v>24</v>
      </c>
      <c r="H984" s="5" t="s">
        <v>46</v>
      </c>
      <c r="I984" s="5" t="s">
        <v>14</v>
      </c>
      <c r="J984" s="5" t="s">
        <v>5656</v>
      </c>
      <c r="K984" s="5" t="s">
        <v>2845</v>
      </c>
    </row>
    <row r="985" spans="1:11">
      <c r="A985" s="21">
        <v>983</v>
      </c>
      <c r="B985" s="5" t="s">
        <v>2846</v>
      </c>
      <c r="C985" s="23" t="s">
        <v>3191</v>
      </c>
      <c r="D985" s="23" t="s">
        <v>77</v>
      </c>
      <c r="E985" s="5" t="s">
        <v>2201</v>
      </c>
      <c r="F985" s="71" t="s">
        <v>6107</v>
      </c>
      <c r="G985" s="22" t="s">
        <v>66</v>
      </c>
      <c r="H985" s="5" t="s">
        <v>20</v>
      </c>
      <c r="I985" s="5" t="s">
        <v>42</v>
      </c>
      <c r="J985" s="5" t="s">
        <v>4841</v>
      </c>
      <c r="K985" s="5" t="s">
        <v>2847</v>
      </c>
    </row>
    <row r="986" spans="1:11">
      <c r="A986" s="21">
        <v>984</v>
      </c>
      <c r="B986" s="5" t="s">
        <v>2848</v>
      </c>
      <c r="C986" s="23" t="s">
        <v>3192</v>
      </c>
      <c r="D986" s="23" t="s">
        <v>77</v>
      </c>
      <c r="E986" s="5" t="s">
        <v>2849</v>
      </c>
      <c r="F986" s="71" t="s">
        <v>6107</v>
      </c>
      <c r="G986" s="22" t="s">
        <v>198</v>
      </c>
      <c r="H986" s="5" t="s">
        <v>20</v>
      </c>
      <c r="I986" s="5" t="s">
        <v>50</v>
      </c>
      <c r="J986" s="5" t="s">
        <v>5080</v>
      </c>
      <c r="K986" s="5" t="s">
        <v>2850</v>
      </c>
    </row>
    <row r="987" spans="1:11">
      <c r="A987" s="21">
        <v>985</v>
      </c>
      <c r="B987" s="5" t="s">
        <v>2851</v>
      </c>
      <c r="C987" s="23" t="s">
        <v>3539</v>
      </c>
      <c r="D987" s="23" t="s">
        <v>77</v>
      </c>
      <c r="E987" s="5" t="s">
        <v>2852</v>
      </c>
      <c r="F987" s="71" t="s">
        <v>6107</v>
      </c>
      <c r="G987" s="22" t="s">
        <v>102</v>
      </c>
      <c r="H987" s="5" t="s">
        <v>140</v>
      </c>
      <c r="I987" s="5" t="s">
        <v>42</v>
      </c>
      <c r="J987" s="5" t="s">
        <v>5162</v>
      </c>
      <c r="K987" s="5" t="s">
        <v>2853</v>
      </c>
    </row>
    <row r="988" spans="1:11">
      <c r="A988" s="21">
        <v>986</v>
      </c>
      <c r="B988" s="5" t="s">
        <v>2854</v>
      </c>
      <c r="C988" s="23" t="s">
        <v>3655</v>
      </c>
      <c r="D988" s="23" t="s">
        <v>59</v>
      </c>
      <c r="E988" s="5" t="s">
        <v>2855</v>
      </c>
      <c r="F988" s="71" t="s">
        <v>6107</v>
      </c>
      <c r="G988" s="22" t="s">
        <v>160</v>
      </c>
      <c r="H988" s="5" t="s">
        <v>13</v>
      </c>
      <c r="I988" s="5" t="s">
        <v>14</v>
      </c>
      <c r="J988" s="5" t="s">
        <v>4883</v>
      </c>
      <c r="K988" s="5" t="s">
        <v>2856</v>
      </c>
    </row>
    <row r="989" spans="1:11">
      <c r="A989" s="21">
        <v>987</v>
      </c>
      <c r="B989" s="5" t="s">
        <v>2857</v>
      </c>
      <c r="C989" s="23" t="s">
        <v>3432</v>
      </c>
      <c r="D989" s="23" t="s">
        <v>17</v>
      </c>
      <c r="E989" s="5" t="s">
        <v>2858</v>
      </c>
      <c r="F989" s="71" t="s">
        <v>6107</v>
      </c>
      <c r="G989" s="22" t="s">
        <v>3933</v>
      </c>
      <c r="H989" s="5" t="s">
        <v>3932</v>
      </c>
      <c r="I989" s="5" t="s">
        <v>14</v>
      </c>
      <c r="J989" s="5" t="s">
        <v>5008</v>
      </c>
      <c r="K989" s="5" t="s">
        <v>2859</v>
      </c>
    </row>
    <row r="990" spans="1:11">
      <c r="A990" s="21">
        <v>988</v>
      </c>
      <c r="B990" s="5" t="s">
        <v>2860</v>
      </c>
      <c r="C990" s="23" t="s">
        <v>3070</v>
      </c>
      <c r="D990" s="23" t="s">
        <v>34</v>
      </c>
      <c r="E990" s="5" t="s">
        <v>2861</v>
      </c>
      <c r="F990" s="71" t="s">
        <v>6107</v>
      </c>
      <c r="G990" s="22" t="s">
        <v>74</v>
      </c>
      <c r="H990" s="5" t="s">
        <v>71</v>
      </c>
      <c r="I990" s="5" t="s">
        <v>50</v>
      </c>
      <c r="J990" s="5" t="s">
        <v>5703</v>
      </c>
      <c r="K990" s="5" t="s">
        <v>2862</v>
      </c>
    </row>
    <row r="991" spans="1:11">
      <c r="A991" s="21">
        <v>989</v>
      </c>
      <c r="B991" s="5" t="s">
        <v>2863</v>
      </c>
      <c r="C991" s="23" t="s">
        <v>2954</v>
      </c>
      <c r="D991" s="23" t="s">
        <v>17</v>
      </c>
      <c r="E991" s="5" t="s">
        <v>2864</v>
      </c>
      <c r="F991" s="71" t="s">
        <v>6107</v>
      </c>
      <c r="G991" s="22" t="s">
        <v>119</v>
      </c>
      <c r="H991" s="5" t="s">
        <v>86</v>
      </c>
      <c r="I991" s="5" t="s">
        <v>42</v>
      </c>
      <c r="J991" s="5" t="s">
        <v>5626</v>
      </c>
      <c r="K991" s="5" t="s">
        <v>2865</v>
      </c>
    </row>
    <row r="992" spans="1:11">
      <c r="A992" s="21">
        <v>990</v>
      </c>
      <c r="B992" s="5" t="s">
        <v>2866</v>
      </c>
      <c r="C992" s="23" t="s">
        <v>3071</v>
      </c>
      <c r="D992" s="23" t="s">
        <v>34</v>
      </c>
      <c r="E992" s="5" t="s">
        <v>2867</v>
      </c>
      <c r="F992" s="71" t="s">
        <v>6107</v>
      </c>
      <c r="G992" s="22" t="s">
        <v>40</v>
      </c>
      <c r="H992" s="5" t="s">
        <v>71</v>
      </c>
      <c r="I992" s="5" t="s">
        <v>26</v>
      </c>
      <c r="J992" s="5" t="s">
        <v>5448</v>
      </c>
      <c r="K992" s="5">
        <v>89756465603</v>
      </c>
    </row>
    <row r="993" spans="1:11">
      <c r="A993" s="21">
        <v>991</v>
      </c>
      <c r="B993" s="5" t="s">
        <v>2868</v>
      </c>
      <c r="C993" s="23" t="s">
        <v>3072</v>
      </c>
      <c r="D993" s="23" t="s">
        <v>34</v>
      </c>
      <c r="E993" s="5" t="s">
        <v>2814</v>
      </c>
      <c r="F993" s="71" t="s">
        <v>6107</v>
      </c>
      <c r="G993" s="22" t="s">
        <v>40</v>
      </c>
      <c r="H993" s="5" t="s">
        <v>71</v>
      </c>
      <c r="I993" s="5" t="s">
        <v>14</v>
      </c>
      <c r="J993" s="5" t="s">
        <v>5705</v>
      </c>
      <c r="K993" s="5" t="s">
        <v>2869</v>
      </c>
    </row>
    <row r="994" spans="1:11">
      <c r="A994" s="21">
        <v>992</v>
      </c>
      <c r="B994" s="5" t="s">
        <v>2870</v>
      </c>
      <c r="C994" s="23" t="s">
        <v>3759</v>
      </c>
      <c r="D994" s="23" t="s">
        <v>59</v>
      </c>
      <c r="E994" s="5" t="s">
        <v>2871</v>
      </c>
      <c r="F994" s="71" t="s">
        <v>6107</v>
      </c>
      <c r="G994" s="22" t="s">
        <v>3934</v>
      </c>
      <c r="H994" s="5" t="s">
        <v>13</v>
      </c>
      <c r="I994" s="5" t="s">
        <v>21</v>
      </c>
      <c r="J994" s="5" t="s">
        <v>5071</v>
      </c>
      <c r="K994" s="5" t="s">
        <v>2872</v>
      </c>
    </row>
    <row r="995" spans="1:11">
      <c r="A995" s="21">
        <v>993</v>
      </c>
      <c r="B995" s="5" t="s">
        <v>2873</v>
      </c>
      <c r="C995" s="23" t="s">
        <v>3760</v>
      </c>
      <c r="D995" s="23" t="s">
        <v>59</v>
      </c>
      <c r="E995" s="5" t="s">
        <v>2874</v>
      </c>
      <c r="F995" s="71" t="s">
        <v>6107</v>
      </c>
      <c r="G995" s="22" t="s">
        <v>3934</v>
      </c>
      <c r="H995" s="5" t="s">
        <v>13</v>
      </c>
      <c r="I995" s="5" t="s">
        <v>50</v>
      </c>
      <c r="J995" s="5" t="s">
        <v>5639</v>
      </c>
      <c r="K995" s="5" t="s">
        <v>2875</v>
      </c>
    </row>
    <row r="996" spans="1:11">
      <c r="A996" s="21">
        <v>994</v>
      </c>
      <c r="B996" s="5" t="s">
        <v>2876</v>
      </c>
      <c r="C996" s="23" t="s">
        <v>3433</v>
      </c>
      <c r="D996" s="23" t="s">
        <v>17</v>
      </c>
      <c r="E996" s="5" t="s">
        <v>2877</v>
      </c>
      <c r="F996" s="71" t="s">
        <v>6107</v>
      </c>
      <c r="G996" s="22" t="s">
        <v>216</v>
      </c>
      <c r="H996" s="5" t="s">
        <v>94</v>
      </c>
      <c r="I996" s="5" t="s">
        <v>42</v>
      </c>
      <c r="J996" s="5" t="s">
        <v>5548</v>
      </c>
      <c r="K996" s="5" t="s">
        <v>2878</v>
      </c>
    </row>
    <row r="997" spans="1:11">
      <c r="A997" s="21">
        <v>995</v>
      </c>
      <c r="B997" s="5" t="s">
        <v>2879</v>
      </c>
      <c r="C997" s="23" t="s">
        <v>3540</v>
      </c>
      <c r="D997" s="23" t="s">
        <v>77</v>
      </c>
      <c r="E997" s="5" t="s">
        <v>2880</v>
      </c>
      <c r="F997" s="71" t="s">
        <v>6107</v>
      </c>
      <c r="G997" s="22" t="s">
        <v>54</v>
      </c>
      <c r="H997" s="5" t="s">
        <v>140</v>
      </c>
      <c r="I997" s="5" t="s">
        <v>42</v>
      </c>
      <c r="J997" s="5" t="s">
        <v>5380</v>
      </c>
      <c r="K997" s="5" t="s">
        <v>2881</v>
      </c>
    </row>
    <row r="998" spans="1:11">
      <c r="A998" s="21">
        <v>996</v>
      </c>
      <c r="B998" s="5" t="s">
        <v>2882</v>
      </c>
      <c r="C998" s="23" t="s">
        <v>3761</v>
      </c>
      <c r="D998" s="23" t="s">
        <v>59</v>
      </c>
      <c r="E998" s="5" t="s">
        <v>2883</v>
      </c>
      <c r="F998" s="71" t="s">
        <v>6107</v>
      </c>
      <c r="G998" s="22" t="s">
        <v>3934</v>
      </c>
      <c r="H998" s="5" t="s">
        <v>13</v>
      </c>
      <c r="I998" s="5" t="s">
        <v>21</v>
      </c>
      <c r="J998" s="5" t="s">
        <v>5535</v>
      </c>
      <c r="K998" s="5" t="s">
        <v>2884</v>
      </c>
    </row>
    <row r="999" spans="1:11">
      <c r="A999" s="21">
        <v>997</v>
      </c>
      <c r="B999" s="5" t="s">
        <v>2885</v>
      </c>
      <c r="C999" s="23" t="s">
        <v>3193</v>
      </c>
      <c r="D999" s="23" t="s">
        <v>77</v>
      </c>
      <c r="E999" s="5" t="s">
        <v>2886</v>
      </c>
      <c r="F999" s="71" t="s">
        <v>6107</v>
      </c>
      <c r="G999" s="22" t="s">
        <v>66</v>
      </c>
      <c r="H999" s="5" t="s">
        <v>20</v>
      </c>
      <c r="I999" s="5" t="s">
        <v>42</v>
      </c>
      <c r="J999" s="5" t="s">
        <v>4936</v>
      </c>
      <c r="K999" s="5" t="s">
        <v>2887</v>
      </c>
    </row>
    <row r="1000" spans="1:11">
      <c r="A1000" s="21">
        <v>998</v>
      </c>
      <c r="B1000" s="5" t="s">
        <v>2888</v>
      </c>
      <c r="C1000" s="23" t="s">
        <v>3434</v>
      </c>
      <c r="D1000" s="23" t="s">
        <v>17</v>
      </c>
      <c r="E1000" s="5" t="s">
        <v>2889</v>
      </c>
      <c r="F1000" s="71" t="s">
        <v>6107</v>
      </c>
      <c r="G1000" s="22" t="s">
        <v>3933</v>
      </c>
      <c r="H1000" s="5" t="s">
        <v>3932</v>
      </c>
      <c r="I1000" s="5" t="s">
        <v>56</v>
      </c>
      <c r="J1000" s="5" t="s">
        <v>4827</v>
      </c>
      <c r="K1000" s="5" t="s">
        <v>2890</v>
      </c>
    </row>
    <row r="1001" spans="1:11">
      <c r="A1001" s="21">
        <v>999</v>
      </c>
      <c r="B1001" s="5" t="s">
        <v>2891</v>
      </c>
      <c r="C1001" s="23" t="s">
        <v>3282</v>
      </c>
      <c r="D1001" s="23" t="s">
        <v>77</v>
      </c>
      <c r="E1001" s="5" t="s">
        <v>1852</v>
      </c>
      <c r="F1001" s="71" t="s">
        <v>6107</v>
      </c>
      <c r="G1001" s="22" t="s">
        <v>179</v>
      </c>
      <c r="H1001" s="5" t="s">
        <v>3932</v>
      </c>
      <c r="I1001" s="5" t="s">
        <v>26</v>
      </c>
      <c r="J1001" s="5" t="s">
        <v>4823</v>
      </c>
      <c r="K1001" s="5" t="s">
        <v>2892</v>
      </c>
    </row>
    <row r="1002" spans="1:11">
      <c r="A1002" s="21">
        <v>1000</v>
      </c>
      <c r="B1002" s="5" t="s">
        <v>2893</v>
      </c>
      <c r="C1002" s="23" t="s">
        <v>2942</v>
      </c>
      <c r="D1002" s="23" t="s">
        <v>17</v>
      </c>
      <c r="E1002" s="5" t="s">
        <v>2894</v>
      </c>
      <c r="F1002" s="71" t="s">
        <v>6107</v>
      </c>
      <c r="G1002" s="22" t="s">
        <v>119</v>
      </c>
      <c r="H1002" s="5" t="s">
        <v>120</v>
      </c>
      <c r="I1002" s="5" t="s">
        <v>21</v>
      </c>
      <c r="J1002" s="5" t="s">
        <v>5489</v>
      </c>
      <c r="K1002" s="5" t="s">
        <v>2895</v>
      </c>
    </row>
  </sheetData>
  <autoFilter ref="A2:K1002">
    <sortState ref="A3:AE1002">
      <sortCondition ref="B2:B1002"/>
    </sortState>
  </autoFilter>
  <mergeCells count="1">
    <mergeCell ref="A1:K1"/>
  </mergeCells>
  <hyperlinks>
    <hyperlink ref="J352" r:id="rId1" display="erniati@email.com"/>
  </hyperlinks>
  <pageMargins left="0.75" right="0.75" top="1" bottom="1" header="0.5" footer="0.5"/>
</worksheet>
</file>

<file path=xl/worksheets/sheet3.xml><?xml version="1.0" encoding="utf-8"?>
<worksheet xmlns="http://schemas.openxmlformats.org/spreadsheetml/2006/main" xmlns:r="http://schemas.openxmlformats.org/officeDocument/2006/relationships">
  <sheetPr>
    <tabColor theme="3" tint="0.39997558519241921"/>
  </sheetPr>
  <dimension ref="A1:W1002"/>
  <sheetViews>
    <sheetView workbookViewId="0">
      <selection activeCell="C20" sqref="C20"/>
    </sheetView>
  </sheetViews>
  <sheetFormatPr defaultRowHeight="15"/>
  <cols>
    <col min="2" max="2" width="14.42578125" bestFit="1" customWidth="1"/>
    <col min="3" max="3" width="24.28515625" customWidth="1"/>
    <col min="4" max="4" width="9.85546875" bestFit="1" customWidth="1"/>
    <col min="5" max="5" width="10.7109375" bestFit="1" customWidth="1"/>
    <col min="6" max="6" width="11.42578125" bestFit="1" customWidth="1"/>
    <col min="7" max="7" width="16" bestFit="1" customWidth="1"/>
    <col min="8" max="8" width="15.85546875" bestFit="1" customWidth="1"/>
    <col min="9" max="9" width="9.7109375" bestFit="1" customWidth="1"/>
    <col min="10" max="10" width="43.42578125" bestFit="1" customWidth="1"/>
    <col min="11" max="11" width="13.5703125" bestFit="1" customWidth="1"/>
    <col min="12" max="12" width="8.140625" style="73" customWidth="1"/>
    <col min="13" max="13" width="20.85546875" bestFit="1" customWidth="1"/>
    <col min="14" max="14" width="18.140625" style="4" bestFit="1" customWidth="1"/>
    <col min="15" max="15" width="15.7109375" bestFit="1" customWidth="1"/>
    <col min="16" max="16" width="12.85546875" bestFit="1" customWidth="1"/>
    <col min="17" max="17" width="17.28515625" bestFit="1" customWidth="1"/>
    <col min="18" max="18" width="20" bestFit="1" customWidth="1"/>
    <col min="19" max="19" width="16.42578125" bestFit="1" customWidth="1"/>
    <col min="20" max="20" width="14.42578125" bestFit="1" customWidth="1"/>
    <col min="21" max="21" width="13.85546875" bestFit="1" customWidth="1"/>
    <col min="22" max="22" width="14.7109375" style="4" bestFit="1" customWidth="1"/>
  </cols>
  <sheetData>
    <row r="1" spans="1:23">
      <c r="A1" s="93" t="s">
        <v>2926</v>
      </c>
      <c r="B1" s="93"/>
      <c r="C1" s="93"/>
      <c r="D1" s="93"/>
      <c r="E1" s="93"/>
      <c r="F1" s="93"/>
      <c r="G1" s="93"/>
      <c r="H1" s="93"/>
      <c r="I1" s="93"/>
      <c r="J1" s="93"/>
      <c r="K1" s="94"/>
      <c r="L1" s="72"/>
      <c r="M1" s="92" t="s">
        <v>2915</v>
      </c>
      <c r="N1" s="92"/>
      <c r="O1" s="92"/>
      <c r="P1" s="92"/>
      <c r="Q1" s="92"/>
      <c r="R1" s="92"/>
      <c r="S1" s="92"/>
      <c r="T1" s="92"/>
      <c r="U1" s="92"/>
      <c r="V1" s="92"/>
    </row>
    <row r="2" spans="1:23">
      <c r="A2" s="80" t="s">
        <v>2933</v>
      </c>
      <c r="B2" s="80" t="s">
        <v>0</v>
      </c>
      <c r="C2" s="80" t="s">
        <v>1</v>
      </c>
      <c r="D2" s="80" t="s">
        <v>2</v>
      </c>
      <c r="E2" s="80" t="s">
        <v>3</v>
      </c>
      <c r="F2" s="80" t="s">
        <v>4</v>
      </c>
      <c r="G2" s="80" t="s">
        <v>5</v>
      </c>
      <c r="H2" s="80" t="s">
        <v>6</v>
      </c>
      <c r="I2" s="80" t="s">
        <v>7</v>
      </c>
      <c r="J2" s="80" t="s">
        <v>8</v>
      </c>
      <c r="K2" s="80" t="s">
        <v>9</v>
      </c>
      <c r="L2" s="22"/>
      <c r="M2" s="6" t="s">
        <v>2916</v>
      </c>
      <c r="N2" s="7" t="s">
        <v>2917</v>
      </c>
      <c r="O2" s="6" t="s">
        <v>2918</v>
      </c>
      <c r="P2" s="6" t="s">
        <v>2919</v>
      </c>
      <c r="Q2" s="6" t="s">
        <v>2920</v>
      </c>
      <c r="R2" s="6" t="s">
        <v>2921</v>
      </c>
      <c r="S2" s="6" t="s">
        <v>2922</v>
      </c>
      <c r="T2" s="6" t="s">
        <v>2923</v>
      </c>
      <c r="U2" s="6" t="s">
        <v>2924</v>
      </c>
      <c r="V2" s="7" t="s">
        <v>2925</v>
      </c>
    </row>
    <row r="3" spans="1:23" ht="15.75">
      <c r="A3" s="21">
        <v>1</v>
      </c>
      <c r="B3" s="5" t="s">
        <v>10</v>
      </c>
      <c r="C3" s="23" t="s">
        <v>3541</v>
      </c>
      <c r="D3" s="23" t="s">
        <v>17</v>
      </c>
      <c r="E3" s="5" t="s">
        <v>11</v>
      </c>
      <c r="F3" s="71" t="s">
        <v>6101</v>
      </c>
      <c r="G3" s="22" t="s">
        <v>12</v>
      </c>
      <c r="H3" s="5" t="s">
        <v>13</v>
      </c>
      <c r="I3" s="5" t="s">
        <v>14</v>
      </c>
      <c r="J3" s="5" t="s">
        <v>5177</v>
      </c>
      <c r="K3" s="5" t="s">
        <v>15</v>
      </c>
      <c r="L3" s="22"/>
      <c r="M3" s="8" t="str">
        <f t="shared" ref="M3:M66" si="0">IF(COUNTIF($B$3:$B$1002,B3)&gt;1,"Duplicate","Ok")</f>
        <v>Ok</v>
      </c>
      <c r="N3" s="9" t="b">
        <f t="shared" ref="N3:N66" si="1">EXACT(C3,PROPER(C3))</f>
        <v>1</v>
      </c>
      <c r="O3" s="9" t="b">
        <f t="shared" ref="O3:O66" si="2">EXACT(D3,PROPER(D3))</f>
        <v>1</v>
      </c>
      <c r="P3" s="8" t="str">
        <f t="shared" ref="P3:P66" si="3">IF(ISNUMBER(E3),"TRUE","FALSE")</f>
        <v>FALSE</v>
      </c>
      <c r="Q3" s="8" t="str">
        <f t="shared" ref="Q3:Q66" si="4">IF(ISNUMBER(F3),"TRUE","FALSE")</f>
        <v>FALSE</v>
      </c>
      <c r="R3" s="9" t="b">
        <f t="shared" ref="R3:R66" si="5">EXACT(G3,PROPER(G3))</f>
        <v>1</v>
      </c>
      <c r="S3" s="8" t="b">
        <f t="shared" ref="S3:S66" si="6">EXACT(H3,PROPER(H3))</f>
        <v>0</v>
      </c>
      <c r="T3" s="10" t="b">
        <f t="shared" ref="T3:T66" si="7">EXACT(I3,PROPER(I3))</f>
        <v>1</v>
      </c>
      <c r="U3" s="8" t="str">
        <f t="shared" ref="U3:U66" si="8">IF(RIGHT(J3,10)="@email.com","TRUE","FALSE")</f>
        <v>TRUE</v>
      </c>
      <c r="V3" s="11" t="str">
        <f t="shared" ref="V3:V66" si="9">IF(LEFT(K3,2)="08","TRUE","FALSE")</f>
        <v>TRUE</v>
      </c>
      <c r="W3" s="3"/>
    </row>
    <row r="4" spans="1:23" ht="15.75">
      <c r="A4" s="21">
        <v>2</v>
      </c>
      <c r="B4" s="5" t="s">
        <v>16</v>
      </c>
      <c r="C4" s="23" t="s">
        <v>3073</v>
      </c>
      <c r="D4" s="23" t="s">
        <v>77</v>
      </c>
      <c r="E4" s="5" t="s">
        <v>18</v>
      </c>
      <c r="F4" s="71" t="s">
        <v>6101</v>
      </c>
      <c r="G4" s="22" t="s">
        <v>179</v>
      </c>
      <c r="H4" s="22" t="s">
        <v>179</v>
      </c>
      <c r="I4" s="5" t="s">
        <v>21</v>
      </c>
      <c r="J4" s="5" t="s">
        <v>5275</v>
      </c>
      <c r="K4" s="5">
        <v>893260231</v>
      </c>
      <c r="L4" s="22"/>
      <c r="M4" s="8" t="str">
        <f t="shared" si="0"/>
        <v>Ok</v>
      </c>
      <c r="N4" s="9" t="b">
        <f t="shared" si="1"/>
        <v>0</v>
      </c>
      <c r="O4" s="9" t="b">
        <f t="shared" si="2"/>
        <v>0</v>
      </c>
      <c r="P4" s="8" t="str">
        <f t="shared" si="3"/>
        <v>FALSE</v>
      </c>
      <c r="Q4" s="8" t="str">
        <f t="shared" si="4"/>
        <v>FALSE</v>
      </c>
      <c r="R4" s="9" t="b">
        <f t="shared" si="5"/>
        <v>1</v>
      </c>
      <c r="S4" s="8" t="b">
        <f t="shared" si="6"/>
        <v>1</v>
      </c>
      <c r="T4" s="10" t="b">
        <f t="shared" si="7"/>
        <v>0</v>
      </c>
      <c r="U4" s="8" t="str">
        <f t="shared" si="8"/>
        <v>TRUE</v>
      </c>
      <c r="V4" s="11" t="str">
        <f t="shared" si="9"/>
        <v>FALSE</v>
      </c>
      <c r="W4" s="3"/>
    </row>
    <row r="5" spans="1:23" ht="15.75">
      <c r="A5" s="21">
        <v>3</v>
      </c>
      <c r="B5" s="5" t="s">
        <v>22</v>
      </c>
      <c r="C5" s="23" t="s">
        <v>3762</v>
      </c>
      <c r="D5" s="23" t="s">
        <v>59</v>
      </c>
      <c r="E5" s="5" t="s">
        <v>23</v>
      </c>
      <c r="F5" s="71" t="s">
        <v>6101</v>
      </c>
      <c r="G5" s="22" t="s">
        <v>24</v>
      </c>
      <c r="H5" s="5" t="s">
        <v>25</v>
      </c>
      <c r="I5" s="5" t="s">
        <v>26</v>
      </c>
      <c r="J5" s="5" t="s">
        <v>5687</v>
      </c>
      <c r="K5" s="5" t="s">
        <v>27</v>
      </c>
      <c r="L5" s="22"/>
      <c r="M5" s="8" t="str">
        <f t="shared" si="0"/>
        <v>Ok</v>
      </c>
      <c r="N5" s="9" t="b">
        <f t="shared" si="1"/>
        <v>0</v>
      </c>
      <c r="O5" s="9" t="b">
        <f t="shared" si="2"/>
        <v>1</v>
      </c>
      <c r="P5" s="8" t="str">
        <f t="shared" si="3"/>
        <v>FALSE</v>
      </c>
      <c r="Q5" s="8" t="str">
        <f t="shared" si="4"/>
        <v>FALSE</v>
      </c>
      <c r="R5" s="9" t="b">
        <f t="shared" si="5"/>
        <v>0</v>
      </c>
      <c r="S5" s="8" t="b">
        <f t="shared" si="6"/>
        <v>0</v>
      </c>
      <c r="T5" s="10" t="b">
        <f t="shared" si="7"/>
        <v>0</v>
      </c>
      <c r="U5" s="8" t="str">
        <f t="shared" si="8"/>
        <v>FALSE</v>
      </c>
      <c r="V5" s="11" t="str">
        <f t="shared" si="9"/>
        <v>TRUE</v>
      </c>
      <c r="W5" s="3"/>
    </row>
    <row r="6" spans="1:23" ht="15.75">
      <c r="A6" s="21">
        <v>4</v>
      </c>
      <c r="B6" s="5" t="s">
        <v>28</v>
      </c>
      <c r="C6" s="23" t="s">
        <v>3656</v>
      </c>
      <c r="D6" s="23" t="s">
        <v>59</v>
      </c>
      <c r="E6" s="5" t="s">
        <v>29</v>
      </c>
      <c r="F6" s="71" t="s">
        <v>6101</v>
      </c>
      <c r="G6" s="22" t="s">
        <v>30</v>
      </c>
      <c r="H6" s="5" t="s">
        <v>31</v>
      </c>
      <c r="I6" s="5" t="s">
        <v>14</v>
      </c>
      <c r="J6" s="5" t="s">
        <v>5587</v>
      </c>
      <c r="K6" s="5" t="s">
        <v>32</v>
      </c>
      <c r="L6" s="22"/>
      <c r="M6" s="8" t="str">
        <f t="shared" si="0"/>
        <v>Ok</v>
      </c>
      <c r="N6" s="9" t="b">
        <f t="shared" si="1"/>
        <v>1</v>
      </c>
      <c r="O6" s="9" t="b">
        <f t="shared" si="2"/>
        <v>1</v>
      </c>
      <c r="P6" s="8" t="str">
        <f t="shared" si="3"/>
        <v>FALSE</v>
      </c>
      <c r="Q6" s="8" t="str">
        <f t="shared" si="4"/>
        <v>FALSE</v>
      </c>
      <c r="R6" s="9" t="b">
        <f t="shared" si="5"/>
        <v>0</v>
      </c>
      <c r="S6" s="8" t="b">
        <f t="shared" si="6"/>
        <v>1</v>
      </c>
      <c r="T6" s="10" t="b">
        <f t="shared" si="7"/>
        <v>1</v>
      </c>
      <c r="U6" s="8" t="str">
        <f t="shared" si="8"/>
        <v>FALSE</v>
      </c>
      <c r="V6" s="11" t="str">
        <f t="shared" si="9"/>
        <v>TRUE</v>
      </c>
      <c r="W6" s="3"/>
    </row>
    <row r="7" spans="1:23" ht="15.75">
      <c r="A7" s="21">
        <v>5</v>
      </c>
      <c r="B7" s="5" t="s">
        <v>33</v>
      </c>
      <c r="C7" s="23" t="s">
        <v>3542</v>
      </c>
      <c r="D7" s="23" t="s">
        <v>77</v>
      </c>
      <c r="E7" s="5" t="s">
        <v>35</v>
      </c>
      <c r="F7" s="71" t="s">
        <v>6101</v>
      </c>
      <c r="G7" s="22" t="s">
        <v>12</v>
      </c>
      <c r="H7" s="5" t="s">
        <v>36</v>
      </c>
      <c r="I7" s="5" t="s">
        <v>14</v>
      </c>
      <c r="J7" s="5" t="s">
        <v>5636</v>
      </c>
      <c r="K7" s="5" t="s">
        <v>37</v>
      </c>
      <c r="L7" s="22"/>
      <c r="M7" s="8" t="str">
        <f t="shared" si="0"/>
        <v>Ok</v>
      </c>
      <c r="N7" s="9" t="b">
        <f t="shared" si="1"/>
        <v>1</v>
      </c>
      <c r="O7" s="9" t="b">
        <f t="shared" si="2"/>
        <v>0</v>
      </c>
      <c r="P7" s="8" t="str">
        <f t="shared" si="3"/>
        <v>FALSE</v>
      </c>
      <c r="Q7" s="8" t="str">
        <f t="shared" si="4"/>
        <v>FALSE</v>
      </c>
      <c r="R7" s="9" t="b">
        <f t="shared" si="5"/>
        <v>1</v>
      </c>
      <c r="S7" s="8" t="b">
        <f t="shared" si="6"/>
        <v>1</v>
      </c>
      <c r="T7" s="10" t="b">
        <f t="shared" si="7"/>
        <v>1</v>
      </c>
      <c r="U7" s="8" t="str">
        <f t="shared" si="8"/>
        <v>FALSE</v>
      </c>
      <c r="V7" s="11" t="str">
        <f t="shared" si="9"/>
        <v>TRUE</v>
      </c>
      <c r="W7" s="3"/>
    </row>
    <row r="8" spans="1:23" ht="15.75">
      <c r="A8" s="21">
        <v>6</v>
      </c>
      <c r="B8" s="5" t="s">
        <v>38</v>
      </c>
      <c r="C8" s="23" t="s">
        <v>2976</v>
      </c>
      <c r="D8" s="23" t="s">
        <v>34</v>
      </c>
      <c r="E8" s="5" t="s">
        <v>39</v>
      </c>
      <c r="F8" s="71" t="s">
        <v>6101</v>
      </c>
      <c r="G8" s="22" t="s">
        <v>179</v>
      </c>
      <c r="H8" s="5" t="s">
        <v>3932</v>
      </c>
      <c r="I8" s="5" t="s">
        <v>56</v>
      </c>
      <c r="J8" s="5" t="s">
        <v>5747</v>
      </c>
      <c r="K8" s="5" t="s">
        <v>43</v>
      </c>
      <c r="L8" s="22"/>
      <c r="M8" s="8" t="str">
        <f t="shared" si="0"/>
        <v>Ok</v>
      </c>
      <c r="N8" s="9" t="b">
        <f t="shared" si="1"/>
        <v>0</v>
      </c>
      <c r="O8" s="9" t="b">
        <f t="shared" si="2"/>
        <v>0</v>
      </c>
      <c r="P8" s="8" t="str">
        <f t="shared" si="3"/>
        <v>FALSE</v>
      </c>
      <c r="Q8" s="8" t="str">
        <f t="shared" si="4"/>
        <v>FALSE</v>
      </c>
      <c r="R8" s="9" t="b">
        <f t="shared" si="5"/>
        <v>1</v>
      </c>
      <c r="S8" s="8" t="b">
        <f t="shared" si="6"/>
        <v>0</v>
      </c>
      <c r="T8" s="10" t="b">
        <f t="shared" si="7"/>
        <v>1</v>
      </c>
      <c r="U8" s="8" t="str">
        <f t="shared" si="8"/>
        <v>FALSE</v>
      </c>
      <c r="V8" s="11" t="str">
        <f t="shared" si="9"/>
        <v>TRUE</v>
      </c>
      <c r="W8" s="3"/>
    </row>
    <row r="9" spans="1:23" ht="15.75">
      <c r="A9" s="21">
        <v>7</v>
      </c>
      <c r="B9" s="5" t="s">
        <v>44</v>
      </c>
      <c r="C9" s="23" t="s">
        <v>3763</v>
      </c>
      <c r="D9" s="23" t="s">
        <v>59</v>
      </c>
      <c r="E9" s="5" t="s">
        <v>45</v>
      </c>
      <c r="F9" s="71" t="s">
        <v>6101</v>
      </c>
      <c r="G9" s="22" t="s">
        <v>24</v>
      </c>
      <c r="H9" s="5" t="s">
        <v>46</v>
      </c>
      <c r="I9" s="5" t="s">
        <v>14</v>
      </c>
      <c r="J9" s="5" t="s">
        <v>5519</v>
      </c>
      <c r="K9" s="5" t="s">
        <v>47</v>
      </c>
      <c r="L9" s="22"/>
      <c r="M9" s="8" t="str">
        <f t="shared" si="0"/>
        <v>Ok</v>
      </c>
      <c r="N9" s="9" t="b">
        <f t="shared" si="1"/>
        <v>0</v>
      </c>
      <c r="O9" s="9" t="b">
        <f t="shared" si="2"/>
        <v>1</v>
      </c>
      <c r="P9" s="8" t="str">
        <f t="shared" si="3"/>
        <v>FALSE</v>
      </c>
      <c r="Q9" s="8" t="str">
        <f t="shared" si="4"/>
        <v>FALSE</v>
      </c>
      <c r="R9" s="9" t="b">
        <f t="shared" si="5"/>
        <v>0</v>
      </c>
      <c r="S9" s="8" t="b">
        <f t="shared" si="6"/>
        <v>0</v>
      </c>
      <c r="T9" s="10" t="b">
        <f t="shared" si="7"/>
        <v>1</v>
      </c>
      <c r="U9" s="8" t="str">
        <f t="shared" si="8"/>
        <v>FALSE</v>
      </c>
      <c r="V9" s="11" t="str">
        <f t="shared" si="9"/>
        <v>TRUE</v>
      </c>
      <c r="W9" s="3"/>
    </row>
    <row r="10" spans="1:23" ht="15.75">
      <c r="A10" s="21">
        <v>8</v>
      </c>
      <c r="B10" s="5" t="s">
        <v>48</v>
      </c>
      <c r="C10" s="23" t="s">
        <v>3657</v>
      </c>
      <c r="D10" s="23" t="s">
        <v>59</v>
      </c>
      <c r="E10" s="5" t="s">
        <v>49</v>
      </c>
      <c r="F10" s="71" t="s">
        <v>6101</v>
      </c>
      <c r="G10" s="22" t="s">
        <v>30</v>
      </c>
      <c r="H10" s="5" t="s">
        <v>31</v>
      </c>
      <c r="I10" s="5" t="s">
        <v>50</v>
      </c>
      <c r="J10" s="5" t="s">
        <v>4888</v>
      </c>
      <c r="K10" s="5" t="s">
        <v>51</v>
      </c>
      <c r="L10" s="22"/>
      <c r="M10" s="8" t="str">
        <f t="shared" si="0"/>
        <v>Ok</v>
      </c>
      <c r="N10" s="9" t="b">
        <f t="shared" si="1"/>
        <v>1</v>
      </c>
      <c r="O10" s="9" t="b">
        <f t="shared" si="2"/>
        <v>1</v>
      </c>
      <c r="P10" s="8" t="str">
        <f t="shared" si="3"/>
        <v>FALSE</v>
      </c>
      <c r="Q10" s="8" t="str">
        <f t="shared" si="4"/>
        <v>FALSE</v>
      </c>
      <c r="R10" s="9" t="b">
        <f t="shared" si="5"/>
        <v>0</v>
      </c>
      <c r="S10" s="8" t="b">
        <f t="shared" si="6"/>
        <v>1</v>
      </c>
      <c r="T10" s="10" t="b">
        <f t="shared" si="7"/>
        <v>0</v>
      </c>
      <c r="U10" s="8" t="str">
        <f t="shared" si="8"/>
        <v>TRUE</v>
      </c>
      <c r="V10" s="11" t="str">
        <f t="shared" si="9"/>
        <v>TRUE</v>
      </c>
      <c r="W10" s="3"/>
    </row>
    <row r="11" spans="1:23" ht="15.75">
      <c r="A11" s="21">
        <v>9</v>
      </c>
      <c r="B11" s="5" t="s">
        <v>52</v>
      </c>
      <c r="C11" s="23" t="s">
        <v>3435</v>
      </c>
      <c r="D11" s="23" t="s">
        <v>17</v>
      </c>
      <c r="E11" s="5" t="s">
        <v>53</v>
      </c>
      <c r="F11" s="71" t="s">
        <v>6101</v>
      </c>
      <c r="G11" s="22" t="s">
        <v>160</v>
      </c>
      <c r="H11" s="5" t="s">
        <v>3932</v>
      </c>
      <c r="I11" s="5" t="s">
        <v>56</v>
      </c>
      <c r="J11" s="5" t="s">
        <v>5734</v>
      </c>
      <c r="K11" s="5" t="s">
        <v>57</v>
      </c>
      <c r="L11" s="22"/>
      <c r="M11" s="8" t="str">
        <f t="shared" si="0"/>
        <v>Ok</v>
      </c>
      <c r="N11" s="9" t="b">
        <f t="shared" si="1"/>
        <v>1</v>
      </c>
      <c r="O11" s="9" t="b">
        <f t="shared" si="2"/>
        <v>1</v>
      </c>
      <c r="P11" s="8" t="str">
        <f t="shared" si="3"/>
        <v>FALSE</v>
      </c>
      <c r="Q11" s="8" t="str">
        <f t="shared" si="4"/>
        <v>FALSE</v>
      </c>
      <c r="R11" s="9" t="b">
        <f t="shared" si="5"/>
        <v>0</v>
      </c>
      <c r="S11" s="8" t="b">
        <f t="shared" si="6"/>
        <v>0</v>
      </c>
      <c r="T11" s="10" t="b">
        <f t="shared" si="7"/>
        <v>1</v>
      </c>
      <c r="U11" s="8" t="str">
        <f t="shared" si="8"/>
        <v>FALSE</v>
      </c>
      <c r="V11" s="11" t="str">
        <f t="shared" si="9"/>
        <v>TRUE</v>
      </c>
    </row>
    <row r="12" spans="1:23" ht="15.75">
      <c r="A12" s="21">
        <v>10</v>
      </c>
      <c r="B12" s="5" t="s">
        <v>58</v>
      </c>
      <c r="C12" s="23" t="s">
        <v>3283</v>
      </c>
      <c r="D12" s="23" t="s">
        <v>77</v>
      </c>
      <c r="E12" s="5" t="s">
        <v>60</v>
      </c>
      <c r="F12" s="71" t="s">
        <v>6101</v>
      </c>
      <c r="G12" s="22" t="s">
        <v>179</v>
      </c>
      <c r="H12" s="5" t="s">
        <v>3932</v>
      </c>
      <c r="I12" s="5" t="s">
        <v>26</v>
      </c>
      <c r="J12" s="5" t="s">
        <v>5384</v>
      </c>
      <c r="K12" s="5" t="s">
        <v>63</v>
      </c>
      <c r="L12" s="22"/>
      <c r="M12" s="8" t="str">
        <f t="shared" si="0"/>
        <v>Ok</v>
      </c>
      <c r="N12" s="9" t="b">
        <f t="shared" si="1"/>
        <v>1</v>
      </c>
      <c r="O12" s="9" t="b">
        <f t="shared" si="2"/>
        <v>0</v>
      </c>
      <c r="P12" s="8" t="str">
        <f t="shared" si="3"/>
        <v>FALSE</v>
      </c>
      <c r="Q12" s="8" t="str">
        <f t="shared" si="4"/>
        <v>FALSE</v>
      </c>
      <c r="R12" s="9" t="b">
        <f t="shared" si="5"/>
        <v>1</v>
      </c>
      <c r="S12" s="8" t="b">
        <f t="shared" si="6"/>
        <v>0</v>
      </c>
      <c r="T12" s="10" t="b">
        <f t="shared" si="7"/>
        <v>0</v>
      </c>
      <c r="U12" s="8" t="str">
        <f t="shared" si="8"/>
        <v>TRUE</v>
      </c>
      <c r="V12" s="11" t="str">
        <f t="shared" si="9"/>
        <v>TRUE</v>
      </c>
    </row>
    <row r="13" spans="1:23" ht="15.75">
      <c r="A13" s="21">
        <v>11</v>
      </c>
      <c r="B13" s="5" t="s">
        <v>64</v>
      </c>
      <c r="C13" s="23" t="s">
        <v>3111</v>
      </c>
      <c r="D13" s="23" t="s">
        <v>34</v>
      </c>
      <c r="E13" s="5" t="s">
        <v>65</v>
      </c>
      <c r="F13" s="71" t="s">
        <v>6101</v>
      </c>
      <c r="G13" s="22" t="s">
        <v>66</v>
      </c>
      <c r="H13" s="5" t="s">
        <v>20</v>
      </c>
      <c r="I13" s="5" t="s">
        <v>67</v>
      </c>
      <c r="J13" s="5" t="s">
        <v>5513</v>
      </c>
      <c r="K13" s="5" t="s">
        <v>68</v>
      </c>
      <c r="L13" s="22"/>
      <c r="M13" s="8" t="str">
        <f t="shared" si="0"/>
        <v>Ok</v>
      </c>
      <c r="N13" s="9" t="b">
        <f t="shared" si="1"/>
        <v>0</v>
      </c>
      <c r="O13" s="9" t="b">
        <f t="shared" si="2"/>
        <v>0</v>
      </c>
      <c r="P13" s="8" t="str">
        <f t="shared" si="3"/>
        <v>FALSE</v>
      </c>
      <c r="Q13" s="8" t="str">
        <f t="shared" si="4"/>
        <v>FALSE</v>
      </c>
      <c r="R13" s="9" t="b">
        <f t="shared" si="5"/>
        <v>0</v>
      </c>
      <c r="S13" s="8" t="b">
        <f t="shared" si="6"/>
        <v>1</v>
      </c>
      <c r="T13" s="10" t="b">
        <f t="shared" si="7"/>
        <v>0</v>
      </c>
      <c r="U13" s="8" t="str">
        <f t="shared" si="8"/>
        <v>FALSE</v>
      </c>
      <c r="V13" s="11" t="str">
        <f t="shared" si="9"/>
        <v>TRUE</v>
      </c>
    </row>
    <row r="14" spans="1:23" ht="15.75">
      <c r="A14" s="21">
        <v>12</v>
      </c>
      <c r="B14" s="5" t="s">
        <v>69</v>
      </c>
      <c r="C14" s="23" t="s">
        <v>2977</v>
      </c>
      <c r="D14" s="23" t="s">
        <v>34</v>
      </c>
      <c r="E14" s="5" t="s">
        <v>70</v>
      </c>
      <c r="F14" s="71" t="s">
        <v>6101</v>
      </c>
      <c r="G14" s="22" t="s">
        <v>40</v>
      </c>
      <c r="H14" s="5" t="s">
        <v>71</v>
      </c>
      <c r="I14" s="5" t="s">
        <v>21</v>
      </c>
      <c r="J14" s="5" t="s">
        <v>5664</v>
      </c>
      <c r="K14" s="5">
        <v>803522114</v>
      </c>
      <c r="L14" s="22"/>
      <c r="M14" s="8" t="str">
        <f t="shared" si="0"/>
        <v>Ok</v>
      </c>
      <c r="N14" s="9" t="b">
        <f t="shared" si="1"/>
        <v>0</v>
      </c>
      <c r="O14" s="9" t="b">
        <f t="shared" si="2"/>
        <v>0</v>
      </c>
      <c r="P14" s="8" t="str">
        <f t="shared" si="3"/>
        <v>FALSE</v>
      </c>
      <c r="Q14" s="8" t="str">
        <f t="shared" si="4"/>
        <v>FALSE</v>
      </c>
      <c r="R14" s="9" t="b">
        <f t="shared" si="5"/>
        <v>1</v>
      </c>
      <c r="S14" s="8" t="b">
        <f t="shared" si="6"/>
        <v>1</v>
      </c>
      <c r="T14" s="10" t="b">
        <f t="shared" si="7"/>
        <v>0</v>
      </c>
      <c r="U14" s="8" t="str">
        <f t="shared" si="8"/>
        <v>FALSE</v>
      </c>
      <c r="V14" s="11" t="str">
        <f t="shared" si="9"/>
        <v>FALSE</v>
      </c>
    </row>
    <row r="15" spans="1:23" ht="15.75">
      <c r="A15" s="21">
        <v>13</v>
      </c>
      <c r="B15" s="5" t="s">
        <v>72</v>
      </c>
      <c r="C15" s="23" t="s">
        <v>2978</v>
      </c>
      <c r="D15" s="23" t="s">
        <v>34</v>
      </c>
      <c r="E15" s="5" t="s">
        <v>73</v>
      </c>
      <c r="F15" s="71" t="s">
        <v>6101</v>
      </c>
      <c r="G15" s="22" t="s">
        <v>179</v>
      </c>
      <c r="H15" s="5" t="s">
        <v>3932</v>
      </c>
      <c r="I15" s="5" t="s">
        <v>56</v>
      </c>
      <c r="J15" s="5" t="s">
        <v>4915</v>
      </c>
      <c r="K15" s="5" t="s">
        <v>75</v>
      </c>
      <c r="L15" s="22"/>
      <c r="M15" s="8" t="str">
        <f t="shared" si="0"/>
        <v>Ok</v>
      </c>
      <c r="N15" s="9" t="b">
        <f t="shared" si="1"/>
        <v>0</v>
      </c>
      <c r="O15" s="9" t="b">
        <f t="shared" si="2"/>
        <v>0</v>
      </c>
      <c r="P15" s="8" t="str">
        <f t="shared" si="3"/>
        <v>FALSE</v>
      </c>
      <c r="Q15" s="8" t="str">
        <f t="shared" si="4"/>
        <v>FALSE</v>
      </c>
      <c r="R15" s="9" t="b">
        <f t="shared" si="5"/>
        <v>1</v>
      </c>
      <c r="S15" s="8" t="b">
        <f t="shared" si="6"/>
        <v>0</v>
      </c>
      <c r="T15" s="10" t="b">
        <f t="shared" si="7"/>
        <v>1</v>
      </c>
      <c r="U15" s="8" t="str">
        <f t="shared" si="8"/>
        <v>TRUE</v>
      </c>
      <c r="V15" s="11" t="str">
        <f t="shared" si="9"/>
        <v>FALSE</v>
      </c>
    </row>
    <row r="16" spans="1:23" ht="15.75">
      <c r="A16" s="21">
        <v>14</v>
      </c>
      <c r="B16" s="5" t="s">
        <v>76</v>
      </c>
      <c r="C16" s="23" t="s">
        <v>3074</v>
      </c>
      <c r="D16" s="23" t="s">
        <v>77</v>
      </c>
      <c r="E16" s="5" t="s">
        <v>78</v>
      </c>
      <c r="F16" s="71" t="s">
        <v>6101</v>
      </c>
      <c r="G16" s="22" t="s">
        <v>179</v>
      </c>
      <c r="H16" s="5" t="s">
        <v>3932</v>
      </c>
      <c r="I16" s="5" t="s">
        <v>21</v>
      </c>
      <c r="J16" s="5" t="s">
        <v>5145</v>
      </c>
      <c r="K16" s="5" t="s">
        <v>79</v>
      </c>
      <c r="L16" s="22"/>
      <c r="M16" s="8" t="str">
        <f t="shared" si="0"/>
        <v>Ok</v>
      </c>
      <c r="N16" s="9" t="b">
        <f t="shared" si="1"/>
        <v>0</v>
      </c>
      <c r="O16" s="9" t="b">
        <f t="shared" si="2"/>
        <v>0</v>
      </c>
      <c r="P16" s="8" t="str">
        <f t="shared" si="3"/>
        <v>FALSE</v>
      </c>
      <c r="Q16" s="8" t="str">
        <f t="shared" si="4"/>
        <v>FALSE</v>
      </c>
      <c r="R16" s="9" t="b">
        <f t="shared" si="5"/>
        <v>1</v>
      </c>
      <c r="S16" s="8" t="b">
        <f t="shared" si="6"/>
        <v>0</v>
      </c>
      <c r="T16" s="10" t="b">
        <f t="shared" si="7"/>
        <v>0</v>
      </c>
      <c r="U16" s="8" t="str">
        <f t="shared" si="8"/>
        <v>TRUE</v>
      </c>
      <c r="V16" s="11" t="str">
        <f t="shared" si="9"/>
        <v>TRUE</v>
      </c>
    </row>
    <row r="17" spans="1:22" ht="15.75">
      <c r="A17" s="21">
        <v>15</v>
      </c>
      <c r="B17" s="5" t="s">
        <v>80</v>
      </c>
      <c r="C17" s="23" t="s">
        <v>3194</v>
      </c>
      <c r="D17" s="23" t="s">
        <v>77</v>
      </c>
      <c r="E17" s="5" t="s">
        <v>81</v>
      </c>
      <c r="F17" s="71" t="s">
        <v>6101</v>
      </c>
      <c r="G17" s="22" t="s">
        <v>179</v>
      </c>
      <c r="H17" s="5" t="s">
        <v>3932</v>
      </c>
      <c r="I17" s="5" t="s">
        <v>67</v>
      </c>
      <c r="J17" s="5" t="s">
        <v>5146</v>
      </c>
      <c r="K17" s="5">
        <v>853887755</v>
      </c>
      <c r="L17" s="22"/>
      <c r="M17" s="8" t="str">
        <f t="shared" si="0"/>
        <v>Ok</v>
      </c>
      <c r="N17" s="9" t="b">
        <f t="shared" si="1"/>
        <v>1</v>
      </c>
      <c r="O17" s="9" t="b">
        <f t="shared" si="2"/>
        <v>0</v>
      </c>
      <c r="P17" s="8" t="str">
        <f t="shared" si="3"/>
        <v>FALSE</v>
      </c>
      <c r="Q17" s="8" t="str">
        <f t="shared" si="4"/>
        <v>FALSE</v>
      </c>
      <c r="R17" s="9" t="b">
        <f t="shared" si="5"/>
        <v>1</v>
      </c>
      <c r="S17" s="8" t="b">
        <f t="shared" si="6"/>
        <v>0</v>
      </c>
      <c r="T17" s="10" t="b">
        <f t="shared" si="7"/>
        <v>0</v>
      </c>
      <c r="U17" s="8" t="str">
        <f t="shared" si="8"/>
        <v>TRUE</v>
      </c>
      <c r="V17" s="11" t="str">
        <f t="shared" si="9"/>
        <v>FALSE</v>
      </c>
    </row>
    <row r="18" spans="1:22" ht="15.75">
      <c r="A18" s="21">
        <v>16</v>
      </c>
      <c r="B18" s="5" t="s">
        <v>83</v>
      </c>
      <c r="C18" s="23" t="s">
        <v>3863</v>
      </c>
      <c r="D18" s="23" t="s">
        <v>17</v>
      </c>
      <c r="E18" s="5" t="s">
        <v>84</v>
      </c>
      <c r="F18" s="71" t="s">
        <v>6101</v>
      </c>
      <c r="G18" s="22" t="s">
        <v>85</v>
      </c>
      <c r="H18" s="5" t="s">
        <v>86</v>
      </c>
      <c r="I18" s="5" t="s">
        <v>67</v>
      </c>
      <c r="J18" s="5" t="s">
        <v>5400</v>
      </c>
      <c r="K18" s="5" t="s">
        <v>87</v>
      </c>
      <c r="L18" s="22"/>
      <c r="M18" s="8" t="str">
        <f t="shared" si="0"/>
        <v>Ok</v>
      </c>
      <c r="N18" s="9" t="b">
        <f t="shared" si="1"/>
        <v>0</v>
      </c>
      <c r="O18" s="9" t="b">
        <f t="shared" si="2"/>
        <v>1</v>
      </c>
      <c r="P18" s="8" t="str">
        <f t="shared" si="3"/>
        <v>FALSE</v>
      </c>
      <c r="Q18" s="8" t="str">
        <f t="shared" si="4"/>
        <v>FALSE</v>
      </c>
      <c r="R18" s="9" t="b">
        <f t="shared" si="5"/>
        <v>1</v>
      </c>
      <c r="S18" s="8" t="b">
        <f t="shared" si="6"/>
        <v>0</v>
      </c>
      <c r="T18" s="10" t="b">
        <f t="shared" si="7"/>
        <v>0</v>
      </c>
      <c r="U18" s="8" t="str">
        <f t="shared" si="8"/>
        <v>TRUE</v>
      </c>
      <c r="V18" s="11" t="str">
        <f t="shared" si="9"/>
        <v>TRUE</v>
      </c>
    </row>
    <row r="19" spans="1:22" ht="15.75">
      <c r="A19" s="21">
        <v>17</v>
      </c>
      <c r="B19" s="5" t="s">
        <v>88</v>
      </c>
      <c r="C19" s="23" t="s">
        <v>3075</v>
      </c>
      <c r="D19" s="23" t="s">
        <v>77</v>
      </c>
      <c r="E19" s="5" t="s">
        <v>89</v>
      </c>
      <c r="F19" s="71" t="s">
        <v>6101</v>
      </c>
      <c r="G19" s="22" t="s">
        <v>19</v>
      </c>
      <c r="H19" s="5" t="s">
        <v>20</v>
      </c>
      <c r="I19" s="5" t="s">
        <v>56</v>
      </c>
      <c r="J19" s="5" t="s">
        <v>5082</v>
      </c>
      <c r="K19" s="5" t="s">
        <v>90</v>
      </c>
      <c r="L19" s="22"/>
      <c r="M19" s="8" t="str">
        <f t="shared" si="0"/>
        <v>Ok</v>
      </c>
      <c r="N19" s="9" t="b">
        <f t="shared" si="1"/>
        <v>0</v>
      </c>
      <c r="O19" s="9" t="b">
        <f t="shared" si="2"/>
        <v>0</v>
      </c>
      <c r="P19" s="8" t="str">
        <f t="shared" si="3"/>
        <v>FALSE</v>
      </c>
      <c r="Q19" s="8" t="str">
        <f t="shared" si="4"/>
        <v>FALSE</v>
      </c>
      <c r="R19" s="9" t="b">
        <f t="shared" si="5"/>
        <v>1</v>
      </c>
      <c r="S19" s="8" t="b">
        <f t="shared" si="6"/>
        <v>1</v>
      </c>
      <c r="T19" s="10" t="b">
        <f t="shared" si="7"/>
        <v>1</v>
      </c>
      <c r="U19" s="8" t="str">
        <f t="shared" si="8"/>
        <v>TRUE</v>
      </c>
      <c r="V19" s="11" t="str">
        <f t="shared" si="9"/>
        <v>TRUE</v>
      </c>
    </row>
    <row r="20" spans="1:22" ht="15.75">
      <c r="A20" s="21">
        <v>18</v>
      </c>
      <c r="B20" s="5" t="s">
        <v>91</v>
      </c>
      <c r="C20" s="23" t="s">
        <v>3324</v>
      </c>
      <c r="D20" s="23" t="s">
        <v>34</v>
      </c>
      <c r="E20" s="5" t="s">
        <v>92</v>
      </c>
      <c r="F20" s="71" t="s">
        <v>6101</v>
      </c>
      <c r="G20" s="22" t="s">
        <v>93</v>
      </c>
      <c r="H20" s="5" t="s">
        <v>94</v>
      </c>
      <c r="I20" s="5" t="s">
        <v>21</v>
      </c>
      <c r="J20" s="5" t="s">
        <v>5011</v>
      </c>
      <c r="K20" s="5" t="s">
        <v>95</v>
      </c>
      <c r="L20" s="22"/>
      <c r="M20" s="8" t="str">
        <f t="shared" si="0"/>
        <v>Ok</v>
      </c>
      <c r="N20" s="9" t="b">
        <f t="shared" si="1"/>
        <v>1</v>
      </c>
      <c r="O20" s="9" t="b">
        <f t="shared" si="2"/>
        <v>0</v>
      </c>
      <c r="P20" s="8" t="str">
        <f t="shared" si="3"/>
        <v>FALSE</v>
      </c>
      <c r="Q20" s="8" t="str">
        <f t="shared" si="4"/>
        <v>FALSE</v>
      </c>
      <c r="R20" s="9" t="b">
        <f t="shared" si="5"/>
        <v>0</v>
      </c>
      <c r="S20" s="8" t="b">
        <f t="shared" si="6"/>
        <v>0</v>
      </c>
      <c r="T20" s="10" t="b">
        <f t="shared" si="7"/>
        <v>0</v>
      </c>
      <c r="U20" s="8" t="str">
        <f t="shared" si="8"/>
        <v>TRUE</v>
      </c>
      <c r="V20" s="11" t="str">
        <f t="shared" si="9"/>
        <v>TRUE</v>
      </c>
    </row>
    <row r="21" spans="1:22" ht="15.75">
      <c r="A21" s="21">
        <v>19</v>
      </c>
      <c r="B21" s="5" t="s">
        <v>96</v>
      </c>
      <c r="C21" s="23" t="s">
        <v>3195</v>
      </c>
      <c r="D21" s="23" t="s">
        <v>34</v>
      </c>
      <c r="E21" s="5" t="s">
        <v>97</v>
      </c>
      <c r="F21" s="71" t="s">
        <v>6101</v>
      </c>
      <c r="G21" s="22" t="s">
        <v>179</v>
      </c>
      <c r="H21" s="5" t="s">
        <v>3932</v>
      </c>
      <c r="I21" s="5" t="s">
        <v>67</v>
      </c>
      <c r="J21" s="5" t="s">
        <v>5346</v>
      </c>
      <c r="K21" s="5" t="s">
        <v>99</v>
      </c>
      <c r="L21" s="22"/>
      <c r="M21" s="8" t="str">
        <f t="shared" si="0"/>
        <v>Ok</v>
      </c>
      <c r="N21" s="9" t="b">
        <f t="shared" si="1"/>
        <v>1</v>
      </c>
      <c r="O21" s="9" t="b">
        <f t="shared" si="2"/>
        <v>0</v>
      </c>
      <c r="P21" s="8" t="str">
        <f t="shared" si="3"/>
        <v>FALSE</v>
      </c>
      <c r="Q21" s="8" t="str">
        <f t="shared" si="4"/>
        <v>FALSE</v>
      </c>
      <c r="R21" s="9" t="b">
        <f t="shared" si="5"/>
        <v>1</v>
      </c>
      <c r="S21" s="8" t="b">
        <f t="shared" si="6"/>
        <v>0</v>
      </c>
      <c r="T21" s="10" t="b">
        <f t="shared" si="7"/>
        <v>0</v>
      </c>
      <c r="U21" s="8" t="str">
        <f t="shared" si="8"/>
        <v>TRUE</v>
      </c>
      <c r="V21" s="11" t="str">
        <f t="shared" si="9"/>
        <v>TRUE</v>
      </c>
    </row>
    <row r="22" spans="1:22" ht="15.75">
      <c r="A22" s="21">
        <v>20</v>
      </c>
      <c r="B22" s="5" t="s">
        <v>100</v>
      </c>
      <c r="C22" s="23" t="s">
        <v>3436</v>
      </c>
      <c r="D22" s="23" t="s">
        <v>17</v>
      </c>
      <c r="E22" s="5" t="s">
        <v>101</v>
      </c>
      <c r="F22" s="71" t="s">
        <v>6101</v>
      </c>
      <c r="G22" s="22" t="s">
        <v>102</v>
      </c>
      <c r="H22" s="5" t="s">
        <v>55</v>
      </c>
      <c r="I22" s="5" t="s">
        <v>21</v>
      </c>
      <c r="J22" s="5" t="s">
        <v>5481</v>
      </c>
      <c r="K22" s="5" t="s">
        <v>103</v>
      </c>
      <c r="L22" s="22"/>
      <c r="M22" s="8" t="str">
        <f t="shared" si="0"/>
        <v>Ok</v>
      </c>
      <c r="N22" s="9" t="b">
        <f t="shared" si="1"/>
        <v>1</v>
      </c>
      <c r="O22" s="9" t="b">
        <f t="shared" si="2"/>
        <v>1</v>
      </c>
      <c r="P22" s="8" t="str">
        <f t="shared" si="3"/>
        <v>FALSE</v>
      </c>
      <c r="Q22" s="8" t="str">
        <f t="shared" si="4"/>
        <v>FALSE</v>
      </c>
      <c r="R22" s="9" t="b">
        <f t="shared" si="5"/>
        <v>0</v>
      </c>
      <c r="S22" s="8" t="b">
        <f t="shared" si="6"/>
        <v>0</v>
      </c>
      <c r="T22" s="10" t="b">
        <f t="shared" si="7"/>
        <v>0</v>
      </c>
      <c r="U22" s="8" t="str">
        <f t="shared" si="8"/>
        <v>FALSE</v>
      </c>
      <c r="V22" s="11" t="str">
        <f t="shared" si="9"/>
        <v>TRUE</v>
      </c>
    </row>
    <row r="23" spans="1:22" ht="15.75">
      <c r="A23" s="21">
        <v>21</v>
      </c>
      <c r="B23" s="5" t="s">
        <v>104</v>
      </c>
      <c r="C23" s="23" t="s">
        <v>2979</v>
      </c>
      <c r="D23" s="23" t="s">
        <v>34</v>
      </c>
      <c r="E23" s="5" t="s">
        <v>105</v>
      </c>
      <c r="F23" s="71" t="s">
        <v>6101</v>
      </c>
      <c r="G23" s="22" t="s">
        <v>40</v>
      </c>
      <c r="H23" s="5" t="s">
        <v>71</v>
      </c>
      <c r="I23" s="5" t="s">
        <v>50</v>
      </c>
      <c r="J23" s="5" t="s">
        <v>5458</v>
      </c>
      <c r="K23" s="5" t="s">
        <v>106</v>
      </c>
      <c r="L23" s="22"/>
      <c r="M23" s="8" t="str">
        <f t="shared" si="0"/>
        <v>Ok</v>
      </c>
      <c r="N23" s="9" t="b">
        <f t="shared" si="1"/>
        <v>0</v>
      </c>
      <c r="O23" s="9" t="b">
        <f t="shared" si="2"/>
        <v>0</v>
      </c>
      <c r="P23" s="8" t="str">
        <f t="shared" si="3"/>
        <v>FALSE</v>
      </c>
      <c r="Q23" s="8" t="str">
        <f t="shared" si="4"/>
        <v>FALSE</v>
      </c>
      <c r="R23" s="9" t="b">
        <f t="shared" si="5"/>
        <v>1</v>
      </c>
      <c r="S23" s="8" t="b">
        <f t="shared" si="6"/>
        <v>1</v>
      </c>
      <c r="T23" s="10" t="b">
        <f t="shared" si="7"/>
        <v>0</v>
      </c>
      <c r="U23" s="8" t="str">
        <f t="shared" si="8"/>
        <v>FALSE</v>
      </c>
      <c r="V23" s="11" t="str">
        <f t="shared" si="9"/>
        <v>TRUE</v>
      </c>
    </row>
    <row r="24" spans="1:22" ht="15.75">
      <c r="A24" s="21">
        <v>22</v>
      </c>
      <c r="B24" s="5" t="s">
        <v>107</v>
      </c>
      <c r="C24" s="23" t="s">
        <v>2980</v>
      </c>
      <c r="D24" s="23" t="s">
        <v>34</v>
      </c>
      <c r="E24" s="5" t="s">
        <v>108</v>
      </c>
      <c r="F24" s="71" t="s">
        <v>6101</v>
      </c>
      <c r="G24" s="22" t="s">
        <v>179</v>
      </c>
      <c r="H24" s="5" t="s">
        <v>3932</v>
      </c>
      <c r="I24" s="5" t="s">
        <v>67</v>
      </c>
      <c r="J24" s="5" t="s">
        <v>5120</v>
      </c>
      <c r="K24" s="5" t="s">
        <v>109</v>
      </c>
      <c r="L24" s="22"/>
      <c r="M24" s="8" t="str">
        <f t="shared" si="0"/>
        <v>Ok</v>
      </c>
      <c r="N24" s="9" t="b">
        <f t="shared" si="1"/>
        <v>0</v>
      </c>
      <c r="O24" s="9" t="b">
        <f t="shared" si="2"/>
        <v>0</v>
      </c>
      <c r="P24" s="8" t="str">
        <f t="shared" si="3"/>
        <v>FALSE</v>
      </c>
      <c r="Q24" s="8" t="str">
        <f t="shared" si="4"/>
        <v>FALSE</v>
      </c>
      <c r="R24" s="9" t="b">
        <f t="shared" si="5"/>
        <v>1</v>
      </c>
      <c r="S24" s="8" t="b">
        <f t="shared" si="6"/>
        <v>0</v>
      </c>
      <c r="T24" s="10" t="b">
        <f t="shared" si="7"/>
        <v>0</v>
      </c>
      <c r="U24" s="8" t="str">
        <f t="shared" si="8"/>
        <v>TRUE</v>
      </c>
      <c r="V24" s="11" t="str">
        <f t="shared" si="9"/>
        <v>TRUE</v>
      </c>
    </row>
    <row r="25" spans="1:22" ht="15.75">
      <c r="A25" s="21">
        <v>23</v>
      </c>
      <c r="B25" s="5" t="s">
        <v>110</v>
      </c>
      <c r="C25" s="23" t="s">
        <v>3437</v>
      </c>
      <c r="D25" s="23" t="s">
        <v>17</v>
      </c>
      <c r="E25" s="5" t="s">
        <v>111</v>
      </c>
      <c r="F25" s="71" t="s">
        <v>6101</v>
      </c>
      <c r="G25" s="22" t="s">
        <v>102</v>
      </c>
      <c r="H25" s="5" t="s">
        <v>55</v>
      </c>
      <c r="I25" s="5" t="s">
        <v>50</v>
      </c>
      <c r="J25" s="5" t="s">
        <v>4919</v>
      </c>
      <c r="K25" s="5" t="s">
        <v>112</v>
      </c>
      <c r="L25" s="22"/>
      <c r="M25" s="8" t="str">
        <f t="shared" si="0"/>
        <v>Ok</v>
      </c>
      <c r="N25" s="9" t="b">
        <f t="shared" si="1"/>
        <v>1</v>
      </c>
      <c r="O25" s="9" t="b">
        <f t="shared" si="2"/>
        <v>1</v>
      </c>
      <c r="P25" s="8" t="str">
        <f t="shared" si="3"/>
        <v>FALSE</v>
      </c>
      <c r="Q25" s="8" t="str">
        <f t="shared" si="4"/>
        <v>FALSE</v>
      </c>
      <c r="R25" s="9" t="b">
        <f t="shared" si="5"/>
        <v>0</v>
      </c>
      <c r="S25" s="8" t="b">
        <f t="shared" si="6"/>
        <v>0</v>
      </c>
      <c r="T25" s="10" t="b">
        <f t="shared" si="7"/>
        <v>0</v>
      </c>
      <c r="U25" s="8" t="str">
        <f t="shared" si="8"/>
        <v>TRUE</v>
      </c>
      <c r="V25" s="11" t="str">
        <f t="shared" si="9"/>
        <v>TRUE</v>
      </c>
    </row>
    <row r="26" spans="1:22" ht="15.75">
      <c r="A26" s="21">
        <v>24</v>
      </c>
      <c r="B26" s="5" t="s">
        <v>113</v>
      </c>
      <c r="C26" s="23" t="s">
        <v>3658</v>
      </c>
      <c r="D26" s="23" t="s">
        <v>59</v>
      </c>
      <c r="E26" s="5" t="s">
        <v>114</v>
      </c>
      <c r="F26" s="71" t="s">
        <v>6101</v>
      </c>
      <c r="G26" s="22" t="s">
        <v>3934</v>
      </c>
      <c r="H26" s="5" t="s">
        <v>13</v>
      </c>
      <c r="I26" s="5" t="s">
        <v>26</v>
      </c>
      <c r="J26" s="5" t="s">
        <v>5289</v>
      </c>
      <c r="K26" s="5" t="s">
        <v>116</v>
      </c>
      <c r="L26" s="22"/>
      <c r="M26" s="8" t="str">
        <f t="shared" si="0"/>
        <v>Ok</v>
      </c>
      <c r="N26" s="9" t="b">
        <f t="shared" si="1"/>
        <v>1</v>
      </c>
      <c r="O26" s="9" t="b">
        <f t="shared" si="2"/>
        <v>1</v>
      </c>
      <c r="P26" s="8" t="str">
        <f t="shared" si="3"/>
        <v>FALSE</v>
      </c>
      <c r="Q26" s="8" t="str">
        <f t="shared" si="4"/>
        <v>FALSE</v>
      </c>
      <c r="R26" s="9" t="b">
        <f t="shared" si="5"/>
        <v>0</v>
      </c>
      <c r="S26" s="8" t="b">
        <f t="shared" si="6"/>
        <v>0</v>
      </c>
      <c r="T26" s="10" t="b">
        <f t="shared" si="7"/>
        <v>0</v>
      </c>
      <c r="U26" s="8" t="str">
        <f t="shared" si="8"/>
        <v>TRUE</v>
      </c>
      <c r="V26" s="11" t="str">
        <f t="shared" si="9"/>
        <v>TRUE</v>
      </c>
    </row>
    <row r="27" spans="1:22" ht="15.75">
      <c r="A27" s="21">
        <v>25</v>
      </c>
      <c r="B27" s="5" t="s">
        <v>117</v>
      </c>
      <c r="C27" s="23" t="s">
        <v>3864</v>
      </c>
      <c r="D27" s="23" t="s">
        <v>17</v>
      </c>
      <c r="E27" s="5" t="s">
        <v>118</v>
      </c>
      <c r="F27" s="71" t="s">
        <v>6101</v>
      </c>
      <c r="G27" s="22" t="s">
        <v>119</v>
      </c>
      <c r="H27" s="5" t="s">
        <v>120</v>
      </c>
      <c r="I27" s="5" t="s">
        <v>42</v>
      </c>
      <c r="J27" s="5" t="s">
        <v>4951</v>
      </c>
      <c r="K27" s="5" t="s">
        <v>121</v>
      </c>
      <c r="L27" s="22"/>
      <c r="M27" s="8" t="str">
        <f t="shared" si="0"/>
        <v>Ok</v>
      </c>
      <c r="N27" s="9" t="b">
        <f t="shared" si="1"/>
        <v>0</v>
      </c>
      <c r="O27" s="9" t="b">
        <f t="shared" si="2"/>
        <v>1</v>
      </c>
      <c r="P27" s="8" t="str">
        <f t="shared" si="3"/>
        <v>FALSE</v>
      </c>
      <c r="Q27" s="8" t="str">
        <f t="shared" si="4"/>
        <v>FALSE</v>
      </c>
      <c r="R27" s="9" t="b">
        <f t="shared" si="5"/>
        <v>0</v>
      </c>
      <c r="S27" s="8" t="b">
        <f t="shared" si="6"/>
        <v>1</v>
      </c>
      <c r="T27" s="10" t="b">
        <f t="shared" si="7"/>
        <v>1</v>
      </c>
      <c r="U27" s="8" t="str">
        <f t="shared" si="8"/>
        <v>TRUE</v>
      </c>
      <c r="V27" s="11" t="str">
        <f t="shared" si="9"/>
        <v>TRUE</v>
      </c>
    </row>
    <row r="28" spans="1:22" ht="15.75">
      <c r="A28" s="21">
        <v>26</v>
      </c>
      <c r="B28" s="5" t="s">
        <v>122</v>
      </c>
      <c r="C28" s="23" t="s">
        <v>3543</v>
      </c>
      <c r="D28" s="23" t="s">
        <v>77</v>
      </c>
      <c r="E28" s="5" t="s">
        <v>123</v>
      </c>
      <c r="F28" s="71" t="s">
        <v>6101</v>
      </c>
      <c r="G28" s="22" t="s">
        <v>12</v>
      </c>
      <c r="H28" s="5" t="s">
        <v>36</v>
      </c>
      <c r="I28" s="5" t="s">
        <v>67</v>
      </c>
      <c r="J28" s="5" t="s">
        <v>5073</v>
      </c>
      <c r="K28" s="5" t="s">
        <v>124</v>
      </c>
      <c r="L28" s="22"/>
      <c r="M28" s="8" t="str">
        <f t="shared" si="0"/>
        <v>Ok</v>
      </c>
      <c r="N28" s="9" t="b">
        <f t="shared" si="1"/>
        <v>1</v>
      </c>
      <c r="O28" s="9" t="b">
        <f t="shared" si="2"/>
        <v>0</v>
      </c>
      <c r="P28" s="8" t="str">
        <f t="shared" si="3"/>
        <v>FALSE</v>
      </c>
      <c r="Q28" s="8" t="str">
        <f t="shared" si="4"/>
        <v>FALSE</v>
      </c>
      <c r="R28" s="9" t="b">
        <f t="shared" si="5"/>
        <v>1</v>
      </c>
      <c r="S28" s="8" t="b">
        <f t="shared" si="6"/>
        <v>1</v>
      </c>
      <c r="T28" s="10" t="b">
        <f t="shared" si="7"/>
        <v>0</v>
      </c>
      <c r="U28" s="8" t="str">
        <f t="shared" si="8"/>
        <v>TRUE</v>
      </c>
      <c r="V28" s="11" t="str">
        <f t="shared" si="9"/>
        <v>TRUE</v>
      </c>
    </row>
    <row r="29" spans="1:22" ht="15.75">
      <c r="A29" s="21">
        <v>27</v>
      </c>
      <c r="B29" s="5" t="s">
        <v>125</v>
      </c>
      <c r="C29" s="23" t="s">
        <v>2981</v>
      </c>
      <c r="D29" s="23" t="s">
        <v>34</v>
      </c>
      <c r="E29" s="5" t="s">
        <v>126</v>
      </c>
      <c r="F29" s="71" t="s">
        <v>6101</v>
      </c>
      <c r="G29" s="22" t="s">
        <v>179</v>
      </c>
      <c r="H29" s="5" t="s">
        <v>3932</v>
      </c>
      <c r="I29" s="5" t="s">
        <v>56</v>
      </c>
      <c r="J29" s="5" t="s">
        <v>5202</v>
      </c>
      <c r="K29" s="5" t="s">
        <v>127</v>
      </c>
      <c r="L29" s="22"/>
      <c r="M29" s="8" t="str">
        <f t="shared" si="0"/>
        <v>Ok</v>
      </c>
      <c r="N29" s="9" t="b">
        <f t="shared" si="1"/>
        <v>0</v>
      </c>
      <c r="O29" s="9" t="b">
        <f t="shared" si="2"/>
        <v>0</v>
      </c>
      <c r="P29" s="8" t="str">
        <f t="shared" si="3"/>
        <v>FALSE</v>
      </c>
      <c r="Q29" s="8" t="str">
        <f t="shared" si="4"/>
        <v>FALSE</v>
      </c>
      <c r="R29" s="9" t="b">
        <f t="shared" si="5"/>
        <v>1</v>
      </c>
      <c r="S29" s="8" t="b">
        <f t="shared" si="6"/>
        <v>0</v>
      </c>
      <c r="T29" s="10" t="b">
        <f t="shared" si="7"/>
        <v>1</v>
      </c>
      <c r="U29" s="8" t="str">
        <f t="shared" si="8"/>
        <v>TRUE</v>
      </c>
      <c r="V29" s="11" t="str">
        <f t="shared" si="9"/>
        <v>TRUE</v>
      </c>
    </row>
    <row r="30" spans="1:22" ht="15.75">
      <c r="A30" s="21">
        <v>28</v>
      </c>
      <c r="B30" s="5" t="s">
        <v>128</v>
      </c>
      <c r="C30" s="23" t="s">
        <v>3112</v>
      </c>
      <c r="D30" s="23" t="s">
        <v>77</v>
      </c>
      <c r="E30" s="5" t="s">
        <v>129</v>
      </c>
      <c r="F30" s="71" t="s">
        <v>6101</v>
      </c>
      <c r="G30" s="22" t="s">
        <v>66</v>
      </c>
      <c r="H30" s="5" t="s">
        <v>130</v>
      </c>
      <c r="I30" s="5" t="s">
        <v>56</v>
      </c>
      <c r="J30" s="5" t="s">
        <v>5742</v>
      </c>
      <c r="K30" s="5" t="s">
        <v>131</v>
      </c>
      <c r="L30" s="22"/>
      <c r="M30" s="8" t="str">
        <f t="shared" si="0"/>
        <v>Ok</v>
      </c>
      <c r="N30" s="9" t="b">
        <f t="shared" si="1"/>
        <v>0</v>
      </c>
      <c r="O30" s="9" t="b">
        <f t="shared" si="2"/>
        <v>0</v>
      </c>
      <c r="P30" s="8" t="str">
        <f t="shared" si="3"/>
        <v>FALSE</v>
      </c>
      <c r="Q30" s="8" t="str">
        <f t="shared" si="4"/>
        <v>FALSE</v>
      </c>
      <c r="R30" s="9" t="b">
        <f t="shared" si="5"/>
        <v>0</v>
      </c>
      <c r="S30" s="8" t="b">
        <f t="shared" si="6"/>
        <v>0</v>
      </c>
      <c r="T30" s="10" t="b">
        <f t="shared" si="7"/>
        <v>1</v>
      </c>
      <c r="U30" s="8" t="str">
        <f t="shared" si="8"/>
        <v>FALSE</v>
      </c>
      <c r="V30" s="11" t="str">
        <f t="shared" si="9"/>
        <v>TRUE</v>
      </c>
    </row>
    <row r="31" spans="1:22" ht="15.75">
      <c r="A31" s="21">
        <v>29</v>
      </c>
      <c r="B31" s="5" t="s">
        <v>132</v>
      </c>
      <c r="C31" s="23" t="s">
        <v>3076</v>
      </c>
      <c r="D31" s="23" t="s">
        <v>34</v>
      </c>
      <c r="E31" s="5" t="s">
        <v>133</v>
      </c>
      <c r="F31" s="71" t="s">
        <v>6101</v>
      </c>
      <c r="G31" s="22" t="s">
        <v>179</v>
      </c>
      <c r="H31" s="5" t="s">
        <v>3932</v>
      </c>
      <c r="I31" s="5" t="s">
        <v>21</v>
      </c>
      <c r="J31" s="5" t="s">
        <v>4787</v>
      </c>
      <c r="K31" s="5" t="s">
        <v>134</v>
      </c>
      <c r="L31" s="22"/>
      <c r="M31" s="8" t="str">
        <f t="shared" si="0"/>
        <v>Ok</v>
      </c>
      <c r="N31" s="9" t="b">
        <f t="shared" si="1"/>
        <v>0</v>
      </c>
      <c r="O31" s="9" t="b">
        <f t="shared" si="2"/>
        <v>0</v>
      </c>
      <c r="P31" s="8" t="str">
        <f t="shared" si="3"/>
        <v>FALSE</v>
      </c>
      <c r="Q31" s="8" t="str">
        <f t="shared" si="4"/>
        <v>FALSE</v>
      </c>
      <c r="R31" s="9" t="b">
        <f t="shared" si="5"/>
        <v>1</v>
      </c>
      <c r="S31" s="8" t="b">
        <f t="shared" si="6"/>
        <v>0</v>
      </c>
      <c r="T31" s="10" t="b">
        <f t="shared" si="7"/>
        <v>0</v>
      </c>
      <c r="U31" s="8" t="str">
        <f t="shared" si="8"/>
        <v>TRUE</v>
      </c>
      <c r="V31" s="11" t="str">
        <f t="shared" si="9"/>
        <v>TRUE</v>
      </c>
    </row>
    <row r="32" spans="1:22" ht="15.75">
      <c r="A32" s="21">
        <v>30</v>
      </c>
      <c r="B32" s="5" t="s">
        <v>135</v>
      </c>
      <c r="C32" s="23" t="s">
        <v>2982</v>
      </c>
      <c r="D32" s="23" t="s">
        <v>34</v>
      </c>
      <c r="E32" s="5" t="s">
        <v>136</v>
      </c>
      <c r="F32" s="71" t="s">
        <v>6101</v>
      </c>
      <c r="G32" s="22" t="s">
        <v>179</v>
      </c>
      <c r="H32" s="5" t="s">
        <v>3932</v>
      </c>
      <c r="I32" s="5" t="s">
        <v>67</v>
      </c>
      <c r="J32" s="5" t="s">
        <v>5221</v>
      </c>
      <c r="K32" s="5" t="s">
        <v>137</v>
      </c>
      <c r="L32" s="22"/>
      <c r="M32" s="8" t="str">
        <f t="shared" si="0"/>
        <v>Ok</v>
      </c>
      <c r="N32" s="9" t="b">
        <f t="shared" si="1"/>
        <v>0</v>
      </c>
      <c r="O32" s="9" t="b">
        <f t="shared" si="2"/>
        <v>0</v>
      </c>
      <c r="P32" s="8" t="str">
        <f t="shared" si="3"/>
        <v>FALSE</v>
      </c>
      <c r="Q32" s="8" t="str">
        <f t="shared" si="4"/>
        <v>FALSE</v>
      </c>
      <c r="R32" s="9" t="b">
        <f t="shared" si="5"/>
        <v>1</v>
      </c>
      <c r="S32" s="8" t="b">
        <f t="shared" si="6"/>
        <v>0</v>
      </c>
      <c r="T32" s="10" t="b">
        <f t="shared" si="7"/>
        <v>0</v>
      </c>
      <c r="U32" s="8" t="str">
        <f t="shared" si="8"/>
        <v>TRUE</v>
      </c>
      <c r="V32" s="11" t="str">
        <f t="shared" si="9"/>
        <v>TRUE</v>
      </c>
    </row>
    <row r="33" spans="1:22" ht="15.75">
      <c r="A33" s="21">
        <v>31</v>
      </c>
      <c r="B33" s="5" t="s">
        <v>138</v>
      </c>
      <c r="C33" s="23" t="s">
        <v>3438</v>
      </c>
      <c r="D33" s="23" t="s">
        <v>77</v>
      </c>
      <c r="E33" s="5" t="s">
        <v>139</v>
      </c>
      <c r="F33" s="71" t="s">
        <v>6101</v>
      </c>
      <c r="G33" s="22" t="s">
        <v>160</v>
      </c>
      <c r="H33" s="5" t="s">
        <v>3932</v>
      </c>
      <c r="I33" s="5" t="s">
        <v>42</v>
      </c>
      <c r="J33" s="5" t="s">
        <v>5100</v>
      </c>
      <c r="K33" s="5" t="s">
        <v>141</v>
      </c>
      <c r="L33" s="22"/>
      <c r="M33" s="8" t="str">
        <f t="shared" si="0"/>
        <v>Ok</v>
      </c>
      <c r="N33" s="9" t="b">
        <f t="shared" si="1"/>
        <v>1</v>
      </c>
      <c r="O33" s="9" t="b">
        <f t="shared" si="2"/>
        <v>0</v>
      </c>
      <c r="P33" s="8" t="str">
        <f t="shared" si="3"/>
        <v>FALSE</v>
      </c>
      <c r="Q33" s="8" t="str">
        <f t="shared" si="4"/>
        <v>FALSE</v>
      </c>
      <c r="R33" s="9" t="b">
        <f t="shared" si="5"/>
        <v>0</v>
      </c>
      <c r="S33" s="8" t="b">
        <f t="shared" si="6"/>
        <v>0</v>
      </c>
      <c r="T33" s="10" t="b">
        <f t="shared" si="7"/>
        <v>1</v>
      </c>
      <c r="U33" s="8" t="str">
        <f t="shared" si="8"/>
        <v>TRUE</v>
      </c>
      <c r="V33" s="11" t="str">
        <f t="shared" si="9"/>
        <v>FALSE</v>
      </c>
    </row>
    <row r="34" spans="1:22" ht="15.75">
      <c r="A34" s="21">
        <v>32</v>
      </c>
      <c r="B34" s="5" t="s">
        <v>142</v>
      </c>
      <c r="C34" s="23" t="s">
        <v>3815</v>
      </c>
      <c r="D34" s="23" t="s">
        <v>59</v>
      </c>
      <c r="E34" s="5" t="s">
        <v>143</v>
      </c>
      <c r="F34" s="71" t="s">
        <v>6101</v>
      </c>
      <c r="G34" s="22" t="s">
        <v>144</v>
      </c>
      <c r="H34" s="5" t="s">
        <v>25</v>
      </c>
      <c r="I34" s="5" t="s">
        <v>42</v>
      </c>
      <c r="J34" s="5" t="s">
        <v>5251</v>
      </c>
      <c r="K34" s="5" t="s">
        <v>145</v>
      </c>
      <c r="L34" s="22"/>
      <c r="M34" s="8" t="str">
        <f t="shared" si="0"/>
        <v>Ok</v>
      </c>
      <c r="N34" s="9" t="b">
        <f t="shared" si="1"/>
        <v>0</v>
      </c>
      <c r="O34" s="9" t="b">
        <f t="shared" si="2"/>
        <v>1</v>
      </c>
      <c r="P34" s="8" t="str">
        <f t="shared" si="3"/>
        <v>FALSE</v>
      </c>
      <c r="Q34" s="8" t="str">
        <f t="shared" si="4"/>
        <v>FALSE</v>
      </c>
      <c r="R34" s="9" t="b">
        <f t="shared" si="5"/>
        <v>1</v>
      </c>
      <c r="S34" s="8" t="b">
        <f t="shared" si="6"/>
        <v>0</v>
      </c>
      <c r="T34" s="10" t="b">
        <f t="shared" si="7"/>
        <v>1</v>
      </c>
      <c r="U34" s="8" t="str">
        <f t="shared" si="8"/>
        <v>TRUE</v>
      </c>
      <c r="V34" s="11" t="str">
        <f t="shared" si="9"/>
        <v>TRUE</v>
      </c>
    </row>
    <row r="35" spans="1:22" ht="15.75">
      <c r="A35" s="21">
        <v>33</v>
      </c>
      <c r="B35" s="5" t="s">
        <v>146</v>
      </c>
      <c r="C35" s="23" t="s">
        <v>3439</v>
      </c>
      <c r="D35" s="23" t="s">
        <v>77</v>
      </c>
      <c r="E35" s="5" t="s">
        <v>147</v>
      </c>
      <c r="F35" s="71" t="s">
        <v>6101</v>
      </c>
      <c r="G35" s="22" t="s">
        <v>160</v>
      </c>
      <c r="H35" s="5" t="s">
        <v>3932</v>
      </c>
      <c r="I35" s="5" t="s">
        <v>26</v>
      </c>
      <c r="J35" s="5" t="s">
        <v>5475</v>
      </c>
      <c r="K35" s="5" t="s">
        <v>148</v>
      </c>
      <c r="L35" s="22"/>
      <c r="M35" s="8" t="str">
        <f t="shared" si="0"/>
        <v>Ok</v>
      </c>
      <c r="N35" s="9" t="b">
        <f t="shared" si="1"/>
        <v>1</v>
      </c>
      <c r="O35" s="9" t="b">
        <f t="shared" si="2"/>
        <v>0</v>
      </c>
      <c r="P35" s="8" t="str">
        <f t="shared" si="3"/>
        <v>FALSE</v>
      </c>
      <c r="Q35" s="8" t="str">
        <f t="shared" si="4"/>
        <v>FALSE</v>
      </c>
      <c r="R35" s="9" t="b">
        <f t="shared" si="5"/>
        <v>0</v>
      </c>
      <c r="S35" s="8" t="b">
        <f t="shared" si="6"/>
        <v>0</v>
      </c>
      <c r="T35" s="10" t="b">
        <f t="shared" si="7"/>
        <v>0</v>
      </c>
      <c r="U35" s="8" t="str">
        <f t="shared" si="8"/>
        <v>FALSE</v>
      </c>
      <c r="V35" s="11" t="str">
        <f t="shared" si="9"/>
        <v>TRUE</v>
      </c>
    </row>
    <row r="36" spans="1:22" ht="15.75">
      <c r="A36" s="21">
        <v>34</v>
      </c>
      <c r="B36" s="5" t="s">
        <v>149</v>
      </c>
      <c r="C36" s="23" t="s">
        <v>3077</v>
      </c>
      <c r="D36" s="23" t="s">
        <v>77</v>
      </c>
      <c r="E36" s="5" t="s">
        <v>150</v>
      </c>
      <c r="F36" s="71" t="s">
        <v>6101</v>
      </c>
      <c r="G36" s="22" t="s">
        <v>179</v>
      </c>
      <c r="H36" s="22" t="s">
        <v>179</v>
      </c>
      <c r="I36" s="5" t="s">
        <v>21</v>
      </c>
      <c r="J36" s="5" t="s">
        <v>5192</v>
      </c>
      <c r="K36" s="5" t="s">
        <v>151</v>
      </c>
      <c r="L36" s="22"/>
      <c r="M36" s="8" t="str">
        <f t="shared" si="0"/>
        <v>Ok</v>
      </c>
      <c r="N36" s="9" t="b">
        <f t="shared" si="1"/>
        <v>0</v>
      </c>
      <c r="O36" s="9" t="b">
        <f t="shared" si="2"/>
        <v>0</v>
      </c>
      <c r="P36" s="8" t="str">
        <f t="shared" si="3"/>
        <v>FALSE</v>
      </c>
      <c r="Q36" s="8" t="str">
        <f t="shared" si="4"/>
        <v>FALSE</v>
      </c>
      <c r="R36" s="9" t="b">
        <f t="shared" si="5"/>
        <v>1</v>
      </c>
      <c r="S36" s="8" t="b">
        <f t="shared" si="6"/>
        <v>1</v>
      </c>
      <c r="T36" s="10" t="b">
        <f t="shared" si="7"/>
        <v>0</v>
      </c>
      <c r="U36" s="8" t="str">
        <f t="shared" si="8"/>
        <v>TRUE</v>
      </c>
      <c r="V36" s="11" t="str">
        <f t="shared" si="9"/>
        <v>FALSE</v>
      </c>
    </row>
    <row r="37" spans="1:22" ht="15.75">
      <c r="A37" s="21">
        <v>35</v>
      </c>
      <c r="B37" s="5" t="s">
        <v>152</v>
      </c>
      <c r="C37" s="23" t="s">
        <v>2983</v>
      </c>
      <c r="D37" s="23" t="s">
        <v>34</v>
      </c>
      <c r="E37" s="5" t="s">
        <v>153</v>
      </c>
      <c r="F37" s="71" t="s">
        <v>6101</v>
      </c>
      <c r="G37" s="22" t="s">
        <v>179</v>
      </c>
      <c r="H37" s="5" t="s">
        <v>3932</v>
      </c>
      <c r="I37" s="5" t="s">
        <v>67</v>
      </c>
      <c r="J37" s="5" t="s">
        <v>5007</v>
      </c>
      <c r="K37" s="5" t="s">
        <v>154</v>
      </c>
      <c r="L37" s="22"/>
      <c r="M37" s="8" t="str">
        <f t="shared" si="0"/>
        <v>Ok</v>
      </c>
      <c r="N37" s="9" t="b">
        <f t="shared" si="1"/>
        <v>0</v>
      </c>
      <c r="O37" s="9" t="b">
        <f t="shared" si="2"/>
        <v>0</v>
      </c>
      <c r="P37" s="8" t="str">
        <f t="shared" si="3"/>
        <v>FALSE</v>
      </c>
      <c r="Q37" s="8" t="str">
        <f t="shared" si="4"/>
        <v>FALSE</v>
      </c>
      <c r="R37" s="9" t="b">
        <f t="shared" si="5"/>
        <v>1</v>
      </c>
      <c r="S37" s="8" t="b">
        <f t="shared" si="6"/>
        <v>0</v>
      </c>
      <c r="T37" s="10" t="b">
        <f t="shared" si="7"/>
        <v>0</v>
      </c>
      <c r="U37" s="8" t="str">
        <f t="shared" si="8"/>
        <v>TRUE</v>
      </c>
      <c r="V37" s="11" t="str">
        <f t="shared" si="9"/>
        <v>FALSE</v>
      </c>
    </row>
    <row r="38" spans="1:22" ht="15.75">
      <c r="A38" s="21">
        <v>36</v>
      </c>
      <c r="B38" s="5" t="s">
        <v>155</v>
      </c>
      <c r="C38" s="23" t="s">
        <v>3196</v>
      </c>
      <c r="D38" s="23" t="s">
        <v>34</v>
      </c>
      <c r="E38" s="5" t="s">
        <v>156</v>
      </c>
      <c r="F38" s="71" t="s">
        <v>6101</v>
      </c>
      <c r="G38" s="22" t="s">
        <v>82</v>
      </c>
      <c r="H38" s="5" t="s">
        <v>98</v>
      </c>
      <c r="I38" s="5" t="s">
        <v>21</v>
      </c>
      <c r="J38" s="5" t="s">
        <v>5483</v>
      </c>
      <c r="K38" s="5" t="s">
        <v>157</v>
      </c>
      <c r="L38" s="22"/>
      <c r="M38" s="8" t="str">
        <f t="shared" si="0"/>
        <v>Ok</v>
      </c>
      <c r="N38" s="9" t="b">
        <f t="shared" si="1"/>
        <v>1</v>
      </c>
      <c r="O38" s="9" t="b">
        <f t="shared" si="2"/>
        <v>0</v>
      </c>
      <c r="P38" s="8" t="str">
        <f t="shared" si="3"/>
        <v>FALSE</v>
      </c>
      <c r="Q38" s="8" t="str">
        <f t="shared" si="4"/>
        <v>FALSE</v>
      </c>
      <c r="R38" s="9" t="b">
        <f t="shared" si="5"/>
        <v>0</v>
      </c>
      <c r="S38" s="8" t="b">
        <f t="shared" si="6"/>
        <v>0</v>
      </c>
      <c r="T38" s="10" t="b">
        <f t="shared" si="7"/>
        <v>0</v>
      </c>
      <c r="U38" s="8" t="str">
        <f t="shared" si="8"/>
        <v>FALSE</v>
      </c>
      <c r="V38" s="11" t="str">
        <f t="shared" si="9"/>
        <v>FALSE</v>
      </c>
    </row>
    <row r="39" spans="1:22" ht="15.75">
      <c r="A39" s="21">
        <v>37</v>
      </c>
      <c r="B39" s="5" t="s">
        <v>158</v>
      </c>
      <c r="C39" s="23" t="s">
        <v>3575</v>
      </c>
      <c r="D39" s="23" t="s">
        <v>59</v>
      </c>
      <c r="E39" s="5" t="s">
        <v>159</v>
      </c>
      <c r="F39" s="71" t="s">
        <v>6101</v>
      </c>
      <c r="G39" s="22" t="s">
        <v>160</v>
      </c>
      <c r="H39" s="5" t="s">
        <v>13</v>
      </c>
      <c r="I39" s="5" t="s">
        <v>42</v>
      </c>
      <c r="J39" s="5" t="s">
        <v>5200</v>
      </c>
      <c r="K39" s="5" t="s">
        <v>161</v>
      </c>
      <c r="L39" s="22"/>
      <c r="M39" s="8" t="str">
        <f t="shared" si="0"/>
        <v>Ok</v>
      </c>
      <c r="N39" s="9" t="b">
        <f t="shared" si="1"/>
        <v>1</v>
      </c>
      <c r="O39" s="9" t="b">
        <f t="shared" si="2"/>
        <v>1</v>
      </c>
      <c r="P39" s="8" t="str">
        <f t="shared" si="3"/>
        <v>FALSE</v>
      </c>
      <c r="Q39" s="8" t="str">
        <f t="shared" si="4"/>
        <v>FALSE</v>
      </c>
      <c r="R39" s="9" t="b">
        <f t="shared" si="5"/>
        <v>0</v>
      </c>
      <c r="S39" s="8" t="b">
        <f t="shared" si="6"/>
        <v>0</v>
      </c>
      <c r="T39" s="10" t="b">
        <f t="shared" si="7"/>
        <v>1</v>
      </c>
      <c r="U39" s="8" t="str">
        <f t="shared" si="8"/>
        <v>TRUE</v>
      </c>
      <c r="V39" s="11" t="str">
        <f t="shared" si="9"/>
        <v>TRUE</v>
      </c>
    </row>
    <row r="40" spans="1:22" ht="15.75">
      <c r="A40" s="21">
        <v>38</v>
      </c>
      <c r="B40" s="5" t="s">
        <v>162</v>
      </c>
      <c r="C40" s="23" t="s">
        <v>3544</v>
      </c>
      <c r="D40" s="23" t="s">
        <v>17</v>
      </c>
      <c r="E40" s="5" t="s">
        <v>163</v>
      </c>
      <c r="F40" s="71" t="s">
        <v>6101</v>
      </c>
      <c r="G40" s="22" t="s">
        <v>12</v>
      </c>
      <c r="H40" s="5" t="s">
        <v>36</v>
      </c>
      <c r="I40" s="5" t="s">
        <v>50</v>
      </c>
      <c r="J40" s="5" t="s">
        <v>5604</v>
      </c>
      <c r="K40" s="5">
        <v>846922616</v>
      </c>
      <c r="L40" s="22"/>
      <c r="M40" s="8" t="str">
        <f t="shared" si="0"/>
        <v>Ok</v>
      </c>
      <c r="N40" s="9" t="b">
        <f t="shared" si="1"/>
        <v>1</v>
      </c>
      <c r="O40" s="9" t="b">
        <f t="shared" si="2"/>
        <v>1</v>
      </c>
      <c r="P40" s="8" t="str">
        <f t="shared" si="3"/>
        <v>FALSE</v>
      </c>
      <c r="Q40" s="8" t="str">
        <f t="shared" si="4"/>
        <v>FALSE</v>
      </c>
      <c r="R40" s="9" t="b">
        <f t="shared" si="5"/>
        <v>1</v>
      </c>
      <c r="S40" s="8" t="b">
        <f t="shared" si="6"/>
        <v>1</v>
      </c>
      <c r="T40" s="10" t="b">
        <f t="shared" si="7"/>
        <v>0</v>
      </c>
      <c r="U40" s="8" t="str">
        <f t="shared" si="8"/>
        <v>FALSE</v>
      </c>
      <c r="V40" s="11" t="str">
        <f t="shared" si="9"/>
        <v>FALSE</v>
      </c>
    </row>
    <row r="41" spans="1:22" ht="15.75">
      <c r="A41" s="21">
        <v>39</v>
      </c>
      <c r="B41" s="5" t="s">
        <v>164</v>
      </c>
      <c r="C41" s="23" t="s">
        <v>3197</v>
      </c>
      <c r="D41" s="23" t="s">
        <v>77</v>
      </c>
      <c r="E41" s="5" t="s">
        <v>165</v>
      </c>
      <c r="F41" s="71" t="s">
        <v>6101</v>
      </c>
      <c r="G41" s="22" t="s">
        <v>82</v>
      </c>
      <c r="H41" s="5" t="s">
        <v>98</v>
      </c>
      <c r="I41" s="5" t="s">
        <v>50</v>
      </c>
      <c r="J41" s="5" t="s">
        <v>5386</v>
      </c>
      <c r="K41" s="5" t="s">
        <v>166</v>
      </c>
      <c r="L41" s="22"/>
      <c r="M41" s="8" t="str">
        <f t="shared" si="0"/>
        <v>Ok</v>
      </c>
      <c r="N41" s="9" t="b">
        <f t="shared" si="1"/>
        <v>1</v>
      </c>
      <c r="O41" s="9" t="b">
        <f t="shared" si="2"/>
        <v>0</v>
      </c>
      <c r="P41" s="8" t="str">
        <f t="shared" si="3"/>
        <v>FALSE</v>
      </c>
      <c r="Q41" s="8" t="str">
        <f t="shared" si="4"/>
        <v>FALSE</v>
      </c>
      <c r="R41" s="9" t="b">
        <f t="shared" si="5"/>
        <v>0</v>
      </c>
      <c r="S41" s="8" t="b">
        <f t="shared" si="6"/>
        <v>0</v>
      </c>
      <c r="T41" s="10" t="b">
        <f t="shared" si="7"/>
        <v>0</v>
      </c>
      <c r="U41" s="8" t="str">
        <f t="shared" si="8"/>
        <v>TRUE</v>
      </c>
      <c r="V41" s="11" t="str">
        <f t="shared" si="9"/>
        <v>TRUE</v>
      </c>
    </row>
    <row r="42" spans="1:22" ht="15.75">
      <c r="A42" s="21">
        <v>40</v>
      </c>
      <c r="B42" s="5" t="s">
        <v>167</v>
      </c>
      <c r="C42" s="23" t="s">
        <v>3659</v>
      </c>
      <c r="D42" s="23" t="s">
        <v>17</v>
      </c>
      <c r="E42" s="5" t="s">
        <v>168</v>
      </c>
      <c r="F42" s="71" t="s">
        <v>6101</v>
      </c>
      <c r="G42" s="22" t="s">
        <v>3934</v>
      </c>
      <c r="H42" s="5" t="s">
        <v>13</v>
      </c>
      <c r="I42" s="5" t="s">
        <v>26</v>
      </c>
      <c r="J42" s="5" t="s">
        <v>5516</v>
      </c>
      <c r="K42" s="5" t="s">
        <v>169</v>
      </c>
      <c r="L42" s="22"/>
      <c r="M42" s="8" t="str">
        <f t="shared" si="0"/>
        <v>Ok</v>
      </c>
      <c r="N42" s="9" t="b">
        <f t="shared" si="1"/>
        <v>1</v>
      </c>
      <c r="O42" s="9" t="b">
        <f t="shared" si="2"/>
        <v>1</v>
      </c>
      <c r="P42" s="8" t="str">
        <f t="shared" si="3"/>
        <v>FALSE</v>
      </c>
      <c r="Q42" s="8" t="str">
        <f t="shared" si="4"/>
        <v>FALSE</v>
      </c>
      <c r="R42" s="9" t="b">
        <f t="shared" si="5"/>
        <v>0</v>
      </c>
      <c r="S42" s="8" t="b">
        <f t="shared" si="6"/>
        <v>0</v>
      </c>
      <c r="T42" s="10" t="b">
        <f t="shared" si="7"/>
        <v>0</v>
      </c>
      <c r="U42" s="8" t="str">
        <f t="shared" si="8"/>
        <v>FALSE</v>
      </c>
      <c r="V42" s="11" t="str">
        <f t="shared" si="9"/>
        <v>TRUE</v>
      </c>
    </row>
    <row r="43" spans="1:22" ht="15.75">
      <c r="A43" s="21">
        <v>41</v>
      </c>
      <c r="B43" s="5" t="s">
        <v>170</v>
      </c>
      <c r="C43" s="23" t="s">
        <v>3198</v>
      </c>
      <c r="D43" s="23" t="s">
        <v>77</v>
      </c>
      <c r="E43" s="5" t="s">
        <v>171</v>
      </c>
      <c r="F43" s="71" t="s">
        <v>6101</v>
      </c>
      <c r="G43" s="22" t="s">
        <v>179</v>
      </c>
      <c r="H43" s="5" t="s">
        <v>3932</v>
      </c>
      <c r="I43" s="5" t="s">
        <v>56</v>
      </c>
      <c r="J43" s="5" t="s">
        <v>5749</v>
      </c>
      <c r="K43" s="5" t="s">
        <v>173</v>
      </c>
      <c r="L43" s="22"/>
      <c r="M43" s="8" t="str">
        <f t="shared" si="0"/>
        <v>Ok</v>
      </c>
      <c r="N43" s="9" t="b">
        <f t="shared" si="1"/>
        <v>1</v>
      </c>
      <c r="O43" s="9" t="b">
        <f t="shared" si="2"/>
        <v>0</v>
      </c>
      <c r="P43" s="8" t="str">
        <f t="shared" si="3"/>
        <v>FALSE</v>
      </c>
      <c r="Q43" s="8" t="str">
        <f t="shared" si="4"/>
        <v>FALSE</v>
      </c>
      <c r="R43" s="9" t="b">
        <f t="shared" si="5"/>
        <v>1</v>
      </c>
      <c r="S43" s="8" t="b">
        <f t="shared" si="6"/>
        <v>0</v>
      </c>
      <c r="T43" s="10" t="b">
        <f t="shared" si="7"/>
        <v>1</v>
      </c>
      <c r="U43" s="8" t="str">
        <f t="shared" si="8"/>
        <v>FALSE</v>
      </c>
      <c r="V43" s="11" t="str">
        <f t="shared" si="9"/>
        <v>FALSE</v>
      </c>
    </row>
    <row r="44" spans="1:22" ht="15.75">
      <c r="A44" s="21">
        <v>42</v>
      </c>
      <c r="B44" s="5" t="s">
        <v>174</v>
      </c>
      <c r="C44" s="23" t="s">
        <v>3660</v>
      </c>
      <c r="D44" s="23" t="s">
        <v>17</v>
      </c>
      <c r="E44" s="5" t="s">
        <v>175</v>
      </c>
      <c r="F44" s="71" t="s">
        <v>6101</v>
      </c>
      <c r="G44" s="22" t="s">
        <v>30</v>
      </c>
      <c r="H44" s="5" t="s">
        <v>31</v>
      </c>
      <c r="I44" s="5" t="s">
        <v>21</v>
      </c>
      <c r="J44" s="5" t="s">
        <v>5599</v>
      </c>
      <c r="K44" s="5" t="s">
        <v>176</v>
      </c>
      <c r="L44" s="22"/>
      <c r="M44" s="8" t="str">
        <f t="shared" si="0"/>
        <v>Ok</v>
      </c>
      <c r="N44" s="9" t="b">
        <f t="shared" si="1"/>
        <v>1</v>
      </c>
      <c r="O44" s="9" t="b">
        <f t="shared" si="2"/>
        <v>1</v>
      </c>
      <c r="P44" s="8" t="str">
        <f t="shared" si="3"/>
        <v>FALSE</v>
      </c>
      <c r="Q44" s="8" t="str">
        <f t="shared" si="4"/>
        <v>FALSE</v>
      </c>
      <c r="R44" s="9" t="b">
        <f t="shared" si="5"/>
        <v>0</v>
      </c>
      <c r="S44" s="8" t="b">
        <f t="shared" si="6"/>
        <v>1</v>
      </c>
      <c r="T44" s="10" t="b">
        <f t="shared" si="7"/>
        <v>0</v>
      </c>
      <c r="U44" s="8" t="str">
        <f t="shared" si="8"/>
        <v>FALSE</v>
      </c>
      <c r="V44" s="11" t="str">
        <f t="shared" si="9"/>
        <v>TRUE</v>
      </c>
    </row>
    <row r="45" spans="1:22" ht="15.75">
      <c r="A45" s="21">
        <v>43</v>
      </c>
      <c r="B45" s="5" t="s">
        <v>177</v>
      </c>
      <c r="C45" s="23" t="s">
        <v>3576</v>
      </c>
      <c r="D45" s="23" t="s">
        <v>17</v>
      </c>
      <c r="E45" s="5" t="s">
        <v>178</v>
      </c>
      <c r="F45" s="71" t="s">
        <v>6101</v>
      </c>
      <c r="G45" s="22" t="s">
        <v>179</v>
      </c>
      <c r="H45" s="5" t="s">
        <v>13</v>
      </c>
      <c r="I45" s="5" t="s">
        <v>14</v>
      </c>
      <c r="J45" s="5" t="s">
        <v>5213</v>
      </c>
      <c r="K45" s="5" t="s">
        <v>180</v>
      </c>
      <c r="L45" s="22"/>
      <c r="M45" s="8" t="str">
        <f t="shared" si="0"/>
        <v>Ok</v>
      </c>
      <c r="N45" s="9" t="b">
        <f t="shared" si="1"/>
        <v>1</v>
      </c>
      <c r="O45" s="9" t="b">
        <f t="shared" si="2"/>
        <v>1</v>
      </c>
      <c r="P45" s="8" t="str">
        <f t="shared" si="3"/>
        <v>FALSE</v>
      </c>
      <c r="Q45" s="8" t="str">
        <f t="shared" si="4"/>
        <v>FALSE</v>
      </c>
      <c r="R45" s="9" t="b">
        <f t="shared" si="5"/>
        <v>1</v>
      </c>
      <c r="S45" s="8" t="b">
        <f t="shared" si="6"/>
        <v>0</v>
      </c>
      <c r="T45" s="10" t="b">
        <f t="shared" si="7"/>
        <v>1</v>
      </c>
      <c r="U45" s="8" t="str">
        <f t="shared" si="8"/>
        <v>TRUE</v>
      </c>
      <c r="V45" s="11" t="str">
        <f t="shared" si="9"/>
        <v>TRUE</v>
      </c>
    </row>
    <row r="46" spans="1:22" ht="15.75">
      <c r="A46" s="21">
        <v>44</v>
      </c>
      <c r="B46" s="5" t="s">
        <v>181</v>
      </c>
      <c r="C46" s="23" t="s">
        <v>3325</v>
      </c>
      <c r="D46" s="23" t="s">
        <v>34</v>
      </c>
      <c r="E46" s="5" t="s">
        <v>182</v>
      </c>
      <c r="F46" s="71" t="s">
        <v>6101</v>
      </c>
      <c r="G46" s="22" t="s">
        <v>3933</v>
      </c>
      <c r="H46" s="5" t="s">
        <v>3932</v>
      </c>
      <c r="I46" s="5" t="s">
        <v>56</v>
      </c>
      <c r="J46" s="5" t="s">
        <v>5665</v>
      </c>
      <c r="K46" s="5" t="s">
        <v>183</v>
      </c>
      <c r="L46" s="22"/>
      <c r="M46" s="8" t="str">
        <f t="shared" si="0"/>
        <v>Ok</v>
      </c>
      <c r="N46" s="9" t="b">
        <f t="shared" si="1"/>
        <v>1</v>
      </c>
      <c r="O46" s="9" t="b">
        <f t="shared" si="2"/>
        <v>0</v>
      </c>
      <c r="P46" s="8" t="str">
        <f t="shared" si="3"/>
        <v>FALSE</v>
      </c>
      <c r="Q46" s="8" t="str">
        <f t="shared" si="4"/>
        <v>FALSE</v>
      </c>
      <c r="R46" s="9" t="b">
        <f t="shared" si="5"/>
        <v>0</v>
      </c>
      <c r="S46" s="8" t="b">
        <f t="shared" si="6"/>
        <v>0</v>
      </c>
      <c r="T46" s="10" t="b">
        <f t="shared" si="7"/>
        <v>1</v>
      </c>
      <c r="U46" s="8" t="str">
        <f t="shared" si="8"/>
        <v>FALSE</v>
      </c>
      <c r="V46" s="11" t="str">
        <f t="shared" si="9"/>
        <v>TRUE</v>
      </c>
    </row>
    <row r="47" spans="1:22" ht="15.75">
      <c r="A47" s="21">
        <v>45</v>
      </c>
      <c r="B47" s="5" t="s">
        <v>184</v>
      </c>
      <c r="C47" s="23" t="s">
        <v>3577</v>
      </c>
      <c r="D47" s="23" t="s">
        <v>59</v>
      </c>
      <c r="E47" s="5" t="s">
        <v>185</v>
      </c>
      <c r="F47" s="71" t="s">
        <v>6101</v>
      </c>
      <c r="G47" s="22" t="s">
        <v>160</v>
      </c>
      <c r="H47" s="5" t="s">
        <v>36</v>
      </c>
      <c r="I47" s="5" t="s">
        <v>21</v>
      </c>
      <c r="J47" s="5" t="s">
        <v>5383</v>
      </c>
      <c r="K47" s="5" t="s">
        <v>186</v>
      </c>
      <c r="L47" s="22"/>
      <c r="M47" s="8" t="str">
        <f t="shared" si="0"/>
        <v>Ok</v>
      </c>
      <c r="N47" s="9" t="b">
        <f t="shared" si="1"/>
        <v>1</v>
      </c>
      <c r="O47" s="9" t="b">
        <f t="shared" si="2"/>
        <v>1</v>
      </c>
      <c r="P47" s="8" t="str">
        <f t="shared" si="3"/>
        <v>FALSE</v>
      </c>
      <c r="Q47" s="8" t="str">
        <f t="shared" si="4"/>
        <v>FALSE</v>
      </c>
      <c r="R47" s="9" t="b">
        <f t="shared" si="5"/>
        <v>0</v>
      </c>
      <c r="S47" s="8" t="b">
        <f t="shared" si="6"/>
        <v>1</v>
      </c>
      <c r="T47" s="10" t="b">
        <f t="shared" si="7"/>
        <v>0</v>
      </c>
      <c r="U47" s="8" t="str">
        <f t="shared" si="8"/>
        <v>TRUE</v>
      </c>
      <c r="V47" s="11" t="str">
        <f t="shared" si="9"/>
        <v>TRUE</v>
      </c>
    </row>
    <row r="48" spans="1:22" ht="15.75">
      <c r="A48" s="21">
        <v>46</v>
      </c>
      <c r="B48" s="5" t="s">
        <v>187</v>
      </c>
      <c r="C48" s="23" t="s">
        <v>3284</v>
      </c>
      <c r="D48" s="23" t="s">
        <v>77</v>
      </c>
      <c r="E48" s="5" t="s">
        <v>188</v>
      </c>
      <c r="F48" s="71" t="s">
        <v>6101</v>
      </c>
      <c r="G48" s="22" t="s">
        <v>179</v>
      </c>
      <c r="H48" s="5" t="s">
        <v>3932</v>
      </c>
      <c r="I48" s="5" t="s">
        <v>21</v>
      </c>
      <c r="J48" s="5" t="s">
        <v>4803</v>
      </c>
      <c r="K48" s="5" t="s">
        <v>189</v>
      </c>
      <c r="L48" s="22"/>
      <c r="M48" s="8" t="str">
        <f t="shared" si="0"/>
        <v>Ok</v>
      </c>
      <c r="N48" s="9" t="b">
        <f t="shared" si="1"/>
        <v>1</v>
      </c>
      <c r="O48" s="9" t="b">
        <f t="shared" si="2"/>
        <v>0</v>
      </c>
      <c r="P48" s="8" t="str">
        <f t="shared" si="3"/>
        <v>FALSE</v>
      </c>
      <c r="Q48" s="8" t="str">
        <f t="shared" si="4"/>
        <v>FALSE</v>
      </c>
      <c r="R48" s="9" t="b">
        <f t="shared" si="5"/>
        <v>1</v>
      </c>
      <c r="S48" s="8" t="b">
        <f t="shared" si="6"/>
        <v>0</v>
      </c>
      <c r="T48" s="10" t="b">
        <f t="shared" si="7"/>
        <v>0</v>
      </c>
      <c r="U48" s="8" t="str">
        <f t="shared" si="8"/>
        <v>TRUE</v>
      </c>
      <c r="V48" s="11" t="str">
        <f t="shared" si="9"/>
        <v>TRUE</v>
      </c>
    </row>
    <row r="49" spans="1:22" ht="15.75">
      <c r="A49" s="21">
        <v>47</v>
      </c>
      <c r="B49" s="5" t="s">
        <v>190</v>
      </c>
      <c r="C49" s="23" t="s">
        <v>3578</v>
      </c>
      <c r="D49" s="23" t="s">
        <v>59</v>
      </c>
      <c r="E49" s="5" t="s">
        <v>191</v>
      </c>
      <c r="F49" s="71" t="s">
        <v>6101</v>
      </c>
      <c r="G49" s="22" t="s">
        <v>160</v>
      </c>
      <c r="H49" s="5" t="s">
        <v>36</v>
      </c>
      <c r="I49" s="5" t="s">
        <v>67</v>
      </c>
      <c r="J49" s="5" t="s">
        <v>5592</v>
      </c>
      <c r="K49" s="5" t="s">
        <v>192</v>
      </c>
      <c r="L49" s="22"/>
      <c r="M49" s="8" t="str">
        <f t="shared" si="0"/>
        <v>Ok</v>
      </c>
      <c r="N49" s="9" t="b">
        <f t="shared" si="1"/>
        <v>1</v>
      </c>
      <c r="O49" s="9" t="b">
        <f t="shared" si="2"/>
        <v>1</v>
      </c>
      <c r="P49" s="8" t="str">
        <f t="shared" si="3"/>
        <v>FALSE</v>
      </c>
      <c r="Q49" s="8" t="str">
        <f t="shared" si="4"/>
        <v>FALSE</v>
      </c>
      <c r="R49" s="9" t="b">
        <f t="shared" si="5"/>
        <v>0</v>
      </c>
      <c r="S49" s="8" t="b">
        <f t="shared" si="6"/>
        <v>1</v>
      </c>
      <c r="T49" s="10" t="b">
        <f t="shared" si="7"/>
        <v>0</v>
      </c>
      <c r="U49" s="8" t="str">
        <f t="shared" si="8"/>
        <v>FALSE</v>
      </c>
      <c r="V49" s="11" t="str">
        <f t="shared" si="9"/>
        <v>TRUE</v>
      </c>
    </row>
    <row r="50" spans="1:22" ht="15.75">
      <c r="A50" s="21">
        <v>48</v>
      </c>
      <c r="B50" s="5" t="s">
        <v>193</v>
      </c>
      <c r="C50" s="23" t="s">
        <v>3865</v>
      </c>
      <c r="D50" s="23" t="s">
        <v>17</v>
      </c>
      <c r="E50" s="5" t="s">
        <v>194</v>
      </c>
      <c r="F50" s="71" t="s">
        <v>6101</v>
      </c>
      <c r="G50" s="22" t="s">
        <v>85</v>
      </c>
      <c r="H50" s="5" t="s">
        <v>120</v>
      </c>
      <c r="I50" s="5" t="s">
        <v>50</v>
      </c>
      <c r="J50" s="5" t="s">
        <v>4810</v>
      </c>
      <c r="K50" s="5" t="s">
        <v>195</v>
      </c>
      <c r="L50" s="22"/>
      <c r="M50" s="8" t="str">
        <f t="shared" si="0"/>
        <v>Ok</v>
      </c>
      <c r="N50" s="9" t="b">
        <f t="shared" si="1"/>
        <v>0</v>
      </c>
      <c r="O50" s="9" t="b">
        <f t="shared" si="2"/>
        <v>1</v>
      </c>
      <c r="P50" s="8" t="str">
        <f t="shared" si="3"/>
        <v>FALSE</v>
      </c>
      <c r="Q50" s="8" t="str">
        <f t="shared" si="4"/>
        <v>FALSE</v>
      </c>
      <c r="R50" s="9" t="b">
        <f t="shared" si="5"/>
        <v>1</v>
      </c>
      <c r="S50" s="8" t="b">
        <f t="shared" si="6"/>
        <v>1</v>
      </c>
      <c r="T50" s="10" t="b">
        <f t="shared" si="7"/>
        <v>0</v>
      </c>
      <c r="U50" s="8" t="str">
        <f t="shared" si="8"/>
        <v>TRUE</v>
      </c>
      <c r="V50" s="11" t="str">
        <f t="shared" si="9"/>
        <v>TRUE</v>
      </c>
    </row>
    <row r="51" spans="1:22" ht="15.75">
      <c r="A51" s="21">
        <v>49</v>
      </c>
      <c r="B51" s="5" t="s">
        <v>196</v>
      </c>
      <c r="C51" s="23" t="s">
        <v>3113</v>
      </c>
      <c r="D51" s="23" t="s">
        <v>77</v>
      </c>
      <c r="E51" s="5" t="s">
        <v>197</v>
      </c>
      <c r="F51" s="71" t="s">
        <v>6101</v>
      </c>
      <c r="G51" s="22" t="s">
        <v>179</v>
      </c>
      <c r="H51" s="22" t="s">
        <v>179</v>
      </c>
      <c r="I51" s="5" t="s">
        <v>14</v>
      </c>
      <c r="J51" s="5" t="s">
        <v>5099</v>
      </c>
      <c r="K51" s="5" t="s">
        <v>199</v>
      </c>
      <c r="L51" s="22"/>
      <c r="M51" s="8" t="str">
        <f t="shared" si="0"/>
        <v>Ok</v>
      </c>
      <c r="N51" s="9" t="b">
        <f t="shared" si="1"/>
        <v>0</v>
      </c>
      <c r="O51" s="9" t="b">
        <f t="shared" si="2"/>
        <v>0</v>
      </c>
      <c r="P51" s="8" t="str">
        <f t="shared" si="3"/>
        <v>FALSE</v>
      </c>
      <c r="Q51" s="8" t="str">
        <f t="shared" si="4"/>
        <v>FALSE</v>
      </c>
      <c r="R51" s="9" t="b">
        <f t="shared" si="5"/>
        <v>1</v>
      </c>
      <c r="S51" s="8" t="b">
        <f t="shared" si="6"/>
        <v>1</v>
      </c>
      <c r="T51" s="10" t="b">
        <f t="shared" si="7"/>
        <v>1</v>
      </c>
      <c r="U51" s="8" t="str">
        <f t="shared" si="8"/>
        <v>TRUE</v>
      </c>
      <c r="V51" s="11" t="str">
        <f t="shared" si="9"/>
        <v>TRUE</v>
      </c>
    </row>
    <row r="52" spans="1:22" ht="15.75">
      <c r="A52" s="21">
        <v>50</v>
      </c>
      <c r="B52" s="5" t="s">
        <v>200</v>
      </c>
      <c r="C52" s="23" t="s">
        <v>3199</v>
      </c>
      <c r="D52" s="23" t="s">
        <v>77</v>
      </c>
      <c r="E52" s="5" t="s">
        <v>201</v>
      </c>
      <c r="F52" s="71" t="s">
        <v>6101</v>
      </c>
      <c r="G52" s="22" t="s">
        <v>179</v>
      </c>
      <c r="H52" s="5" t="s">
        <v>3932</v>
      </c>
      <c r="I52" s="5" t="s">
        <v>67</v>
      </c>
      <c r="J52" s="5" t="s">
        <v>5188</v>
      </c>
      <c r="K52" s="5" t="s">
        <v>202</v>
      </c>
      <c r="L52" s="22"/>
      <c r="M52" s="8" t="str">
        <f t="shared" si="0"/>
        <v>Ok</v>
      </c>
      <c r="N52" s="9" t="b">
        <f t="shared" si="1"/>
        <v>1</v>
      </c>
      <c r="O52" s="9" t="b">
        <f t="shared" si="2"/>
        <v>0</v>
      </c>
      <c r="P52" s="8" t="str">
        <f t="shared" si="3"/>
        <v>FALSE</v>
      </c>
      <c r="Q52" s="8" t="str">
        <f t="shared" si="4"/>
        <v>FALSE</v>
      </c>
      <c r="R52" s="9" t="b">
        <f t="shared" si="5"/>
        <v>1</v>
      </c>
      <c r="S52" s="8" t="b">
        <f t="shared" si="6"/>
        <v>0</v>
      </c>
      <c r="T52" s="10" t="b">
        <f t="shared" si="7"/>
        <v>0</v>
      </c>
      <c r="U52" s="8" t="str">
        <f t="shared" si="8"/>
        <v>TRUE</v>
      </c>
      <c r="V52" s="11" t="str">
        <f t="shared" si="9"/>
        <v>TRUE</v>
      </c>
    </row>
    <row r="53" spans="1:22" ht="15.75">
      <c r="A53" s="21">
        <v>51</v>
      </c>
      <c r="B53" s="5" t="s">
        <v>203</v>
      </c>
      <c r="C53" s="23" t="s">
        <v>2984</v>
      </c>
      <c r="D53" s="23" t="s">
        <v>34</v>
      </c>
      <c r="E53" s="5" t="s">
        <v>204</v>
      </c>
      <c r="F53" s="71" t="s">
        <v>6101</v>
      </c>
      <c r="G53" s="22" t="s">
        <v>179</v>
      </c>
      <c r="H53" s="5" t="s">
        <v>3932</v>
      </c>
      <c r="I53" s="5" t="s">
        <v>56</v>
      </c>
      <c r="J53" s="5" t="s">
        <v>5233</v>
      </c>
      <c r="K53" s="5" t="s">
        <v>205</v>
      </c>
      <c r="L53" s="22"/>
      <c r="M53" s="8" t="str">
        <f t="shared" si="0"/>
        <v>Ok</v>
      </c>
      <c r="N53" s="9" t="b">
        <f t="shared" si="1"/>
        <v>0</v>
      </c>
      <c r="O53" s="9" t="b">
        <f t="shared" si="2"/>
        <v>0</v>
      </c>
      <c r="P53" s="8" t="str">
        <f t="shared" si="3"/>
        <v>FALSE</v>
      </c>
      <c r="Q53" s="8" t="str">
        <f t="shared" si="4"/>
        <v>FALSE</v>
      </c>
      <c r="R53" s="9" t="b">
        <f t="shared" si="5"/>
        <v>1</v>
      </c>
      <c r="S53" s="8" t="b">
        <f t="shared" si="6"/>
        <v>0</v>
      </c>
      <c r="T53" s="10" t="b">
        <f t="shared" si="7"/>
        <v>1</v>
      </c>
      <c r="U53" s="8" t="str">
        <f t="shared" si="8"/>
        <v>TRUE</v>
      </c>
      <c r="V53" s="11" t="str">
        <f t="shared" si="9"/>
        <v>TRUE</v>
      </c>
    </row>
    <row r="54" spans="1:22" ht="15.75">
      <c r="A54" s="21">
        <v>52</v>
      </c>
      <c r="B54" s="5" t="s">
        <v>3935</v>
      </c>
      <c r="C54" s="23" t="s">
        <v>3661</v>
      </c>
      <c r="D54" s="23" t="s">
        <v>59</v>
      </c>
      <c r="E54" s="5" t="s">
        <v>206</v>
      </c>
      <c r="F54" s="71" t="s">
        <v>6101</v>
      </c>
      <c r="G54" s="22" t="s">
        <v>207</v>
      </c>
      <c r="H54" s="5" t="s">
        <v>115</v>
      </c>
      <c r="I54" s="5" t="s">
        <v>21</v>
      </c>
      <c r="J54" s="5" t="s">
        <v>5573</v>
      </c>
      <c r="K54" s="5" t="s">
        <v>208</v>
      </c>
      <c r="L54" s="22"/>
      <c r="M54" s="8" t="str">
        <f t="shared" si="0"/>
        <v>Ok</v>
      </c>
      <c r="N54" s="9" t="b">
        <f t="shared" si="1"/>
        <v>1</v>
      </c>
      <c r="O54" s="9" t="b">
        <f t="shared" si="2"/>
        <v>1</v>
      </c>
      <c r="P54" s="8" t="str">
        <f t="shared" si="3"/>
        <v>FALSE</v>
      </c>
      <c r="Q54" s="8" t="str">
        <f t="shared" si="4"/>
        <v>FALSE</v>
      </c>
      <c r="R54" s="9" t="b">
        <f t="shared" si="5"/>
        <v>1</v>
      </c>
      <c r="S54" s="8" t="b">
        <f t="shared" si="6"/>
        <v>0</v>
      </c>
      <c r="T54" s="10" t="b">
        <f t="shared" si="7"/>
        <v>0</v>
      </c>
      <c r="U54" s="8" t="str">
        <f t="shared" si="8"/>
        <v>FALSE</v>
      </c>
      <c r="V54" s="11" t="str">
        <f t="shared" si="9"/>
        <v>TRUE</v>
      </c>
    </row>
    <row r="55" spans="1:22" ht="15.75">
      <c r="A55" s="21">
        <v>53</v>
      </c>
      <c r="B55" s="5" t="s">
        <v>209</v>
      </c>
      <c r="C55" s="23" t="s">
        <v>3866</v>
      </c>
      <c r="D55" s="23" t="s">
        <v>17</v>
      </c>
      <c r="E55" s="5" t="s">
        <v>210</v>
      </c>
      <c r="F55" s="71" t="s">
        <v>6101</v>
      </c>
      <c r="G55" s="22" t="s">
        <v>85</v>
      </c>
      <c r="H55" s="5" t="s">
        <v>86</v>
      </c>
      <c r="I55" s="5" t="s">
        <v>56</v>
      </c>
      <c r="J55" s="5" t="s">
        <v>5201</v>
      </c>
      <c r="K55" s="5" t="s">
        <v>211</v>
      </c>
      <c r="L55" s="22"/>
      <c r="M55" s="8" t="str">
        <f t="shared" si="0"/>
        <v>Ok</v>
      </c>
      <c r="N55" s="9" t="b">
        <f t="shared" si="1"/>
        <v>0</v>
      </c>
      <c r="O55" s="9" t="b">
        <f t="shared" si="2"/>
        <v>1</v>
      </c>
      <c r="P55" s="8" t="str">
        <f t="shared" si="3"/>
        <v>FALSE</v>
      </c>
      <c r="Q55" s="8" t="str">
        <f t="shared" si="4"/>
        <v>FALSE</v>
      </c>
      <c r="R55" s="9" t="b">
        <f t="shared" si="5"/>
        <v>1</v>
      </c>
      <c r="S55" s="8" t="b">
        <f t="shared" si="6"/>
        <v>0</v>
      </c>
      <c r="T55" s="10" t="b">
        <f t="shared" si="7"/>
        <v>1</v>
      </c>
      <c r="U55" s="8" t="str">
        <f t="shared" si="8"/>
        <v>TRUE</v>
      </c>
      <c r="V55" s="11" t="str">
        <f t="shared" si="9"/>
        <v>TRUE</v>
      </c>
    </row>
    <row r="56" spans="1:22" ht="15.75">
      <c r="A56" s="21">
        <v>54</v>
      </c>
      <c r="B56" s="5" t="s">
        <v>3936</v>
      </c>
      <c r="C56" s="23" t="s">
        <v>3662</v>
      </c>
      <c r="D56" s="23" t="s">
        <v>59</v>
      </c>
      <c r="E56" s="5" t="s">
        <v>212</v>
      </c>
      <c r="F56" s="71" t="s">
        <v>6101</v>
      </c>
      <c r="G56" s="22" t="s">
        <v>30</v>
      </c>
      <c r="H56" s="5" t="s">
        <v>115</v>
      </c>
      <c r="I56" s="5" t="s">
        <v>21</v>
      </c>
      <c r="J56" s="5" t="s">
        <v>5108</v>
      </c>
      <c r="K56" s="5" t="s">
        <v>213</v>
      </c>
      <c r="L56" s="22"/>
      <c r="M56" s="8" t="str">
        <f t="shared" si="0"/>
        <v>Ok</v>
      </c>
      <c r="N56" s="9" t="b">
        <f t="shared" si="1"/>
        <v>1</v>
      </c>
      <c r="O56" s="9" t="b">
        <f t="shared" si="2"/>
        <v>1</v>
      </c>
      <c r="P56" s="8" t="str">
        <f t="shared" si="3"/>
        <v>FALSE</v>
      </c>
      <c r="Q56" s="8" t="str">
        <f t="shared" si="4"/>
        <v>FALSE</v>
      </c>
      <c r="R56" s="9" t="b">
        <f t="shared" si="5"/>
        <v>0</v>
      </c>
      <c r="S56" s="8" t="b">
        <f t="shared" si="6"/>
        <v>0</v>
      </c>
      <c r="T56" s="10" t="b">
        <f t="shared" si="7"/>
        <v>0</v>
      </c>
      <c r="U56" s="8" t="str">
        <f t="shared" si="8"/>
        <v>TRUE</v>
      </c>
      <c r="V56" s="11" t="str">
        <f t="shared" si="9"/>
        <v>TRUE</v>
      </c>
    </row>
    <row r="57" spans="1:22" ht="15.75">
      <c r="A57" s="21">
        <v>55</v>
      </c>
      <c r="B57" s="5" t="s">
        <v>214</v>
      </c>
      <c r="C57" s="23" t="s">
        <v>3326</v>
      </c>
      <c r="D57" s="23" t="s">
        <v>34</v>
      </c>
      <c r="E57" s="5" t="s">
        <v>215</v>
      </c>
      <c r="F57" s="71" t="s">
        <v>6101</v>
      </c>
      <c r="G57" s="22" t="s">
        <v>216</v>
      </c>
      <c r="H57" s="5" t="s">
        <v>217</v>
      </c>
      <c r="I57" s="5" t="s">
        <v>50</v>
      </c>
      <c r="J57" s="5" t="s">
        <v>5694</v>
      </c>
      <c r="K57" s="5" t="s">
        <v>218</v>
      </c>
      <c r="L57" s="22"/>
      <c r="M57" s="8" t="str">
        <f t="shared" si="0"/>
        <v>Ok</v>
      </c>
      <c r="N57" s="9" t="b">
        <f t="shared" si="1"/>
        <v>1</v>
      </c>
      <c r="O57" s="9" t="b">
        <f t="shared" si="2"/>
        <v>0</v>
      </c>
      <c r="P57" s="8" t="str">
        <f t="shared" si="3"/>
        <v>FALSE</v>
      </c>
      <c r="Q57" s="8" t="str">
        <f t="shared" si="4"/>
        <v>FALSE</v>
      </c>
      <c r="R57" s="9" t="b">
        <f t="shared" si="5"/>
        <v>0</v>
      </c>
      <c r="S57" s="8" t="b">
        <f t="shared" si="6"/>
        <v>0</v>
      </c>
      <c r="T57" s="10" t="b">
        <f t="shared" si="7"/>
        <v>0</v>
      </c>
      <c r="U57" s="8" t="str">
        <f t="shared" si="8"/>
        <v>FALSE</v>
      </c>
      <c r="V57" s="11" t="str">
        <f t="shared" si="9"/>
        <v>TRUE</v>
      </c>
    </row>
    <row r="58" spans="1:22" ht="15.75">
      <c r="A58" s="21">
        <v>56</v>
      </c>
      <c r="B58" s="5" t="s">
        <v>3937</v>
      </c>
      <c r="C58" s="23" t="s">
        <v>3078</v>
      </c>
      <c r="D58" s="23" t="s">
        <v>77</v>
      </c>
      <c r="E58" s="5" t="s">
        <v>219</v>
      </c>
      <c r="F58" s="71" t="s">
        <v>6101</v>
      </c>
      <c r="G58" s="22" t="s">
        <v>179</v>
      </c>
      <c r="H58" s="5" t="s">
        <v>3932</v>
      </c>
      <c r="I58" s="5" t="s">
        <v>21</v>
      </c>
      <c r="J58" s="5" t="s">
        <v>5098</v>
      </c>
      <c r="K58" s="5" t="s">
        <v>220</v>
      </c>
      <c r="L58" s="22"/>
      <c r="M58" s="8" t="str">
        <f t="shared" si="0"/>
        <v>Ok</v>
      </c>
      <c r="N58" s="9" t="b">
        <f t="shared" si="1"/>
        <v>0</v>
      </c>
      <c r="O58" s="9" t="b">
        <f t="shared" si="2"/>
        <v>0</v>
      </c>
      <c r="P58" s="8" t="str">
        <f t="shared" si="3"/>
        <v>FALSE</v>
      </c>
      <c r="Q58" s="8" t="str">
        <f t="shared" si="4"/>
        <v>FALSE</v>
      </c>
      <c r="R58" s="9" t="b">
        <f t="shared" si="5"/>
        <v>1</v>
      </c>
      <c r="S58" s="8" t="b">
        <f t="shared" si="6"/>
        <v>0</v>
      </c>
      <c r="T58" s="10" t="b">
        <f t="shared" si="7"/>
        <v>0</v>
      </c>
      <c r="U58" s="8" t="str">
        <f t="shared" si="8"/>
        <v>TRUE</v>
      </c>
      <c r="V58" s="11" t="str">
        <f t="shared" si="9"/>
        <v>TRUE</v>
      </c>
    </row>
    <row r="59" spans="1:22" ht="15.75">
      <c r="A59" s="21">
        <v>57</v>
      </c>
      <c r="B59" s="5" t="s">
        <v>221</v>
      </c>
      <c r="C59" s="23" t="s">
        <v>3200</v>
      </c>
      <c r="D59" s="23" t="s">
        <v>77</v>
      </c>
      <c r="E59" s="5" t="s">
        <v>222</v>
      </c>
      <c r="F59" s="71" t="s">
        <v>6101</v>
      </c>
      <c r="G59" s="22" t="s">
        <v>179</v>
      </c>
      <c r="H59" s="5" t="s">
        <v>3932</v>
      </c>
      <c r="I59" s="5" t="s">
        <v>56</v>
      </c>
      <c r="J59" s="5" t="s">
        <v>5487</v>
      </c>
      <c r="K59" s="5" t="s">
        <v>223</v>
      </c>
      <c r="L59" s="22"/>
      <c r="M59" s="8" t="str">
        <f t="shared" si="0"/>
        <v>Ok</v>
      </c>
      <c r="N59" s="9" t="b">
        <f t="shared" si="1"/>
        <v>1</v>
      </c>
      <c r="O59" s="9" t="b">
        <f t="shared" si="2"/>
        <v>0</v>
      </c>
      <c r="P59" s="8" t="str">
        <f t="shared" si="3"/>
        <v>FALSE</v>
      </c>
      <c r="Q59" s="8" t="str">
        <f t="shared" si="4"/>
        <v>FALSE</v>
      </c>
      <c r="R59" s="9" t="b">
        <f t="shared" si="5"/>
        <v>1</v>
      </c>
      <c r="S59" s="8" t="b">
        <f t="shared" si="6"/>
        <v>0</v>
      </c>
      <c r="T59" s="10" t="b">
        <f t="shared" si="7"/>
        <v>1</v>
      </c>
      <c r="U59" s="8" t="str">
        <f t="shared" si="8"/>
        <v>FALSE</v>
      </c>
      <c r="V59" s="11" t="str">
        <f t="shared" si="9"/>
        <v>TRUE</v>
      </c>
    </row>
    <row r="60" spans="1:22" ht="15.75">
      <c r="A60" s="21">
        <v>58</v>
      </c>
      <c r="B60" s="5" t="s">
        <v>224</v>
      </c>
      <c r="C60" s="23" t="s">
        <v>3440</v>
      </c>
      <c r="D60" s="23" t="s">
        <v>77</v>
      </c>
      <c r="E60" s="5" t="s">
        <v>225</v>
      </c>
      <c r="F60" s="71" t="s">
        <v>6101</v>
      </c>
      <c r="G60" s="22" t="s">
        <v>160</v>
      </c>
      <c r="H60" s="5" t="s">
        <v>3932</v>
      </c>
      <c r="I60" s="5" t="s">
        <v>26</v>
      </c>
      <c r="J60" s="5" t="s">
        <v>5410</v>
      </c>
      <c r="K60" s="5" t="s">
        <v>226</v>
      </c>
      <c r="L60" s="22"/>
      <c r="M60" s="8" t="str">
        <f t="shared" si="0"/>
        <v>Ok</v>
      </c>
      <c r="N60" s="9" t="b">
        <f t="shared" si="1"/>
        <v>1</v>
      </c>
      <c r="O60" s="9" t="b">
        <f t="shared" si="2"/>
        <v>0</v>
      </c>
      <c r="P60" s="8" t="str">
        <f t="shared" si="3"/>
        <v>FALSE</v>
      </c>
      <c r="Q60" s="8" t="str">
        <f t="shared" si="4"/>
        <v>FALSE</v>
      </c>
      <c r="R60" s="9" t="b">
        <f t="shared" si="5"/>
        <v>0</v>
      </c>
      <c r="S60" s="8" t="b">
        <f t="shared" si="6"/>
        <v>0</v>
      </c>
      <c r="T60" s="10" t="b">
        <f t="shared" si="7"/>
        <v>0</v>
      </c>
      <c r="U60" s="8" t="str">
        <f t="shared" si="8"/>
        <v>TRUE</v>
      </c>
      <c r="V60" s="11" t="str">
        <f t="shared" si="9"/>
        <v>TRUE</v>
      </c>
    </row>
    <row r="61" spans="1:22" ht="15.75">
      <c r="A61" s="21">
        <v>59</v>
      </c>
      <c r="B61" s="5" t="s">
        <v>227</v>
      </c>
      <c r="C61" s="23" t="s">
        <v>2985</v>
      </c>
      <c r="D61" s="23" t="s">
        <v>34</v>
      </c>
      <c r="E61" s="5" t="s">
        <v>228</v>
      </c>
      <c r="F61" s="71" t="s">
        <v>6101</v>
      </c>
      <c r="G61" s="22" t="s">
        <v>179</v>
      </c>
      <c r="H61" s="5" t="s">
        <v>3932</v>
      </c>
      <c r="I61" s="5" t="s">
        <v>56</v>
      </c>
      <c r="J61" s="5" t="s">
        <v>5088</v>
      </c>
      <c r="K61" s="5" t="s">
        <v>229</v>
      </c>
      <c r="L61" s="22"/>
      <c r="M61" s="8" t="str">
        <f t="shared" si="0"/>
        <v>Ok</v>
      </c>
      <c r="N61" s="9" t="b">
        <f t="shared" si="1"/>
        <v>0</v>
      </c>
      <c r="O61" s="9" t="b">
        <f t="shared" si="2"/>
        <v>0</v>
      </c>
      <c r="P61" s="8" t="str">
        <f t="shared" si="3"/>
        <v>FALSE</v>
      </c>
      <c r="Q61" s="8" t="str">
        <f t="shared" si="4"/>
        <v>FALSE</v>
      </c>
      <c r="R61" s="9" t="b">
        <f t="shared" si="5"/>
        <v>1</v>
      </c>
      <c r="S61" s="8" t="b">
        <f t="shared" si="6"/>
        <v>0</v>
      </c>
      <c r="T61" s="10" t="b">
        <f t="shared" si="7"/>
        <v>1</v>
      </c>
      <c r="U61" s="8" t="str">
        <f t="shared" si="8"/>
        <v>TRUE</v>
      </c>
      <c r="V61" s="11" t="str">
        <f t="shared" si="9"/>
        <v>TRUE</v>
      </c>
    </row>
    <row r="62" spans="1:22" ht="15.75">
      <c r="A62" s="21">
        <v>60</v>
      </c>
      <c r="B62" s="5" t="s">
        <v>230</v>
      </c>
      <c r="C62" s="23" t="s">
        <v>3867</v>
      </c>
      <c r="D62" s="23" t="s">
        <v>17</v>
      </c>
      <c r="E62" s="5" t="s">
        <v>231</v>
      </c>
      <c r="F62" s="71" t="s">
        <v>6101</v>
      </c>
      <c r="G62" s="22" t="s">
        <v>119</v>
      </c>
      <c r="H62" s="5" t="s">
        <v>86</v>
      </c>
      <c r="I62" s="5" t="s">
        <v>50</v>
      </c>
      <c r="J62" s="5" t="s">
        <v>5578</v>
      </c>
      <c r="K62" s="5" t="s">
        <v>232</v>
      </c>
      <c r="L62" s="22"/>
      <c r="M62" s="8" t="str">
        <f t="shared" si="0"/>
        <v>Ok</v>
      </c>
      <c r="N62" s="9" t="b">
        <f t="shared" si="1"/>
        <v>0</v>
      </c>
      <c r="O62" s="9" t="b">
        <f t="shared" si="2"/>
        <v>1</v>
      </c>
      <c r="P62" s="8" t="str">
        <f t="shared" si="3"/>
        <v>FALSE</v>
      </c>
      <c r="Q62" s="8" t="str">
        <f t="shared" si="4"/>
        <v>FALSE</v>
      </c>
      <c r="R62" s="9" t="b">
        <f t="shared" si="5"/>
        <v>0</v>
      </c>
      <c r="S62" s="8" t="b">
        <f t="shared" si="6"/>
        <v>0</v>
      </c>
      <c r="T62" s="10" t="b">
        <f t="shared" si="7"/>
        <v>0</v>
      </c>
      <c r="U62" s="8" t="str">
        <f t="shared" si="8"/>
        <v>FALSE</v>
      </c>
      <c r="V62" s="11" t="str">
        <f t="shared" si="9"/>
        <v>TRUE</v>
      </c>
    </row>
    <row r="63" spans="1:22" ht="15.75">
      <c r="A63" s="21">
        <v>61</v>
      </c>
      <c r="B63" s="5" t="s">
        <v>233</v>
      </c>
      <c r="C63" s="23" t="s">
        <v>3114</v>
      </c>
      <c r="D63" s="23" t="s">
        <v>77</v>
      </c>
      <c r="E63" s="5" t="s">
        <v>234</v>
      </c>
      <c r="F63" s="71" t="s">
        <v>6101</v>
      </c>
      <c r="G63" s="22" t="s">
        <v>66</v>
      </c>
      <c r="H63" s="5" t="s">
        <v>20</v>
      </c>
      <c r="I63" s="5" t="s">
        <v>56</v>
      </c>
      <c r="J63" s="5" t="s">
        <v>5374</v>
      </c>
      <c r="K63" s="5" t="s">
        <v>235</v>
      </c>
      <c r="L63" s="22"/>
      <c r="M63" s="8" t="str">
        <f t="shared" si="0"/>
        <v>Ok</v>
      </c>
      <c r="N63" s="9" t="b">
        <f t="shared" si="1"/>
        <v>0</v>
      </c>
      <c r="O63" s="9" t="b">
        <f t="shared" si="2"/>
        <v>0</v>
      </c>
      <c r="P63" s="8" t="str">
        <f t="shared" si="3"/>
        <v>FALSE</v>
      </c>
      <c r="Q63" s="8" t="str">
        <f t="shared" si="4"/>
        <v>FALSE</v>
      </c>
      <c r="R63" s="9" t="b">
        <f t="shared" si="5"/>
        <v>0</v>
      </c>
      <c r="S63" s="8" t="b">
        <f t="shared" si="6"/>
        <v>1</v>
      </c>
      <c r="T63" s="10" t="b">
        <f t="shared" si="7"/>
        <v>1</v>
      </c>
      <c r="U63" s="8" t="str">
        <f t="shared" si="8"/>
        <v>TRUE</v>
      </c>
      <c r="V63" s="11" t="str">
        <f t="shared" si="9"/>
        <v>TRUE</v>
      </c>
    </row>
    <row r="64" spans="1:22" ht="15.75">
      <c r="A64" s="21">
        <v>62</v>
      </c>
      <c r="B64" s="5" t="s">
        <v>236</v>
      </c>
      <c r="C64" s="23" t="s">
        <v>3579</v>
      </c>
      <c r="D64" s="23" t="s">
        <v>59</v>
      </c>
      <c r="E64" s="5" t="s">
        <v>237</v>
      </c>
      <c r="F64" s="71" t="s">
        <v>6101</v>
      </c>
      <c r="G64" s="22" t="s">
        <v>160</v>
      </c>
      <c r="H64" s="5" t="s">
        <v>36</v>
      </c>
      <c r="I64" s="5" t="s">
        <v>42</v>
      </c>
      <c r="J64" s="5" t="s">
        <v>4924</v>
      </c>
      <c r="K64" s="5" t="s">
        <v>238</v>
      </c>
      <c r="L64" s="22"/>
      <c r="M64" s="8" t="str">
        <f t="shared" si="0"/>
        <v>Ok</v>
      </c>
      <c r="N64" s="9" t="b">
        <f t="shared" si="1"/>
        <v>1</v>
      </c>
      <c r="O64" s="9" t="b">
        <f t="shared" si="2"/>
        <v>1</v>
      </c>
      <c r="P64" s="8" t="str">
        <f t="shared" si="3"/>
        <v>FALSE</v>
      </c>
      <c r="Q64" s="8" t="str">
        <f t="shared" si="4"/>
        <v>FALSE</v>
      </c>
      <c r="R64" s="9" t="b">
        <f t="shared" si="5"/>
        <v>0</v>
      </c>
      <c r="S64" s="8" t="b">
        <f t="shared" si="6"/>
        <v>1</v>
      </c>
      <c r="T64" s="10" t="b">
        <f t="shared" si="7"/>
        <v>1</v>
      </c>
      <c r="U64" s="8" t="str">
        <f t="shared" si="8"/>
        <v>TRUE</v>
      </c>
      <c r="V64" s="11" t="str">
        <f t="shared" si="9"/>
        <v>TRUE</v>
      </c>
    </row>
    <row r="65" spans="1:22" ht="15.75">
      <c r="A65" s="21">
        <v>63</v>
      </c>
      <c r="B65" s="5" t="s">
        <v>239</v>
      </c>
      <c r="C65" s="23" t="s">
        <v>3441</v>
      </c>
      <c r="D65" s="23" t="s">
        <v>17</v>
      </c>
      <c r="E65" s="5" t="s">
        <v>240</v>
      </c>
      <c r="F65" s="71" t="s">
        <v>6101</v>
      </c>
      <c r="G65" s="22" t="s">
        <v>160</v>
      </c>
      <c r="H65" s="5" t="s">
        <v>3932</v>
      </c>
      <c r="I65" s="5" t="s">
        <v>42</v>
      </c>
      <c r="J65" s="5" t="s">
        <v>5603</v>
      </c>
      <c r="K65" s="5" t="s">
        <v>241</v>
      </c>
      <c r="L65" s="22"/>
      <c r="M65" s="8" t="str">
        <f t="shared" si="0"/>
        <v>Ok</v>
      </c>
      <c r="N65" s="9" t="b">
        <f t="shared" si="1"/>
        <v>1</v>
      </c>
      <c r="O65" s="9" t="b">
        <f t="shared" si="2"/>
        <v>1</v>
      </c>
      <c r="P65" s="8" t="str">
        <f t="shared" si="3"/>
        <v>FALSE</v>
      </c>
      <c r="Q65" s="8" t="str">
        <f t="shared" si="4"/>
        <v>FALSE</v>
      </c>
      <c r="R65" s="9" t="b">
        <f t="shared" si="5"/>
        <v>0</v>
      </c>
      <c r="S65" s="8" t="b">
        <f t="shared" si="6"/>
        <v>0</v>
      </c>
      <c r="T65" s="10" t="b">
        <f t="shared" si="7"/>
        <v>1</v>
      </c>
      <c r="U65" s="8" t="str">
        <f t="shared" si="8"/>
        <v>FALSE</v>
      </c>
      <c r="V65" s="11" t="str">
        <f t="shared" si="9"/>
        <v>TRUE</v>
      </c>
    </row>
    <row r="66" spans="1:22" ht="15.75">
      <c r="A66" s="21">
        <v>64</v>
      </c>
      <c r="B66" s="5" t="s">
        <v>242</v>
      </c>
      <c r="C66" s="23" t="s">
        <v>2944</v>
      </c>
      <c r="D66" s="23" t="s">
        <v>34</v>
      </c>
      <c r="E66" s="5" t="s">
        <v>243</v>
      </c>
      <c r="F66" s="71" t="s">
        <v>6101</v>
      </c>
      <c r="G66" s="22" t="s">
        <v>93</v>
      </c>
      <c r="H66" s="5" t="s">
        <v>94</v>
      </c>
      <c r="I66" s="5" t="s">
        <v>50</v>
      </c>
      <c r="J66" s="5" t="s">
        <v>5016</v>
      </c>
      <c r="K66" s="5" t="s">
        <v>244</v>
      </c>
      <c r="L66" s="22"/>
      <c r="M66" s="8" t="str">
        <f t="shared" si="0"/>
        <v>Ok</v>
      </c>
      <c r="N66" s="9" t="b">
        <f t="shared" si="1"/>
        <v>0</v>
      </c>
      <c r="O66" s="9" t="b">
        <f t="shared" si="2"/>
        <v>0</v>
      </c>
      <c r="P66" s="8" t="str">
        <f t="shared" si="3"/>
        <v>FALSE</v>
      </c>
      <c r="Q66" s="8" t="str">
        <f t="shared" si="4"/>
        <v>FALSE</v>
      </c>
      <c r="R66" s="9" t="b">
        <f t="shared" si="5"/>
        <v>0</v>
      </c>
      <c r="S66" s="8" t="b">
        <f t="shared" si="6"/>
        <v>0</v>
      </c>
      <c r="T66" s="10" t="b">
        <f t="shared" si="7"/>
        <v>0</v>
      </c>
      <c r="U66" s="8" t="str">
        <f t="shared" si="8"/>
        <v>TRUE</v>
      </c>
      <c r="V66" s="11" t="str">
        <f t="shared" si="9"/>
        <v>TRUE</v>
      </c>
    </row>
    <row r="67" spans="1:22" ht="15.75">
      <c r="A67" s="21">
        <v>65</v>
      </c>
      <c r="B67" s="5" t="s">
        <v>245</v>
      </c>
      <c r="C67" s="23" t="s">
        <v>3868</v>
      </c>
      <c r="D67" s="23" t="s">
        <v>17</v>
      </c>
      <c r="E67" s="5" t="s">
        <v>246</v>
      </c>
      <c r="F67" s="71" t="s">
        <v>6101</v>
      </c>
      <c r="G67" s="22" t="s">
        <v>85</v>
      </c>
      <c r="H67" s="5" t="s">
        <v>120</v>
      </c>
      <c r="I67" s="5" t="s">
        <v>26</v>
      </c>
      <c r="J67" s="5" t="s">
        <v>5622</v>
      </c>
      <c r="K67" s="5" t="s">
        <v>247</v>
      </c>
      <c r="L67" s="22"/>
      <c r="M67" s="8" t="str">
        <f t="shared" ref="M67:M130" si="10">IF(COUNTIF($B$3:$B$1002,B67)&gt;1,"Duplicate","Ok")</f>
        <v>Ok</v>
      </c>
      <c r="N67" s="9" t="b">
        <f t="shared" ref="N67:N130" si="11">EXACT(C67,PROPER(C67))</f>
        <v>0</v>
      </c>
      <c r="O67" s="9" t="b">
        <f t="shared" ref="O67:O130" si="12">EXACT(D67,PROPER(D67))</f>
        <v>1</v>
      </c>
      <c r="P67" s="8" t="str">
        <f t="shared" ref="P67:P130" si="13">IF(ISNUMBER(E67),"TRUE","FALSE")</f>
        <v>FALSE</v>
      </c>
      <c r="Q67" s="8" t="str">
        <f t="shared" ref="Q67:Q130" si="14">IF(ISNUMBER(F67),"TRUE","FALSE")</f>
        <v>FALSE</v>
      </c>
      <c r="R67" s="9" t="b">
        <f t="shared" ref="R67:R130" si="15">EXACT(G67,PROPER(G67))</f>
        <v>1</v>
      </c>
      <c r="S67" s="8" t="b">
        <f t="shared" ref="S67:S130" si="16">EXACT(H67,PROPER(H67))</f>
        <v>1</v>
      </c>
      <c r="T67" s="10" t="b">
        <f t="shared" ref="T67:T130" si="17">EXACT(I67,PROPER(I67))</f>
        <v>0</v>
      </c>
      <c r="U67" s="8" t="str">
        <f t="shared" ref="U67:U130" si="18">IF(RIGHT(J67,10)="@email.com","TRUE","FALSE")</f>
        <v>FALSE</v>
      </c>
      <c r="V67" s="11" t="str">
        <f t="shared" ref="V67:V130" si="19">IF(LEFT(K67,2)="08","TRUE","FALSE")</f>
        <v>TRUE</v>
      </c>
    </row>
    <row r="68" spans="1:22" ht="15.75">
      <c r="A68" s="21">
        <v>66</v>
      </c>
      <c r="B68" s="5" t="s">
        <v>248</v>
      </c>
      <c r="C68" s="23" t="s">
        <v>3115</v>
      </c>
      <c r="D68" s="23" t="s">
        <v>77</v>
      </c>
      <c r="E68" s="5" t="s">
        <v>249</v>
      </c>
      <c r="F68" s="71" t="s">
        <v>6101</v>
      </c>
      <c r="G68" s="22" t="s">
        <v>179</v>
      </c>
      <c r="H68" s="5" t="s">
        <v>3932</v>
      </c>
      <c r="I68" s="5" t="s">
        <v>21</v>
      </c>
      <c r="J68" s="5" t="s">
        <v>5427</v>
      </c>
      <c r="K68" s="5" t="s">
        <v>250</v>
      </c>
      <c r="L68" s="22"/>
      <c r="M68" s="8" t="str">
        <f t="shared" si="10"/>
        <v>Ok</v>
      </c>
      <c r="N68" s="9" t="b">
        <f t="shared" si="11"/>
        <v>0</v>
      </c>
      <c r="O68" s="9" t="b">
        <f t="shared" si="12"/>
        <v>0</v>
      </c>
      <c r="P68" s="8" t="str">
        <f t="shared" si="13"/>
        <v>FALSE</v>
      </c>
      <c r="Q68" s="8" t="str">
        <f t="shared" si="14"/>
        <v>FALSE</v>
      </c>
      <c r="R68" s="9" t="b">
        <f t="shared" si="15"/>
        <v>1</v>
      </c>
      <c r="S68" s="8" t="b">
        <f t="shared" si="16"/>
        <v>0</v>
      </c>
      <c r="T68" s="10" t="b">
        <f t="shared" si="17"/>
        <v>0</v>
      </c>
      <c r="U68" s="8" t="str">
        <f t="shared" si="18"/>
        <v>TRUE</v>
      </c>
      <c r="V68" s="11" t="str">
        <f t="shared" si="19"/>
        <v>TRUE</v>
      </c>
    </row>
    <row r="69" spans="1:22" ht="15.75">
      <c r="A69" s="21">
        <v>67</v>
      </c>
      <c r="B69" s="5" t="s">
        <v>251</v>
      </c>
      <c r="C69" s="23" t="s">
        <v>3116</v>
      </c>
      <c r="D69" s="23" t="s">
        <v>77</v>
      </c>
      <c r="E69" s="5" t="s">
        <v>252</v>
      </c>
      <c r="F69" s="71" t="s">
        <v>6101</v>
      </c>
      <c r="G69" s="22" t="s">
        <v>198</v>
      </c>
      <c r="H69" s="5" t="s">
        <v>20</v>
      </c>
      <c r="I69" s="5" t="s">
        <v>67</v>
      </c>
      <c r="J69" s="5" t="s">
        <v>4873</v>
      </c>
      <c r="K69" s="5" t="s">
        <v>253</v>
      </c>
      <c r="L69" s="22"/>
      <c r="M69" s="8" t="str">
        <f t="shared" si="10"/>
        <v>Ok</v>
      </c>
      <c r="N69" s="9" t="b">
        <f t="shared" si="11"/>
        <v>0</v>
      </c>
      <c r="O69" s="9" t="b">
        <f t="shared" si="12"/>
        <v>0</v>
      </c>
      <c r="P69" s="8" t="str">
        <f t="shared" si="13"/>
        <v>FALSE</v>
      </c>
      <c r="Q69" s="8" t="str">
        <f t="shared" si="14"/>
        <v>FALSE</v>
      </c>
      <c r="R69" s="9" t="b">
        <f t="shared" si="15"/>
        <v>1</v>
      </c>
      <c r="S69" s="8" t="b">
        <f t="shared" si="16"/>
        <v>1</v>
      </c>
      <c r="T69" s="10" t="b">
        <f t="shared" si="17"/>
        <v>0</v>
      </c>
      <c r="U69" s="8" t="str">
        <f t="shared" si="18"/>
        <v>TRUE</v>
      </c>
      <c r="V69" s="11" t="str">
        <f t="shared" si="19"/>
        <v>TRUE</v>
      </c>
    </row>
    <row r="70" spans="1:22" ht="15.75">
      <c r="A70" s="21">
        <v>68</v>
      </c>
      <c r="B70" s="5" t="s">
        <v>254</v>
      </c>
      <c r="C70" s="23" t="s">
        <v>3442</v>
      </c>
      <c r="D70" s="23" t="s">
        <v>77</v>
      </c>
      <c r="E70" s="5" t="s">
        <v>255</v>
      </c>
      <c r="F70" s="71" t="s">
        <v>6101</v>
      </c>
      <c r="G70" s="22" t="s">
        <v>160</v>
      </c>
      <c r="H70" s="5" t="s">
        <v>3932</v>
      </c>
      <c r="I70" s="5" t="s">
        <v>56</v>
      </c>
      <c r="J70" s="5" t="s">
        <v>4843</v>
      </c>
      <c r="K70" s="5" t="s">
        <v>256</v>
      </c>
      <c r="L70" s="22"/>
      <c r="M70" s="8" t="str">
        <f t="shared" si="10"/>
        <v>Ok</v>
      </c>
      <c r="N70" s="9" t="b">
        <f t="shared" si="11"/>
        <v>1</v>
      </c>
      <c r="O70" s="9" t="b">
        <f t="shared" si="12"/>
        <v>0</v>
      </c>
      <c r="P70" s="8" t="str">
        <f t="shared" si="13"/>
        <v>FALSE</v>
      </c>
      <c r="Q70" s="8" t="str">
        <f t="shared" si="14"/>
        <v>FALSE</v>
      </c>
      <c r="R70" s="9" t="b">
        <f t="shared" si="15"/>
        <v>0</v>
      </c>
      <c r="S70" s="8" t="b">
        <f t="shared" si="16"/>
        <v>0</v>
      </c>
      <c r="T70" s="10" t="b">
        <f t="shared" si="17"/>
        <v>1</v>
      </c>
      <c r="U70" s="8" t="str">
        <f t="shared" si="18"/>
        <v>TRUE</v>
      </c>
      <c r="V70" s="11" t="str">
        <f t="shared" si="19"/>
        <v>TRUE</v>
      </c>
    </row>
    <row r="71" spans="1:22" ht="15.75">
      <c r="A71" s="21">
        <v>69</v>
      </c>
      <c r="B71" s="5" t="s">
        <v>257</v>
      </c>
      <c r="C71" s="23" t="s">
        <v>3764</v>
      </c>
      <c r="D71" s="23" t="s">
        <v>17</v>
      </c>
      <c r="E71" s="5" t="s">
        <v>258</v>
      </c>
      <c r="F71" s="71" t="s">
        <v>6101</v>
      </c>
      <c r="G71" s="22" t="s">
        <v>24</v>
      </c>
      <c r="H71" s="5" t="s">
        <v>25</v>
      </c>
      <c r="I71" s="5" t="s">
        <v>21</v>
      </c>
      <c r="J71" s="5" t="s">
        <v>5621</v>
      </c>
      <c r="K71" s="5" t="s">
        <v>259</v>
      </c>
      <c r="L71" s="22"/>
      <c r="M71" s="8" t="str">
        <f t="shared" si="10"/>
        <v>Ok</v>
      </c>
      <c r="N71" s="9" t="b">
        <f t="shared" si="11"/>
        <v>0</v>
      </c>
      <c r="O71" s="9" t="b">
        <f t="shared" si="12"/>
        <v>1</v>
      </c>
      <c r="P71" s="8" t="str">
        <f t="shared" si="13"/>
        <v>FALSE</v>
      </c>
      <c r="Q71" s="8" t="str">
        <f t="shared" si="14"/>
        <v>FALSE</v>
      </c>
      <c r="R71" s="9" t="b">
        <f t="shared" si="15"/>
        <v>0</v>
      </c>
      <c r="S71" s="8" t="b">
        <f t="shared" si="16"/>
        <v>0</v>
      </c>
      <c r="T71" s="10" t="b">
        <f t="shared" si="17"/>
        <v>0</v>
      </c>
      <c r="U71" s="8" t="str">
        <f t="shared" si="18"/>
        <v>FALSE</v>
      </c>
      <c r="V71" s="11" t="str">
        <f t="shared" si="19"/>
        <v>TRUE</v>
      </c>
    </row>
    <row r="72" spans="1:22" ht="15.75">
      <c r="A72" s="21">
        <v>70</v>
      </c>
      <c r="B72" s="5" t="s">
        <v>260</v>
      </c>
      <c r="C72" s="23" t="s">
        <v>3765</v>
      </c>
      <c r="D72" s="23" t="s">
        <v>59</v>
      </c>
      <c r="E72" s="5" t="s">
        <v>261</v>
      </c>
      <c r="F72" s="71" t="s">
        <v>6101</v>
      </c>
      <c r="G72" s="22" t="s">
        <v>24</v>
      </c>
      <c r="H72" s="5" t="s">
        <v>25</v>
      </c>
      <c r="I72" s="5" t="s">
        <v>50</v>
      </c>
      <c r="J72" s="5" t="s">
        <v>5241</v>
      </c>
      <c r="K72" s="5" t="s">
        <v>262</v>
      </c>
      <c r="L72" s="22"/>
      <c r="M72" s="8" t="str">
        <f t="shared" si="10"/>
        <v>Ok</v>
      </c>
      <c r="N72" s="9" t="b">
        <f t="shared" si="11"/>
        <v>0</v>
      </c>
      <c r="O72" s="9" t="b">
        <f t="shared" si="12"/>
        <v>1</v>
      </c>
      <c r="P72" s="8" t="str">
        <f t="shared" si="13"/>
        <v>FALSE</v>
      </c>
      <c r="Q72" s="8" t="str">
        <f t="shared" si="14"/>
        <v>FALSE</v>
      </c>
      <c r="R72" s="9" t="b">
        <f t="shared" si="15"/>
        <v>0</v>
      </c>
      <c r="S72" s="8" t="b">
        <f t="shared" si="16"/>
        <v>0</v>
      </c>
      <c r="T72" s="10" t="b">
        <f t="shared" si="17"/>
        <v>0</v>
      </c>
      <c r="U72" s="8" t="str">
        <f t="shared" si="18"/>
        <v>TRUE</v>
      </c>
      <c r="V72" s="11" t="str">
        <f t="shared" si="19"/>
        <v>TRUE</v>
      </c>
    </row>
    <row r="73" spans="1:22" ht="15.75">
      <c r="A73" s="21">
        <v>71</v>
      </c>
      <c r="B73" s="5" t="s">
        <v>263</v>
      </c>
      <c r="C73" s="23" t="s">
        <v>3327</v>
      </c>
      <c r="D73" s="23" t="s">
        <v>34</v>
      </c>
      <c r="E73" s="5" t="s">
        <v>264</v>
      </c>
      <c r="F73" s="71" t="s">
        <v>6101</v>
      </c>
      <c r="G73" s="22" t="s">
        <v>216</v>
      </c>
      <c r="H73" s="5" t="s">
        <v>94</v>
      </c>
      <c r="I73" s="5" t="s">
        <v>21</v>
      </c>
      <c r="J73" s="5" t="s">
        <v>5700</v>
      </c>
      <c r="K73" s="5">
        <v>887061541</v>
      </c>
      <c r="L73" s="22"/>
      <c r="M73" s="8" t="str">
        <f t="shared" si="10"/>
        <v>Ok</v>
      </c>
      <c r="N73" s="9" t="b">
        <f t="shared" si="11"/>
        <v>1</v>
      </c>
      <c r="O73" s="9" t="b">
        <f t="shared" si="12"/>
        <v>0</v>
      </c>
      <c r="P73" s="8" t="str">
        <f t="shared" si="13"/>
        <v>FALSE</v>
      </c>
      <c r="Q73" s="8" t="str">
        <f t="shared" si="14"/>
        <v>FALSE</v>
      </c>
      <c r="R73" s="9" t="b">
        <f t="shared" si="15"/>
        <v>0</v>
      </c>
      <c r="S73" s="8" t="b">
        <f t="shared" si="16"/>
        <v>0</v>
      </c>
      <c r="T73" s="10" t="b">
        <f t="shared" si="17"/>
        <v>0</v>
      </c>
      <c r="U73" s="8" t="str">
        <f t="shared" si="18"/>
        <v>FALSE</v>
      </c>
      <c r="V73" s="11" t="str">
        <f t="shared" si="19"/>
        <v>FALSE</v>
      </c>
    </row>
    <row r="74" spans="1:22" ht="15.75">
      <c r="A74" s="21">
        <v>72</v>
      </c>
      <c r="B74" s="5" t="s">
        <v>265</v>
      </c>
      <c r="C74" s="23" t="s">
        <v>3117</v>
      </c>
      <c r="D74" s="23" t="s">
        <v>34</v>
      </c>
      <c r="E74" s="5" t="s">
        <v>266</v>
      </c>
      <c r="F74" s="71" t="s">
        <v>6101</v>
      </c>
      <c r="G74" s="22" t="s">
        <v>179</v>
      </c>
      <c r="H74" s="22" t="s">
        <v>179</v>
      </c>
      <c r="I74" s="5" t="s">
        <v>14</v>
      </c>
      <c r="J74" s="5" t="s">
        <v>5614</v>
      </c>
      <c r="K74" s="5" t="s">
        <v>267</v>
      </c>
      <c r="L74" s="22"/>
      <c r="M74" s="8" t="str">
        <f t="shared" si="10"/>
        <v>Ok</v>
      </c>
      <c r="N74" s="9" t="b">
        <f t="shared" si="11"/>
        <v>0</v>
      </c>
      <c r="O74" s="9" t="b">
        <f t="shared" si="12"/>
        <v>0</v>
      </c>
      <c r="P74" s="8" t="str">
        <f t="shared" si="13"/>
        <v>FALSE</v>
      </c>
      <c r="Q74" s="8" t="str">
        <f t="shared" si="14"/>
        <v>FALSE</v>
      </c>
      <c r="R74" s="9" t="b">
        <f t="shared" si="15"/>
        <v>1</v>
      </c>
      <c r="S74" s="8" t="b">
        <f t="shared" si="16"/>
        <v>1</v>
      </c>
      <c r="T74" s="10" t="b">
        <f t="shared" si="17"/>
        <v>1</v>
      </c>
      <c r="U74" s="8" t="str">
        <f t="shared" si="18"/>
        <v>FALSE</v>
      </c>
      <c r="V74" s="11" t="str">
        <f t="shared" si="19"/>
        <v>TRUE</v>
      </c>
    </row>
    <row r="75" spans="1:22" ht="15.75">
      <c r="A75" s="21">
        <v>73</v>
      </c>
      <c r="B75" s="5" t="s">
        <v>268</v>
      </c>
      <c r="C75" s="23" t="s">
        <v>3663</v>
      </c>
      <c r="D75" s="23" t="s">
        <v>17</v>
      </c>
      <c r="E75" s="5" t="s">
        <v>269</v>
      </c>
      <c r="F75" s="71" t="s">
        <v>6101</v>
      </c>
      <c r="G75" s="22" t="s">
        <v>3934</v>
      </c>
      <c r="H75" s="5" t="s">
        <v>13</v>
      </c>
      <c r="I75" s="5" t="s">
        <v>26</v>
      </c>
      <c r="J75" s="5" t="s">
        <v>5627</v>
      </c>
      <c r="K75" s="5" t="s">
        <v>270</v>
      </c>
      <c r="L75" s="22"/>
      <c r="M75" s="8" t="str">
        <f t="shared" si="10"/>
        <v>Ok</v>
      </c>
      <c r="N75" s="9" t="b">
        <f t="shared" si="11"/>
        <v>1</v>
      </c>
      <c r="O75" s="9" t="b">
        <f t="shared" si="12"/>
        <v>1</v>
      </c>
      <c r="P75" s="8" t="str">
        <f t="shared" si="13"/>
        <v>FALSE</v>
      </c>
      <c r="Q75" s="8" t="str">
        <f t="shared" si="14"/>
        <v>FALSE</v>
      </c>
      <c r="R75" s="9" t="b">
        <f t="shared" si="15"/>
        <v>0</v>
      </c>
      <c r="S75" s="8" t="b">
        <f t="shared" si="16"/>
        <v>0</v>
      </c>
      <c r="T75" s="10" t="b">
        <f t="shared" si="17"/>
        <v>0</v>
      </c>
      <c r="U75" s="8" t="str">
        <f t="shared" si="18"/>
        <v>FALSE</v>
      </c>
      <c r="V75" s="11" t="str">
        <f t="shared" si="19"/>
        <v>TRUE</v>
      </c>
    </row>
    <row r="76" spans="1:22" ht="15.75">
      <c r="A76" s="21">
        <v>74</v>
      </c>
      <c r="B76" s="5" t="s">
        <v>271</v>
      </c>
      <c r="C76" s="23" t="s">
        <v>2986</v>
      </c>
      <c r="D76" s="23" t="s">
        <v>34</v>
      </c>
      <c r="E76" s="5" t="s">
        <v>272</v>
      </c>
      <c r="F76" s="71" t="s">
        <v>6101</v>
      </c>
      <c r="G76" s="22" t="s">
        <v>179</v>
      </c>
      <c r="H76" s="5" t="s">
        <v>3932</v>
      </c>
      <c r="I76" s="5" t="s">
        <v>56</v>
      </c>
      <c r="J76" s="5" t="s">
        <v>5320</v>
      </c>
      <c r="K76" s="5" t="s">
        <v>273</v>
      </c>
      <c r="L76" s="22"/>
      <c r="M76" s="8" t="str">
        <f t="shared" si="10"/>
        <v>Ok</v>
      </c>
      <c r="N76" s="9" t="b">
        <f t="shared" si="11"/>
        <v>0</v>
      </c>
      <c r="O76" s="9" t="b">
        <f t="shared" si="12"/>
        <v>0</v>
      </c>
      <c r="P76" s="8" t="str">
        <f t="shared" si="13"/>
        <v>FALSE</v>
      </c>
      <c r="Q76" s="8" t="str">
        <f t="shared" si="14"/>
        <v>FALSE</v>
      </c>
      <c r="R76" s="9" t="b">
        <f t="shared" si="15"/>
        <v>1</v>
      </c>
      <c r="S76" s="8" t="b">
        <f t="shared" si="16"/>
        <v>0</v>
      </c>
      <c r="T76" s="10" t="b">
        <f t="shared" si="17"/>
        <v>1</v>
      </c>
      <c r="U76" s="8" t="str">
        <f t="shared" si="18"/>
        <v>TRUE</v>
      </c>
      <c r="V76" s="11" t="str">
        <f t="shared" si="19"/>
        <v>TRUE</v>
      </c>
    </row>
    <row r="77" spans="1:22" ht="15.75">
      <c r="A77" s="21">
        <v>75</v>
      </c>
      <c r="B77" s="5" t="s">
        <v>274</v>
      </c>
      <c r="C77" s="23" t="s">
        <v>3443</v>
      </c>
      <c r="D77" s="23" t="s">
        <v>17</v>
      </c>
      <c r="E77" s="5" t="s">
        <v>275</v>
      </c>
      <c r="F77" s="71" t="s">
        <v>6101</v>
      </c>
      <c r="G77" s="22" t="s">
        <v>102</v>
      </c>
      <c r="H77" s="5" t="s">
        <v>55</v>
      </c>
      <c r="I77" s="5" t="s">
        <v>50</v>
      </c>
      <c r="J77" s="5" t="s">
        <v>5706</v>
      </c>
      <c r="K77" s="5" t="s">
        <v>276</v>
      </c>
      <c r="L77" s="22"/>
      <c r="M77" s="8" t="str">
        <f t="shared" si="10"/>
        <v>Ok</v>
      </c>
      <c r="N77" s="9" t="b">
        <f t="shared" si="11"/>
        <v>1</v>
      </c>
      <c r="O77" s="9" t="b">
        <f t="shared" si="12"/>
        <v>1</v>
      </c>
      <c r="P77" s="8" t="str">
        <f t="shared" si="13"/>
        <v>FALSE</v>
      </c>
      <c r="Q77" s="8" t="str">
        <f t="shared" si="14"/>
        <v>FALSE</v>
      </c>
      <c r="R77" s="9" t="b">
        <f t="shared" si="15"/>
        <v>0</v>
      </c>
      <c r="S77" s="8" t="b">
        <f t="shared" si="16"/>
        <v>0</v>
      </c>
      <c r="T77" s="10" t="b">
        <f t="shared" si="17"/>
        <v>0</v>
      </c>
      <c r="U77" s="8" t="str">
        <f t="shared" si="18"/>
        <v>FALSE</v>
      </c>
      <c r="V77" s="11" t="str">
        <f t="shared" si="19"/>
        <v>TRUE</v>
      </c>
    </row>
    <row r="78" spans="1:22" ht="15.75">
      <c r="A78" s="21">
        <v>76</v>
      </c>
      <c r="B78" s="5" t="s">
        <v>277</v>
      </c>
      <c r="C78" s="23" t="s">
        <v>3580</v>
      </c>
      <c r="D78" s="23" t="s">
        <v>59</v>
      </c>
      <c r="E78" s="5" t="s">
        <v>278</v>
      </c>
      <c r="F78" s="71" t="s">
        <v>6101</v>
      </c>
      <c r="G78" s="22" t="s">
        <v>179</v>
      </c>
      <c r="H78" s="5" t="s">
        <v>13</v>
      </c>
      <c r="I78" s="5" t="s">
        <v>26</v>
      </c>
      <c r="J78" s="5" t="s">
        <v>4912</v>
      </c>
      <c r="K78" s="5" t="s">
        <v>279</v>
      </c>
      <c r="L78" s="22"/>
      <c r="M78" s="8" t="str">
        <f t="shared" si="10"/>
        <v>Ok</v>
      </c>
      <c r="N78" s="9" t="b">
        <f t="shared" si="11"/>
        <v>1</v>
      </c>
      <c r="O78" s="9" t="b">
        <f t="shared" si="12"/>
        <v>1</v>
      </c>
      <c r="P78" s="8" t="str">
        <f t="shared" si="13"/>
        <v>FALSE</v>
      </c>
      <c r="Q78" s="8" t="str">
        <f t="shared" si="14"/>
        <v>FALSE</v>
      </c>
      <c r="R78" s="9" t="b">
        <f t="shared" si="15"/>
        <v>1</v>
      </c>
      <c r="S78" s="8" t="b">
        <f t="shared" si="16"/>
        <v>0</v>
      </c>
      <c r="T78" s="10" t="b">
        <f t="shared" si="17"/>
        <v>0</v>
      </c>
      <c r="U78" s="8" t="str">
        <f t="shared" si="18"/>
        <v>TRUE</v>
      </c>
      <c r="V78" s="11" t="str">
        <f t="shared" si="19"/>
        <v>TRUE</v>
      </c>
    </row>
    <row r="79" spans="1:22" ht="15.75">
      <c r="A79" s="21">
        <v>77</v>
      </c>
      <c r="B79" s="5" t="s">
        <v>280</v>
      </c>
      <c r="C79" s="23" t="s">
        <v>3664</v>
      </c>
      <c r="D79" s="23" t="s">
        <v>59</v>
      </c>
      <c r="E79" s="5" t="s">
        <v>281</v>
      </c>
      <c r="F79" s="71" t="s">
        <v>6101</v>
      </c>
      <c r="G79" s="22" t="s">
        <v>3934</v>
      </c>
      <c r="H79" s="5" t="s">
        <v>13</v>
      </c>
      <c r="I79" s="5" t="s">
        <v>56</v>
      </c>
      <c r="J79" s="5" t="s">
        <v>4913</v>
      </c>
      <c r="K79" s="5" t="s">
        <v>282</v>
      </c>
      <c r="L79" s="22"/>
      <c r="M79" s="8" t="str">
        <f t="shared" si="10"/>
        <v>Ok</v>
      </c>
      <c r="N79" s="9" t="b">
        <f t="shared" si="11"/>
        <v>1</v>
      </c>
      <c r="O79" s="9" t="b">
        <f t="shared" si="12"/>
        <v>1</v>
      </c>
      <c r="P79" s="8" t="str">
        <f t="shared" si="13"/>
        <v>FALSE</v>
      </c>
      <c r="Q79" s="8" t="str">
        <f t="shared" si="14"/>
        <v>FALSE</v>
      </c>
      <c r="R79" s="9" t="b">
        <f t="shared" si="15"/>
        <v>0</v>
      </c>
      <c r="S79" s="8" t="b">
        <f t="shared" si="16"/>
        <v>0</v>
      </c>
      <c r="T79" s="10" t="b">
        <f t="shared" si="17"/>
        <v>1</v>
      </c>
      <c r="U79" s="8" t="str">
        <f t="shared" si="18"/>
        <v>TRUE</v>
      </c>
      <c r="V79" s="11" t="str">
        <f t="shared" si="19"/>
        <v>TRUE</v>
      </c>
    </row>
    <row r="80" spans="1:22" ht="15.75">
      <c r="A80" s="21">
        <v>78</v>
      </c>
      <c r="B80" s="5" t="s">
        <v>283</v>
      </c>
      <c r="C80" s="23" t="s">
        <v>2938</v>
      </c>
      <c r="D80" s="23" t="s">
        <v>34</v>
      </c>
      <c r="E80" s="5" t="s">
        <v>284</v>
      </c>
      <c r="F80" s="71" t="s">
        <v>6101</v>
      </c>
      <c r="G80" s="22" t="s">
        <v>3933</v>
      </c>
      <c r="H80" s="5" t="s">
        <v>3932</v>
      </c>
      <c r="I80" s="5" t="s">
        <v>42</v>
      </c>
      <c r="J80" s="5" t="s">
        <v>5140</v>
      </c>
      <c r="K80" s="5">
        <v>88492207411</v>
      </c>
      <c r="L80" s="22"/>
      <c r="M80" s="8" t="str">
        <f t="shared" si="10"/>
        <v>Ok</v>
      </c>
      <c r="N80" s="9" t="b">
        <f t="shared" si="11"/>
        <v>0</v>
      </c>
      <c r="O80" s="9" t="b">
        <f t="shared" si="12"/>
        <v>0</v>
      </c>
      <c r="P80" s="8" t="str">
        <f t="shared" si="13"/>
        <v>FALSE</v>
      </c>
      <c r="Q80" s="8" t="str">
        <f t="shared" si="14"/>
        <v>FALSE</v>
      </c>
      <c r="R80" s="9" t="b">
        <f t="shared" si="15"/>
        <v>0</v>
      </c>
      <c r="S80" s="8" t="b">
        <f t="shared" si="16"/>
        <v>0</v>
      </c>
      <c r="T80" s="10" t="b">
        <f t="shared" si="17"/>
        <v>1</v>
      </c>
      <c r="U80" s="8" t="str">
        <f t="shared" si="18"/>
        <v>TRUE</v>
      </c>
      <c r="V80" s="11" t="str">
        <f t="shared" si="19"/>
        <v>FALSE</v>
      </c>
    </row>
    <row r="81" spans="1:22" ht="15.75">
      <c r="A81" s="21">
        <v>79</v>
      </c>
      <c r="B81" s="5" t="s">
        <v>285</v>
      </c>
      <c r="C81" s="23" t="s">
        <v>2987</v>
      </c>
      <c r="D81" s="23" t="s">
        <v>34</v>
      </c>
      <c r="E81" s="5" t="s">
        <v>286</v>
      </c>
      <c r="F81" s="71" t="s">
        <v>6101</v>
      </c>
      <c r="G81" s="22" t="s">
        <v>179</v>
      </c>
      <c r="H81" s="5" t="s">
        <v>3932</v>
      </c>
      <c r="I81" s="5" t="s">
        <v>56</v>
      </c>
      <c r="J81" s="5" t="s">
        <v>5350</v>
      </c>
      <c r="K81" s="5" t="s">
        <v>287</v>
      </c>
      <c r="L81" s="22"/>
      <c r="M81" s="8" t="str">
        <f t="shared" si="10"/>
        <v>Ok</v>
      </c>
      <c r="N81" s="9" t="b">
        <f t="shared" si="11"/>
        <v>0</v>
      </c>
      <c r="O81" s="9" t="b">
        <f t="shared" si="12"/>
        <v>0</v>
      </c>
      <c r="P81" s="8" t="str">
        <f t="shared" si="13"/>
        <v>FALSE</v>
      </c>
      <c r="Q81" s="8" t="str">
        <f t="shared" si="14"/>
        <v>FALSE</v>
      </c>
      <c r="R81" s="9" t="b">
        <f t="shared" si="15"/>
        <v>1</v>
      </c>
      <c r="S81" s="8" t="b">
        <f t="shared" si="16"/>
        <v>0</v>
      </c>
      <c r="T81" s="10" t="b">
        <f t="shared" si="17"/>
        <v>1</v>
      </c>
      <c r="U81" s="8" t="str">
        <f t="shared" si="18"/>
        <v>TRUE</v>
      </c>
      <c r="V81" s="11" t="str">
        <f t="shared" si="19"/>
        <v>FALSE</v>
      </c>
    </row>
    <row r="82" spans="1:22" ht="15.75">
      <c r="A82" s="21">
        <v>80</v>
      </c>
      <c r="B82" s="5" t="s">
        <v>1994</v>
      </c>
      <c r="C82" s="23" t="s">
        <v>3328</v>
      </c>
      <c r="D82" s="23" t="s">
        <v>34</v>
      </c>
      <c r="E82" s="5" t="s">
        <v>288</v>
      </c>
      <c r="F82" s="71" t="s">
        <v>6101</v>
      </c>
      <c r="G82" s="22" t="s">
        <v>3933</v>
      </c>
      <c r="H82" s="5" t="s">
        <v>3932</v>
      </c>
      <c r="I82" s="5" t="s">
        <v>26</v>
      </c>
      <c r="J82" s="5" t="s">
        <v>5576</v>
      </c>
      <c r="K82" s="5" t="s">
        <v>289</v>
      </c>
      <c r="L82" s="22"/>
      <c r="M82" s="8" t="str">
        <f t="shared" si="10"/>
        <v>Ok</v>
      </c>
      <c r="N82" s="9" t="b">
        <f t="shared" si="11"/>
        <v>1</v>
      </c>
      <c r="O82" s="9" t="b">
        <f t="shared" si="12"/>
        <v>0</v>
      </c>
      <c r="P82" s="8" t="str">
        <f t="shared" si="13"/>
        <v>FALSE</v>
      </c>
      <c r="Q82" s="8" t="str">
        <f t="shared" si="14"/>
        <v>FALSE</v>
      </c>
      <c r="R82" s="9" t="b">
        <f t="shared" si="15"/>
        <v>0</v>
      </c>
      <c r="S82" s="8" t="b">
        <f t="shared" si="16"/>
        <v>0</v>
      </c>
      <c r="T82" s="10" t="b">
        <f t="shared" si="17"/>
        <v>0</v>
      </c>
      <c r="U82" s="8" t="str">
        <f t="shared" si="18"/>
        <v>FALSE</v>
      </c>
      <c r="V82" s="11" t="str">
        <f t="shared" si="19"/>
        <v>TRUE</v>
      </c>
    </row>
    <row r="83" spans="1:22" ht="15.75">
      <c r="A83" s="21">
        <v>81</v>
      </c>
      <c r="B83" s="5" t="s">
        <v>290</v>
      </c>
      <c r="C83" s="23" t="s">
        <v>2988</v>
      </c>
      <c r="D83" s="23" t="s">
        <v>34</v>
      </c>
      <c r="E83" s="5" t="s">
        <v>291</v>
      </c>
      <c r="F83" s="71" t="s">
        <v>6101</v>
      </c>
      <c r="G83" s="22" t="s">
        <v>40</v>
      </c>
      <c r="H83" s="5" t="s">
        <v>71</v>
      </c>
      <c r="I83" s="5" t="s">
        <v>21</v>
      </c>
      <c r="J83" s="5" t="s">
        <v>5170</v>
      </c>
      <c r="K83" s="5" t="s">
        <v>292</v>
      </c>
      <c r="L83" s="22"/>
      <c r="M83" s="8" t="str">
        <f t="shared" si="10"/>
        <v>Ok</v>
      </c>
      <c r="N83" s="9" t="b">
        <f t="shared" si="11"/>
        <v>0</v>
      </c>
      <c r="O83" s="9" t="b">
        <f t="shared" si="12"/>
        <v>0</v>
      </c>
      <c r="P83" s="8" t="str">
        <f t="shared" si="13"/>
        <v>FALSE</v>
      </c>
      <c r="Q83" s="8" t="str">
        <f t="shared" si="14"/>
        <v>FALSE</v>
      </c>
      <c r="R83" s="9" t="b">
        <f t="shared" si="15"/>
        <v>1</v>
      </c>
      <c r="S83" s="8" t="b">
        <f t="shared" si="16"/>
        <v>1</v>
      </c>
      <c r="T83" s="10" t="b">
        <f t="shared" si="17"/>
        <v>0</v>
      </c>
      <c r="U83" s="8" t="str">
        <f t="shared" si="18"/>
        <v>TRUE</v>
      </c>
      <c r="V83" s="11" t="str">
        <f t="shared" si="19"/>
        <v>TRUE</v>
      </c>
    </row>
    <row r="84" spans="1:22" ht="15.75">
      <c r="A84" s="21">
        <v>82</v>
      </c>
      <c r="B84" s="5" t="s">
        <v>293</v>
      </c>
      <c r="C84" s="23" t="s">
        <v>3581</v>
      </c>
      <c r="D84" s="23" t="s">
        <v>59</v>
      </c>
      <c r="E84" s="5" t="s">
        <v>294</v>
      </c>
      <c r="F84" s="71" t="s">
        <v>6101</v>
      </c>
      <c r="G84" s="22" t="s">
        <v>160</v>
      </c>
      <c r="H84" s="5" t="s">
        <v>36</v>
      </c>
      <c r="I84" s="5" t="s">
        <v>26</v>
      </c>
      <c r="J84" s="5" t="s">
        <v>5476</v>
      </c>
      <c r="K84" s="5" t="s">
        <v>295</v>
      </c>
      <c r="L84" s="22"/>
      <c r="M84" s="8" t="str">
        <f t="shared" si="10"/>
        <v>Ok</v>
      </c>
      <c r="N84" s="9" t="b">
        <f t="shared" si="11"/>
        <v>1</v>
      </c>
      <c r="O84" s="9" t="b">
        <f t="shared" si="12"/>
        <v>1</v>
      </c>
      <c r="P84" s="8" t="str">
        <f t="shared" si="13"/>
        <v>FALSE</v>
      </c>
      <c r="Q84" s="8" t="str">
        <f t="shared" si="14"/>
        <v>FALSE</v>
      </c>
      <c r="R84" s="9" t="b">
        <f t="shared" si="15"/>
        <v>0</v>
      </c>
      <c r="S84" s="8" t="b">
        <f t="shared" si="16"/>
        <v>1</v>
      </c>
      <c r="T84" s="10" t="b">
        <f t="shared" si="17"/>
        <v>0</v>
      </c>
      <c r="U84" s="8" t="str">
        <f t="shared" si="18"/>
        <v>FALSE</v>
      </c>
      <c r="V84" s="11" t="str">
        <f t="shared" si="19"/>
        <v>TRUE</v>
      </c>
    </row>
    <row r="85" spans="1:22" ht="15.75">
      <c r="A85" s="21">
        <v>83</v>
      </c>
      <c r="B85" s="5" t="s">
        <v>296</v>
      </c>
      <c r="C85" s="23" t="s">
        <v>3766</v>
      </c>
      <c r="D85" s="23" t="s">
        <v>17</v>
      </c>
      <c r="E85" s="5" t="s">
        <v>297</v>
      </c>
      <c r="F85" s="71" t="s">
        <v>6101</v>
      </c>
      <c r="G85" s="22" t="s">
        <v>24</v>
      </c>
      <c r="H85" s="5" t="s">
        <v>25</v>
      </c>
      <c r="I85" s="5" t="s">
        <v>14</v>
      </c>
      <c r="J85" s="5" t="s">
        <v>4786</v>
      </c>
      <c r="K85" s="5" t="s">
        <v>298</v>
      </c>
      <c r="L85" s="22"/>
      <c r="M85" s="8" t="str">
        <f t="shared" si="10"/>
        <v>Ok</v>
      </c>
      <c r="N85" s="9" t="b">
        <f t="shared" si="11"/>
        <v>0</v>
      </c>
      <c r="O85" s="9" t="b">
        <f t="shared" si="12"/>
        <v>1</v>
      </c>
      <c r="P85" s="8" t="str">
        <f t="shared" si="13"/>
        <v>FALSE</v>
      </c>
      <c r="Q85" s="8" t="str">
        <f t="shared" si="14"/>
        <v>FALSE</v>
      </c>
      <c r="R85" s="9" t="b">
        <f t="shared" si="15"/>
        <v>0</v>
      </c>
      <c r="S85" s="8" t="b">
        <f t="shared" si="16"/>
        <v>0</v>
      </c>
      <c r="T85" s="10" t="b">
        <f t="shared" si="17"/>
        <v>1</v>
      </c>
      <c r="U85" s="8" t="str">
        <f t="shared" si="18"/>
        <v>TRUE</v>
      </c>
      <c r="V85" s="11" t="str">
        <f t="shared" si="19"/>
        <v>TRUE</v>
      </c>
    </row>
    <row r="86" spans="1:22" ht="15.75">
      <c r="A86" s="21">
        <v>84</v>
      </c>
      <c r="B86" s="5" t="s">
        <v>299</v>
      </c>
      <c r="C86" s="23" t="s">
        <v>3665</v>
      </c>
      <c r="D86" s="23" t="s">
        <v>59</v>
      </c>
      <c r="E86" s="5" t="s">
        <v>300</v>
      </c>
      <c r="F86" s="71" t="s">
        <v>6101</v>
      </c>
      <c r="G86" s="22" t="s">
        <v>30</v>
      </c>
      <c r="H86" s="5" t="s">
        <v>31</v>
      </c>
      <c r="I86" s="5" t="s">
        <v>21</v>
      </c>
      <c r="J86" s="5" t="s">
        <v>4814</v>
      </c>
      <c r="K86" s="5" t="s">
        <v>301</v>
      </c>
      <c r="L86" s="22"/>
      <c r="M86" s="8" t="str">
        <f t="shared" si="10"/>
        <v>Ok</v>
      </c>
      <c r="N86" s="9" t="b">
        <f t="shared" si="11"/>
        <v>1</v>
      </c>
      <c r="O86" s="9" t="b">
        <f t="shared" si="12"/>
        <v>1</v>
      </c>
      <c r="P86" s="8" t="str">
        <f t="shared" si="13"/>
        <v>FALSE</v>
      </c>
      <c r="Q86" s="8" t="str">
        <f t="shared" si="14"/>
        <v>FALSE</v>
      </c>
      <c r="R86" s="9" t="b">
        <f t="shared" si="15"/>
        <v>0</v>
      </c>
      <c r="S86" s="8" t="b">
        <f t="shared" si="16"/>
        <v>1</v>
      </c>
      <c r="T86" s="10" t="b">
        <f t="shared" si="17"/>
        <v>0</v>
      </c>
      <c r="U86" s="8" t="str">
        <f t="shared" si="18"/>
        <v>TRUE</v>
      </c>
      <c r="V86" s="11" t="str">
        <f t="shared" si="19"/>
        <v>TRUE</v>
      </c>
    </row>
    <row r="87" spans="1:22" ht="15.75">
      <c r="A87" s="21">
        <v>85</v>
      </c>
      <c r="B87" s="5" t="s">
        <v>302</v>
      </c>
      <c r="C87" s="23" t="s">
        <v>3582</v>
      </c>
      <c r="D87" s="23" t="s">
        <v>59</v>
      </c>
      <c r="E87" s="5" t="s">
        <v>303</v>
      </c>
      <c r="F87" s="71" t="s">
        <v>6101</v>
      </c>
      <c r="G87" s="22" t="s">
        <v>179</v>
      </c>
      <c r="H87" s="5" t="s">
        <v>13</v>
      </c>
      <c r="I87" s="5" t="s">
        <v>21</v>
      </c>
      <c r="J87" s="5" t="s">
        <v>5256</v>
      </c>
      <c r="K87" s="5">
        <v>887161188</v>
      </c>
      <c r="L87" s="22"/>
      <c r="M87" s="8" t="str">
        <f t="shared" si="10"/>
        <v>Ok</v>
      </c>
      <c r="N87" s="9" t="b">
        <f t="shared" si="11"/>
        <v>1</v>
      </c>
      <c r="O87" s="9" t="b">
        <f t="shared" si="12"/>
        <v>1</v>
      </c>
      <c r="P87" s="8" t="str">
        <f t="shared" si="13"/>
        <v>FALSE</v>
      </c>
      <c r="Q87" s="8" t="str">
        <f t="shared" si="14"/>
        <v>FALSE</v>
      </c>
      <c r="R87" s="9" t="b">
        <f t="shared" si="15"/>
        <v>1</v>
      </c>
      <c r="S87" s="8" t="b">
        <f t="shared" si="16"/>
        <v>0</v>
      </c>
      <c r="T87" s="10" t="b">
        <f t="shared" si="17"/>
        <v>0</v>
      </c>
      <c r="U87" s="8" t="str">
        <f t="shared" si="18"/>
        <v>TRUE</v>
      </c>
      <c r="V87" s="11" t="str">
        <f t="shared" si="19"/>
        <v>FALSE</v>
      </c>
    </row>
    <row r="88" spans="1:22" ht="15.75">
      <c r="A88" s="21">
        <v>86</v>
      </c>
      <c r="B88" s="5" t="s">
        <v>304</v>
      </c>
      <c r="C88" s="23" t="s">
        <v>3583</v>
      </c>
      <c r="D88" s="23" t="s">
        <v>59</v>
      </c>
      <c r="E88" s="5" t="s">
        <v>305</v>
      </c>
      <c r="F88" s="71" t="s">
        <v>6101</v>
      </c>
      <c r="G88" s="22" t="s">
        <v>160</v>
      </c>
      <c r="H88" s="5" t="s">
        <v>36</v>
      </c>
      <c r="I88" s="5" t="s">
        <v>56</v>
      </c>
      <c r="J88" s="5" t="s">
        <v>5204</v>
      </c>
      <c r="K88" s="5" t="s">
        <v>306</v>
      </c>
      <c r="L88" s="22"/>
      <c r="M88" s="8" t="str">
        <f t="shared" si="10"/>
        <v>Ok</v>
      </c>
      <c r="N88" s="9" t="b">
        <f t="shared" si="11"/>
        <v>1</v>
      </c>
      <c r="O88" s="9" t="b">
        <f t="shared" si="12"/>
        <v>1</v>
      </c>
      <c r="P88" s="8" t="str">
        <f t="shared" si="13"/>
        <v>FALSE</v>
      </c>
      <c r="Q88" s="8" t="str">
        <f t="shared" si="14"/>
        <v>FALSE</v>
      </c>
      <c r="R88" s="9" t="b">
        <f t="shared" si="15"/>
        <v>0</v>
      </c>
      <c r="S88" s="8" t="b">
        <f t="shared" si="16"/>
        <v>1</v>
      </c>
      <c r="T88" s="10" t="b">
        <f t="shared" si="17"/>
        <v>1</v>
      </c>
      <c r="U88" s="8" t="str">
        <f t="shared" si="18"/>
        <v>TRUE</v>
      </c>
      <c r="V88" s="11" t="str">
        <f t="shared" si="19"/>
        <v>TRUE</v>
      </c>
    </row>
    <row r="89" spans="1:22" ht="15.75">
      <c r="A89" s="21">
        <v>87</v>
      </c>
      <c r="B89" s="5" t="s">
        <v>307</v>
      </c>
      <c r="C89" s="23" t="s">
        <v>3329</v>
      </c>
      <c r="D89" s="23" t="s">
        <v>34</v>
      </c>
      <c r="E89" s="5" t="s">
        <v>308</v>
      </c>
      <c r="F89" s="71" t="s">
        <v>6101</v>
      </c>
      <c r="G89" s="22" t="s">
        <v>3933</v>
      </c>
      <c r="H89" s="5" t="s">
        <v>3932</v>
      </c>
      <c r="I89" s="5" t="s">
        <v>56</v>
      </c>
      <c r="J89" s="5" t="s">
        <v>5758</v>
      </c>
      <c r="K89" s="5" t="s">
        <v>309</v>
      </c>
      <c r="L89" s="22"/>
      <c r="M89" s="8" t="str">
        <f t="shared" si="10"/>
        <v>Ok</v>
      </c>
      <c r="N89" s="9" t="b">
        <f t="shared" si="11"/>
        <v>1</v>
      </c>
      <c r="O89" s="9" t="b">
        <f t="shared" si="12"/>
        <v>0</v>
      </c>
      <c r="P89" s="8" t="str">
        <f t="shared" si="13"/>
        <v>FALSE</v>
      </c>
      <c r="Q89" s="8" t="str">
        <f t="shared" si="14"/>
        <v>FALSE</v>
      </c>
      <c r="R89" s="9" t="b">
        <f t="shared" si="15"/>
        <v>0</v>
      </c>
      <c r="S89" s="8" t="b">
        <f t="shared" si="16"/>
        <v>0</v>
      </c>
      <c r="T89" s="10" t="b">
        <f t="shared" si="17"/>
        <v>1</v>
      </c>
      <c r="U89" s="8" t="str">
        <f t="shared" si="18"/>
        <v>FALSE</v>
      </c>
      <c r="V89" s="11" t="str">
        <f t="shared" si="19"/>
        <v>TRUE</v>
      </c>
    </row>
    <row r="90" spans="1:22" ht="15.75">
      <c r="A90" s="21">
        <v>88</v>
      </c>
      <c r="B90" s="5" t="s">
        <v>310</v>
      </c>
      <c r="C90" s="23" t="s">
        <v>3666</v>
      </c>
      <c r="D90" s="23" t="s">
        <v>59</v>
      </c>
      <c r="E90" s="5" t="s">
        <v>311</v>
      </c>
      <c r="F90" s="71" t="s">
        <v>6101</v>
      </c>
      <c r="G90" s="22" t="s">
        <v>3934</v>
      </c>
      <c r="H90" s="5" t="s">
        <v>13</v>
      </c>
      <c r="I90" s="5" t="s">
        <v>67</v>
      </c>
      <c r="J90" s="5" t="s">
        <v>5514</v>
      </c>
      <c r="K90" s="5" t="s">
        <v>312</v>
      </c>
      <c r="L90" s="22"/>
      <c r="M90" s="8" t="str">
        <f t="shared" si="10"/>
        <v>Ok</v>
      </c>
      <c r="N90" s="9" t="b">
        <f t="shared" si="11"/>
        <v>1</v>
      </c>
      <c r="O90" s="9" t="b">
        <f t="shared" si="12"/>
        <v>1</v>
      </c>
      <c r="P90" s="8" t="str">
        <f t="shared" si="13"/>
        <v>FALSE</v>
      </c>
      <c r="Q90" s="8" t="str">
        <f t="shared" si="14"/>
        <v>FALSE</v>
      </c>
      <c r="R90" s="9" t="b">
        <f t="shared" si="15"/>
        <v>0</v>
      </c>
      <c r="S90" s="8" t="b">
        <f t="shared" si="16"/>
        <v>0</v>
      </c>
      <c r="T90" s="10" t="b">
        <f t="shared" si="17"/>
        <v>0</v>
      </c>
      <c r="U90" s="8" t="str">
        <f t="shared" si="18"/>
        <v>FALSE</v>
      </c>
      <c r="V90" s="11" t="str">
        <f t="shared" si="19"/>
        <v>TRUE</v>
      </c>
    </row>
    <row r="91" spans="1:22" ht="15.75">
      <c r="A91" s="21">
        <v>89</v>
      </c>
      <c r="B91" s="5" t="s">
        <v>3938</v>
      </c>
      <c r="C91" s="23" t="s">
        <v>3767</v>
      </c>
      <c r="D91" s="23" t="s">
        <v>59</v>
      </c>
      <c r="E91" s="5" t="s">
        <v>313</v>
      </c>
      <c r="F91" s="71" t="s">
        <v>6101</v>
      </c>
      <c r="G91" s="22" t="s">
        <v>24</v>
      </c>
      <c r="H91" s="5" t="s">
        <v>25</v>
      </c>
      <c r="I91" s="5" t="s">
        <v>67</v>
      </c>
      <c r="J91" s="5" t="s">
        <v>4826</v>
      </c>
      <c r="K91" s="5">
        <v>80361557955</v>
      </c>
      <c r="L91" s="22"/>
      <c r="M91" s="8" t="str">
        <f t="shared" si="10"/>
        <v>Ok</v>
      </c>
      <c r="N91" s="9" t="b">
        <f t="shared" si="11"/>
        <v>0</v>
      </c>
      <c r="O91" s="9" t="b">
        <f t="shared" si="12"/>
        <v>1</v>
      </c>
      <c r="P91" s="8" t="str">
        <f t="shared" si="13"/>
        <v>FALSE</v>
      </c>
      <c r="Q91" s="8" t="str">
        <f t="shared" si="14"/>
        <v>FALSE</v>
      </c>
      <c r="R91" s="9" t="b">
        <f t="shared" si="15"/>
        <v>0</v>
      </c>
      <c r="S91" s="8" t="b">
        <f t="shared" si="16"/>
        <v>0</v>
      </c>
      <c r="T91" s="10" t="b">
        <f t="shared" si="17"/>
        <v>0</v>
      </c>
      <c r="U91" s="8" t="str">
        <f t="shared" si="18"/>
        <v>TRUE</v>
      </c>
      <c r="V91" s="11" t="str">
        <f t="shared" si="19"/>
        <v>FALSE</v>
      </c>
    </row>
    <row r="92" spans="1:22" ht="15.75">
      <c r="A92" s="21">
        <v>90</v>
      </c>
      <c r="B92" s="5" t="s">
        <v>314</v>
      </c>
      <c r="C92" s="23" t="s">
        <v>3816</v>
      </c>
      <c r="D92" s="23" t="s">
        <v>59</v>
      </c>
      <c r="E92" s="5" t="s">
        <v>315</v>
      </c>
      <c r="F92" s="71" t="s">
        <v>6101</v>
      </c>
      <c r="G92" s="22" t="s">
        <v>144</v>
      </c>
      <c r="H92" s="5" t="s">
        <v>25</v>
      </c>
      <c r="I92" s="5" t="s">
        <v>50</v>
      </c>
      <c r="J92" s="5" t="s">
        <v>5485</v>
      </c>
      <c r="K92" s="5" t="s">
        <v>316</v>
      </c>
      <c r="L92" s="22"/>
      <c r="M92" s="8" t="str">
        <f t="shared" si="10"/>
        <v>Ok</v>
      </c>
      <c r="N92" s="9" t="b">
        <f t="shared" si="11"/>
        <v>0</v>
      </c>
      <c r="O92" s="9" t="b">
        <f t="shared" si="12"/>
        <v>1</v>
      </c>
      <c r="P92" s="8" t="str">
        <f t="shared" si="13"/>
        <v>FALSE</v>
      </c>
      <c r="Q92" s="8" t="str">
        <f t="shared" si="14"/>
        <v>FALSE</v>
      </c>
      <c r="R92" s="9" t="b">
        <f t="shared" si="15"/>
        <v>1</v>
      </c>
      <c r="S92" s="8" t="b">
        <f t="shared" si="16"/>
        <v>0</v>
      </c>
      <c r="T92" s="10" t="b">
        <f t="shared" si="17"/>
        <v>0</v>
      </c>
      <c r="U92" s="8" t="str">
        <f t="shared" si="18"/>
        <v>FALSE</v>
      </c>
      <c r="V92" s="11" t="str">
        <f t="shared" si="19"/>
        <v>TRUE</v>
      </c>
    </row>
    <row r="93" spans="1:22" ht="15.75">
      <c r="A93" s="21">
        <v>91</v>
      </c>
      <c r="B93" s="5" t="s">
        <v>317</v>
      </c>
      <c r="C93" s="23" t="s">
        <v>3768</v>
      </c>
      <c r="D93" s="23" t="s">
        <v>59</v>
      </c>
      <c r="E93" s="5" t="s">
        <v>318</v>
      </c>
      <c r="F93" s="71" t="s">
        <v>6101</v>
      </c>
      <c r="G93" s="22" t="s">
        <v>24</v>
      </c>
      <c r="H93" s="5" t="s">
        <v>25</v>
      </c>
      <c r="I93" s="5" t="s">
        <v>26</v>
      </c>
      <c r="J93" s="5" t="s">
        <v>5527</v>
      </c>
      <c r="K93" s="5" t="s">
        <v>319</v>
      </c>
      <c r="L93" s="22"/>
      <c r="M93" s="8" t="str">
        <f t="shared" si="10"/>
        <v>Ok</v>
      </c>
      <c r="N93" s="9" t="b">
        <f t="shared" si="11"/>
        <v>0</v>
      </c>
      <c r="O93" s="9" t="b">
        <f t="shared" si="12"/>
        <v>1</v>
      </c>
      <c r="P93" s="8" t="str">
        <f t="shared" si="13"/>
        <v>FALSE</v>
      </c>
      <c r="Q93" s="8" t="str">
        <f t="shared" si="14"/>
        <v>FALSE</v>
      </c>
      <c r="R93" s="9" t="b">
        <f t="shared" si="15"/>
        <v>0</v>
      </c>
      <c r="S93" s="8" t="b">
        <f t="shared" si="16"/>
        <v>0</v>
      </c>
      <c r="T93" s="10" t="b">
        <f t="shared" si="17"/>
        <v>0</v>
      </c>
      <c r="U93" s="8" t="str">
        <f t="shared" si="18"/>
        <v>FALSE</v>
      </c>
      <c r="V93" s="11" t="str">
        <f t="shared" si="19"/>
        <v>TRUE</v>
      </c>
    </row>
    <row r="94" spans="1:22" ht="15.75">
      <c r="A94" s="21">
        <v>92</v>
      </c>
      <c r="B94" s="5" t="s">
        <v>320</v>
      </c>
      <c r="C94" s="23" t="s">
        <v>3118</v>
      </c>
      <c r="D94" s="23" t="s">
        <v>34</v>
      </c>
      <c r="E94" s="5" t="s">
        <v>321</v>
      </c>
      <c r="F94" s="71" t="s">
        <v>6101</v>
      </c>
      <c r="G94" s="22" t="s">
        <v>179</v>
      </c>
      <c r="H94" s="22" t="s">
        <v>179</v>
      </c>
      <c r="I94" s="5" t="s">
        <v>14</v>
      </c>
      <c r="J94" s="5" t="s">
        <v>4798</v>
      </c>
      <c r="K94" s="5" t="s">
        <v>322</v>
      </c>
      <c r="L94" s="22"/>
      <c r="M94" s="8" t="str">
        <f t="shared" si="10"/>
        <v>Ok</v>
      </c>
      <c r="N94" s="9" t="b">
        <f t="shared" si="11"/>
        <v>0</v>
      </c>
      <c r="O94" s="9" t="b">
        <f t="shared" si="12"/>
        <v>0</v>
      </c>
      <c r="P94" s="8" t="str">
        <f t="shared" si="13"/>
        <v>FALSE</v>
      </c>
      <c r="Q94" s="8" t="str">
        <f t="shared" si="14"/>
        <v>FALSE</v>
      </c>
      <c r="R94" s="9" t="b">
        <f t="shared" si="15"/>
        <v>1</v>
      </c>
      <c r="S94" s="8" t="b">
        <f t="shared" si="16"/>
        <v>1</v>
      </c>
      <c r="T94" s="10" t="b">
        <f t="shared" si="17"/>
        <v>1</v>
      </c>
      <c r="U94" s="8" t="str">
        <f t="shared" si="18"/>
        <v>TRUE</v>
      </c>
      <c r="V94" s="11" t="str">
        <f t="shared" si="19"/>
        <v>TRUE</v>
      </c>
    </row>
    <row r="95" spans="1:22" ht="15.75">
      <c r="A95" s="21">
        <v>93</v>
      </c>
      <c r="B95" s="5" t="s">
        <v>323</v>
      </c>
      <c r="C95" s="23" t="s">
        <v>3869</v>
      </c>
      <c r="D95" s="23" t="s">
        <v>17</v>
      </c>
      <c r="E95" s="5" t="s">
        <v>324</v>
      </c>
      <c r="F95" s="71" t="s">
        <v>6101</v>
      </c>
      <c r="G95" s="22" t="s">
        <v>119</v>
      </c>
      <c r="H95" s="5" t="s">
        <v>120</v>
      </c>
      <c r="I95" s="5" t="s">
        <v>42</v>
      </c>
      <c r="J95" s="5" t="s">
        <v>5479</v>
      </c>
      <c r="K95" s="5" t="s">
        <v>325</v>
      </c>
      <c r="L95" s="22"/>
      <c r="M95" s="8" t="str">
        <f t="shared" si="10"/>
        <v>Ok</v>
      </c>
      <c r="N95" s="9" t="b">
        <f t="shared" si="11"/>
        <v>0</v>
      </c>
      <c r="O95" s="9" t="b">
        <f t="shared" si="12"/>
        <v>1</v>
      </c>
      <c r="P95" s="8" t="str">
        <f t="shared" si="13"/>
        <v>FALSE</v>
      </c>
      <c r="Q95" s="8" t="str">
        <f t="shared" si="14"/>
        <v>FALSE</v>
      </c>
      <c r="R95" s="9" t="b">
        <f t="shared" si="15"/>
        <v>0</v>
      </c>
      <c r="S95" s="8" t="b">
        <f t="shared" si="16"/>
        <v>1</v>
      </c>
      <c r="T95" s="10" t="b">
        <f t="shared" si="17"/>
        <v>1</v>
      </c>
      <c r="U95" s="8" t="str">
        <f t="shared" si="18"/>
        <v>FALSE</v>
      </c>
      <c r="V95" s="11" t="str">
        <f t="shared" si="19"/>
        <v>TRUE</v>
      </c>
    </row>
    <row r="96" spans="1:22" ht="15.75">
      <c r="A96" s="21">
        <v>94</v>
      </c>
      <c r="B96" s="5" t="s">
        <v>326</v>
      </c>
      <c r="C96" s="23" t="s">
        <v>2989</v>
      </c>
      <c r="D96" s="23" t="s">
        <v>34</v>
      </c>
      <c r="E96" s="5" t="s">
        <v>327</v>
      </c>
      <c r="F96" s="71" t="s">
        <v>6101</v>
      </c>
      <c r="G96" s="22" t="s">
        <v>74</v>
      </c>
      <c r="H96" s="5" t="s">
        <v>71</v>
      </c>
      <c r="I96" s="5" t="s">
        <v>50</v>
      </c>
      <c r="J96" s="5" t="s">
        <v>5478</v>
      </c>
      <c r="K96" s="5" t="s">
        <v>328</v>
      </c>
      <c r="L96" s="22"/>
      <c r="M96" s="8" t="str">
        <f t="shared" si="10"/>
        <v>Ok</v>
      </c>
      <c r="N96" s="9" t="b">
        <f t="shared" si="11"/>
        <v>0</v>
      </c>
      <c r="O96" s="9" t="b">
        <f t="shared" si="12"/>
        <v>0</v>
      </c>
      <c r="P96" s="8" t="str">
        <f t="shared" si="13"/>
        <v>FALSE</v>
      </c>
      <c r="Q96" s="8" t="str">
        <f t="shared" si="14"/>
        <v>FALSE</v>
      </c>
      <c r="R96" s="9" t="b">
        <f t="shared" si="15"/>
        <v>0</v>
      </c>
      <c r="S96" s="8" t="b">
        <f t="shared" si="16"/>
        <v>1</v>
      </c>
      <c r="T96" s="10" t="b">
        <f t="shared" si="17"/>
        <v>0</v>
      </c>
      <c r="U96" s="8" t="str">
        <f t="shared" si="18"/>
        <v>FALSE</v>
      </c>
      <c r="V96" s="11" t="str">
        <f t="shared" si="19"/>
        <v>TRUE</v>
      </c>
    </row>
    <row r="97" spans="1:22" ht="15.75">
      <c r="A97" s="21">
        <v>95</v>
      </c>
      <c r="B97" s="5" t="s">
        <v>329</v>
      </c>
      <c r="C97" s="23" t="s">
        <v>3330</v>
      </c>
      <c r="D97" s="23" t="s">
        <v>34</v>
      </c>
      <c r="E97" s="5" t="s">
        <v>330</v>
      </c>
      <c r="F97" s="71" t="s">
        <v>6101</v>
      </c>
      <c r="G97" s="22" t="s">
        <v>3933</v>
      </c>
      <c r="H97" s="5" t="s">
        <v>3932</v>
      </c>
      <c r="I97" s="5" t="s">
        <v>56</v>
      </c>
      <c r="J97" s="5" t="s">
        <v>5081</v>
      </c>
      <c r="K97" s="5" t="s">
        <v>331</v>
      </c>
      <c r="L97" s="22"/>
      <c r="M97" s="8" t="str">
        <f t="shared" si="10"/>
        <v>Ok</v>
      </c>
      <c r="N97" s="9" t="b">
        <f t="shared" si="11"/>
        <v>1</v>
      </c>
      <c r="O97" s="9" t="b">
        <f t="shared" si="12"/>
        <v>0</v>
      </c>
      <c r="P97" s="8" t="str">
        <f t="shared" si="13"/>
        <v>FALSE</v>
      </c>
      <c r="Q97" s="8" t="str">
        <f t="shared" si="14"/>
        <v>FALSE</v>
      </c>
      <c r="R97" s="9" t="b">
        <f t="shared" si="15"/>
        <v>0</v>
      </c>
      <c r="S97" s="8" t="b">
        <f t="shared" si="16"/>
        <v>0</v>
      </c>
      <c r="T97" s="10" t="b">
        <f t="shared" si="17"/>
        <v>1</v>
      </c>
      <c r="U97" s="8" t="str">
        <f t="shared" si="18"/>
        <v>TRUE</v>
      </c>
      <c r="V97" s="11" t="str">
        <f t="shared" si="19"/>
        <v>TRUE</v>
      </c>
    </row>
    <row r="98" spans="1:22" ht="15.75">
      <c r="A98" s="21">
        <v>96</v>
      </c>
      <c r="B98" s="5" t="s">
        <v>332</v>
      </c>
      <c r="C98" s="23" t="s">
        <v>3201</v>
      </c>
      <c r="D98" s="23" t="s">
        <v>77</v>
      </c>
      <c r="E98" s="5" t="s">
        <v>333</v>
      </c>
      <c r="F98" s="71" t="s">
        <v>6101</v>
      </c>
      <c r="G98" s="22" t="s">
        <v>179</v>
      </c>
      <c r="H98" s="5" t="s">
        <v>3932</v>
      </c>
      <c r="I98" s="5" t="s">
        <v>56</v>
      </c>
      <c r="J98" s="5" t="s">
        <v>5228</v>
      </c>
      <c r="K98" s="5" t="s">
        <v>334</v>
      </c>
      <c r="L98" s="22"/>
      <c r="M98" s="8" t="str">
        <f t="shared" si="10"/>
        <v>Ok</v>
      </c>
      <c r="N98" s="9" t="b">
        <f t="shared" si="11"/>
        <v>1</v>
      </c>
      <c r="O98" s="9" t="b">
        <f t="shared" si="12"/>
        <v>0</v>
      </c>
      <c r="P98" s="8" t="str">
        <f t="shared" si="13"/>
        <v>FALSE</v>
      </c>
      <c r="Q98" s="8" t="str">
        <f t="shared" si="14"/>
        <v>FALSE</v>
      </c>
      <c r="R98" s="9" t="b">
        <f t="shared" si="15"/>
        <v>1</v>
      </c>
      <c r="S98" s="8" t="b">
        <f t="shared" si="16"/>
        <v>0</v>
      </c>
      <c r="T98" s="10" t="b">
        <f t="shared" si="17"/>
        <v>1</v>
      </c>
      <c r="U98" s="8" t="str">
        <f t="shared" si="18"/>
        <v>TRUE</v>
      </c>
      <c r="V98" s="11" t="str">
        <f t="shared" si="19"/>
        <v>FALSE</v>
      </c>
    </row>
    <row r="99" spans="1:22" ht="15.75">
      <c r="A99" s="21">
        <v>97</v>
      </c>
      <c r="B99" s="5" t="s">
        <v>335</v>
      </c>
      <c r="C99" s="23" t="s">
        <v>3119</v>
      </c>
      <c r="D99" s="23" t="s">
        <v>77</v>
      </c>
      <c r="E99" s="5" t="s">
        <v>336</v>
      </c>
      <c r="F99" s="71" t="s">
        <v>6101</v>
      </c>
      <c r="G99" s="22" t="s">
        <v>179</v>
      </c>
      <c r="H99" s="22" t="s">
        <v>3932</v>
      </c>
      <c r="I99" s="5" t="s">
        <v>67</v>
      </c>
      <c r="J99" s="5" t="s">
        <v>5370</v>
      </c>
      <c r="K99" s="5" t="s">
        <v>337</v>
      </c>
      <c r="L99" s="22"/>
      <c r="M99" s="8" t="str">
        <f t="shared" si="10"/>
        <v>Ok</v>
      </c>
      <c r="N99" s="9" t="b">
        <f t="shared" si="11"/>
        <v>0</v>
      </c>
      <c r="O99" s="9" t="b">
        <f t="shared" si="12"/>
        <v>0</v>
      </c>
      <c r="P99" s="8" t="str">
        <f t="shared" si="13"/>
        <v>FALSE</v>
      </c>
      <c r="Q99" s="8" t="str">
        <f t="shared" si="14"/>
        <v>FALSE</v>
      </c>
      <c r="R99" s="9" t="b">
        <f t="shared" si="15"/>
        <v>1</v>
      </c>
      <c r="S99" s="8" t="b">
        <f t="shared" si="16"/>
        <v>0</v>
      </c>
      <c r="T99" s="10" t="b">
        <f t="shared" si="17"/>
        <v>0</v>
      </c>
      <c r="U99" s="8" t="str">
        <f t="shared" si="18"/>
        <v>TRUE</v>
      </c>
      <c r="V99" s="11" t="str">
        <f t="shared" si="19"/>
        <v>TRUE</v>
      </c>
    </row>
    <row r="100" spans="1:22" ht="15.75">
      <c r="A100" s="21">
        <v>98</v>
      </c>
      <c r="B100" s="5" t="s">
        <v>338</v>
      </c>
      <c r="C100" s="23" t="s">
        <v>3769</v>
      </c>
      <c r="D100" s="23" t="s">
        <v>59</v>
      </c>
      <c r="E100" s="5" t="s">
        <v>339</v>
      </c>
      <c r="F100" s="71" t="s">
        <v>6101</v>
      </c>
      <c r="G100" s="22" t="s">
        <v>24</v>
      </c>
      <c r="H100" s="5" t="s">
        <v>25</v>
      </c>
      <c r="I100" s="5" t="s">
        <v>21</v>
      </c>
      <c r="J100" s="5" t="s">
        <v>4812</v>
      </c>
      <c r="K100" s="5" t="s">
        <v>340</v>
      </c>
      <c r="L100" s="22"/>
      <c r="M100" s="8" t="str">
        <f t="shared" si="10"/>
        <v>Ok</v>
      </c>
      <c r="N100" s="9" t="b">
        <f t="shared" si="11"/>
        <v>0</v>
      </c>
      <c r="O100" s="9" t="b">
        <f t="shared" si="12"/>
        <v>1</v>
      </c>
      <c r="P100" s="8" t="str">
        <f t="shared" si="13"/>
        <v>FALSE</v>
      </c>
      <c r="Q100" s="8" t="str">
        <f t="shared" si="14"/>
        <v>FALSE</v>
      </c>
      <c r="R100" s="9" t="b">
        <f t="shared" si="15"/>
        <v>0</v>
      </c>
      <c r="S100" s="8" t="b">
        <f t="shared" si="16"/>
        <v>0</v>
      </c>
      <c r="T100" s="10" t="b">
        <f t="shared" si="17"/>
        <v>0</v>
      </c>
      <c r="U100" s="8" t="str">
        <f t="shared" si="18"/>
        <v>TRUE</v>
      </c>
      <c r="V100" s="11" t="str">
        <f t="shared" si="19"/>
        <v>TRUE</v>
      </c>
    </row>
    <row r="101" spans="1:22" ht="15.75">
      <c r="A101" s="21">
        <v>99</v>
      </c>
      <c r="B101" s="5" t="s">
        <v>341</v>
      </c>
      <c r="C101" s="23" t="s">
        <v>3444</v>
      </c>
      <c r="D101" s="23" t="s">
        <v>77</v>
      </c>
      <c r="E101" s="5" t="s">
        <v>342</v>
      </c>
      <c r="F101" s="71" t="s">
        <v>6101</v>
      </c>
      <c r="G101" s="22" t="s">
        <v>160</v>
      </c>
      <c r="H101" s="5" t="s">
        <v>3932</v>
      </c>
      <c r="I101" s="5" t="s">
        <v>67</v>
      </c>
      <c r="J101" s="5" t="s">
        <v>5103</v>
      </c>
      <c r="K101" s="5" t="s">
        <v>343</v>
      </c>
      <c r="L101" s="22"/>
      <c r="M101" s="8" t="str">
        <f t="shared" si="10"/>
        <v>Ok</v>
      </c>
      <c r="N101" s="9" t="b">
        <f t="shared" si="11"/>
        <v>1</v>
      </c>
      <c r="O101" s="9" t="b">
        <f t="shared" si="12"/>
        <v>0</v>
      </c>
      <c r="P101" s="8" t="str">
        <f t="shared" si="13"/>
        <v>FALSE</v>
      </c>
      <c r="Q101" s="8" t="str">
        <f t="shared" si="14"/>
        <v>FALSE</v>
      </c>
      <c r="R101" s="9" t="b">
        <f t="shared" si="15"/>
        <v>0</v>
      </c>
      <c r="S101" s="8" t="b">
        <f t="shared" si="16"/>
        <v>0</v>
      </c>
      <c r="T101" s="10" t="b">
        <f t="shared" si="17"/>
        <v>0</v>
      </c>
      <c r="U101" s="8" t="str">
        <f t="shared" si="18"/>
        <v>TRUE</v>
      </c>
      <c r="V101" s="11" t="str">
        <f t="shared" si="19"/>
        <v>FALSE</v>
      </c>
    </row>
    <row r="102" spans="1:22" ht="15.75">
      <c r="A102" s="21">
        <v>100</v>
      </c>
      <c r="B102" s="5" t="s">
        <v>344</v>
      </c>
      <c r="C102" s="23" t="s">
        <v>3331</v>
      </c>
      <c r="D102" s="23" t="s">
        <v>34</v>
      </c>
      <c r="E102" s="5" t="s">
        <v>345</v>
      </c>
      <c r="F102" s="71" t="s">
        <v>6101</v>
      </c>
      <c r="G102" s="22" t="s">
        <v>3933</v>
      </c>
      <c r="H102" s="5" t="s">
        <v>3932</v>
      </c>
      <c r="I102" s="5" t="s">
        <v>67</v>
      </c>
      <c r="J102" s="5" t="s">
        <v>4969</v>
      </c>
      <c r="K102" s="5" t="s">
        <v>346</v>
      </c>
      <c r="L102" s="22"/>
      <c r="M102" s="8" t="str">
        <f t="shared" si="10"/>
        <v>Ok</v>
      </c>
      <c r="N102" s="9" t="b">
        <f t="shared" si="11"/>
        <v>1</v>
      </c>
      <c r="O102" s="9" t="b">
        <f t="shared" si="12"/>
        <v>0</v>
      </c>
      <c r="P102" s="8" t="str">
        <f t="shared" si="13"/>
        <v>FALSE</v>
      </c>
      <c r="Q102" s="8" t="str">
        <f t="shared" si="14"/>
        <v>FALSE</v>
      </c>
      <c r="R102" s="9" t="b">
        <f t="shared" si="15"/>
        <v>0</v>
      </c>
      <c r="S102" s="8" t="b">
        <f t="shared" si="16"/>
        <v>0</v>
      </c>
      <c r="T102" s="10" t="b">
        <f t="shared" si="17"/>
        <v>0</v>
      </c>
      <c r="U102" s="8" t="str">
        <f t="shared" si="18"/>
        <v>TRUE</v>
      </c>
      <c r="V102" s="11" t="str">
        <f t="shared" si="19"/>
        <v>TRUE</v>
      </c>
    </row>
    <row r="103" spans="1:22" ht="15.75">
      <c r="A103" s="21">
        <v>101</v>
      </c>
      <c r="B103" s="5" t="s">
        <v>347</v>
      </c>
      <c r="C103" s="23" t="s">
        <v>2990</v>
      </c>
      <c r="D103" s="23" t="s">
        <v>34</v>
      </c>
      <c r="E103" s="5" t="s">
        <v>348</v>
      </c>
      <c r="F103" s="71" t="s">
        <v>6101</v>
      </c>
      <c r="G103" s="22" t="s">
        <v>74</v>
      </c>
      <c r="H103" s="5" t="s">
        <v>41</v>
      </c>
      <c r="I103" s="5" t="s">
        <v>21</v>
      </c>
      <c r="J103" s="5" t="s">
        <v>5393</v>
      </c>
      <c r="K103" s="5" t="s">
        <v>349</v>
      </c>
      <c r="L103" s="22"/>
      <c r="M103" s="8" t="str">
        <f t="shared" si="10"/>
        <v>Ok</v>
      </c>
      <c r="N103" s="9" t="b">
        <f t="shared" si="11"/>
        <v>0</v>
      </c>
      <c r="O103" s="9" t="b">
        <f t="shared" si="12"/>
        <v>0</v>
      </c>
      <c r="P103" s="8" t="str">
        <f t="shared" si="13"/>
        <v>FALSE</v>
      </c>
      <c r="Q103" s="8" t="str">
        <f t="shared" si="14"/>
        <v>FALSE</v>
      </c>
      <c r="R103" s="9" t="b">
        <f t="shared" si="15"/>
        <v>0</v>
      </c>
      <c r="S103" s="8" t="b">
        <f t="shared" si="16"/>
        <v>0</v>
      </c>
      <c r="T103" s="10" t="b">
        <f t="shared" si="17"/>
        <v>0</v>
      </c>
      <c r="U103" s="8" t="str">
        <f t="shared" si="18"/>
        <v>TRUE</v>
      </c>
      <c r="V103" s="11" t="str">
        <f t="shared" si="19"/>
        <v>TRUE</v>
      </c>
    </row>
    <row r="104" spans="1:22" ht="15.75">
      <c r="A104" s="21">
        <v>102</v>
      </c>
      <c r="B104" s="5" t="s">
        <v>350</v>
      </c>
      <c r="C104" s="23" t="s">
        <v>3332</v>
      </c>
      <c r="D104" s="23" t="s">
        <v>34</v>
      </c>
      <c r="E104" s="5" t="s">
        <v>351</v>
      </c>
      <c r="F104" s="71" t="s">
        <v>6101</v>
      </c>
      <c r="G104" s="22" t="s">
        <v>216</v>
      </c>
      <c r="H104" s="5" t="s">
        <v>217</v>
      </c>
      <c r="I104" s="5" t="s">
        <v>21</v>
      </c>
      <c r="J104" s="5" t="s">
        <v>4985</v>
      </c>
      <c r="K104" s="5" t="s">
        <v>352</v>
      </c>
      <c r="L104" s="22"/>
      <c r="M104" s="8" t="str">
        <f t="shared" si="10"/>
        <v>Ok</v>
      </c>
      <c r="N104" s="9" t="b">
        <f t="shared" si="11"/>
        <v>1</v>
      </c>
      <c r="O104" s="9" t="b">
        <f t="shared" si="12"/>
        <v>0</v>
      </c>
      <c r="P104" s="8" t="str">
        <f t="shared" si="13"/>
        <v>FALSE</v>
      </c>
      <c r="Q104" s="8" t="str">
        <f t="shared" si="14"/>
        <v>FALSE</v>
      </c>
      <c r="R104" s="9" t="b">
        <f t="shared" si="15"/>
        <v>0</v>
      </c>
      <c r="S104" s="8" t="b">
        <f t="shared" si="16"/>
        <v>0</v>
      </c>
      <c r="T104" s="10" t="b">
        <f t="shared" si="17"/>
        <v>0</v>
      </c>
      <c r="U104" s="8" t="str">
        <f t="shared" si="18"/>
        <v>TRUE</v>
      </c>
      <c r="V104" s="11" t="str">
        <f t="shared" si="19"/>
        <v>TRUE</v>
      </c>
    </row>
    <row r="105" spans="1:22" ht="15.75">
      <c r="A105" s="21">
        <v>103</v>
      </c>
      <c r="B105" s="5" t="s">
        <v>353</v>
      </c>
      <c r="C105" s="23" t="s">
        <v>3667</v>
      </c>
      <c r="D105" s="23" t="s">
        <v>59</v>
      </c>
      <c r="E105" s="5" t="s">
        <v>354</v>
      </c>
      <c r="F105" s="71" t="s">
        <v>6101</v>
      </c>
      <c r="G105" s="22" t="s">
        <v>3934</v>
      </c>
      <c r="H105" s="5" t="s">
        <v>13</v>
      </c>
      <c r="I105" s="5" t="s">
        <v>56</v>
      </c>
      <c r="J105" s="5" t="s">
        <v>5266</v>
      </c>
      <c r="K105" s="5" t="s">
        <v>355</v>
      </c>
      <c r="L105" s="22"/>
      <c r="M105" s="8" t="str">
        <f t="shared" si="10"/>
        <v>Ok</v>
      </c>
      <c r="N105" s="9" t="b">
        <f t="shared" si="11"/>
        <v>1</v>
      </c>
      <c r="O105" s="9" t="b">
        <f t="shared" si="12"/>
        <v>1</v>
      </c>
      <c r="P105" s="8" t="str">
        <f t="shared" si="13"/>
        <v>FALSE</v>
      </c>
      <c r="Q105" s="8" t="str">
        <f t="shared" si="14"/>
        <v>FALSE</v>
      </c>
      <c r="R105" s="9" t="b">
        <f t="shared" si="15"/>
        <v>0</v>
      </c>
      <c r="S105" s="8" t="b">
        <f t="shared" si="16"/>
        <v>0</v>
      </c>
      <c r="T105" s="10" t="b">
        <f t="shared" si="17"/>
        <v>1</v>
      </c>
      <c r="U105" s="8" t="str">
        <f t="shared" si="18"/>
        <v>TRUE</v>
      </c>
      <c r="V105" s="11" t="str">
        <f t="shared" si="19"/>
        <v>TRUE</v>
      </c>
    </row>
    <row r="106" spans="1:22" ht="15.75">
      <c r="A106" s="21">
        <v>104</v>
      </c>
      <c r="B106" s="5" t="s">
        <v>356</v>
      </c>
      <c r="C106" s="23" t="s">
        <v>3584</v>
      </c>
      <c r="D106" s="23" t="s">
        <v>59</v>
      </c>
      <c r="E106" s="5" t="s">
        <v>357</v>
      </c>
      <c r="F106" s="71" t="s">
        <v>6101</v>
      </c>
      <c r="G106" s="22" t="s">
        <v>179</v>
      </c>
      <c r="H106" s="5" t="s">
        <v>36</v>
      </c>
      <c r="I106" s="5" t="s">
        <v>50</v>
      </c>
      <c r="J106" s="5" t="s">
        <v>5725</v>
      </c>
      <c r="K106" s="5" t="s">
        <v>358</v>
      </c>
      <c r="L106" s="22"/>
      <c r="M106" s="8" t="str">
        <f t="shared" si="10"/>
        <v>Ok</v>
      </c>
      <c r="N106" s="9" t="b">
        <f t="shared" si="11"/>
        <v>1</v>
      </c>
      <c r="O106" s="9" t="b">
        <f t="shared" si="12"/>
        <v>1</v>
      </c>
      <c r="P106" s="8" t="str">
        <f t="shared" si="13"/>
        <v>FALSE</v>
      </c>
      <c r="Q106" s="8" t="str">
        <f t="shared" si="14"/>
        <v>FALSE</v>
      </c>
      <c r="R106" s="9" t="b">
        <f t="shared" si="15"/>
        <v>1</v>
      </c>
      <c r="S106" s="8" t="b">
        <f t="shared" si="16"/>
        <v>1</v>
      </c>
      <c r="T106" s="10" t="b">
        <f t="shared" si="17"/>
        <v>0</v>
      </c>
      <c r="U106" s="8" t="str">
        <f t="shared" si="18"/>
        <v>FALSE</v>
      </c>
      <c r="V106" s="11" t="str">
        <f t="shared" si="19"/>
        <v>TRUE</v>
      </c>
    </row>
    <row r="107" spans="1:22" ht="15.75">
      <c r="A107" s="21">
        <v>105</v>
      </c>
      <c r="B107" s="5" t="s">
        <v>359</v>
      </c>
      <c r="C107" s="23" t="s">
        <v>3079</v>
      </c>
      <c r="D107" s="23" t="s">
        <v>77</v>
      </c>
      <c r="E107" s="5" t="s">
        <v>354</v>
      </c>
      <c r="F107" s="71" t="s">
        <v>6101</v>
      </c>
      <c r="G107" s="22" t="s">
        <v>179</v>
      </c>
      <c r="H107" s="5" t="s">
        <v>3932</v>
      </c>
      <c r="I107" s="5" t="s">
        <v>21</v>
      </c>
      <c r="J107" s="5" t="s">
        <v>5401</v>
      </c>
      <c r="K107" s="5" t="s">
        <v>360</v>
      </c>
      <c r="L107" s="22"/>
      <c r="M107" s="8" t="str">
        <f t="shared" si="10"/>
        <v>Ok</v>
      </c>
      <c r="N107" s="9" t="b">
        <f t="shared" si="11"/>
        <v>0</v>
      </c>
      <c r="O107" s="9" t="b">
        <f t="shared" si="12"/>
        <v>0</v>
      </c>
      <c r="P107" s="8" t="str">
        <f t="shared" si="13"/>
        <v>FALSE</v>
      </c>
      <c r="Q107" s="8" t="str">
        <f t="shared" si="14"/>
        <v>FALSE</v>
      </c>
      <c r="R107" s="9" t="b">
        <f t="shared" si="15"/>
        <v>1</v>
      </c>
      <c r="S107" s="8" t="b">
        <f t="shared" si="16"/>
        <v>0</v>
      </c>
      <c r="T107" s="10" t="b">
        <f t="shared" si="17"/>
        <v>0</v>
      </c>
      <c r="U107" s="8" t="str">
        <f t="shared" si="18"/>
        <v>TRUE</v>
      </c>
      <c r="V107" s="11" t="str">
        <f t="shared" si="19"/>
        <v>TRUE</v>
      </c>
    </row>
    <row r="108" spans="1:22" ht="15.75">
      <c r="A108" s="21">
        <v>106</v>
      </c>
      <c r="B108" s="5" t="s">
        <v>361</v>
      </c>
      <c r="C108" s="23" t="s">
        <v>3545</v>
      </c>
      <c r="D108" s="23" t="s">
        <v>77</v>
      </c>
      <c r="E108" s="5" t="s">
        <v>168</v>
      </c>
      <c r="F108" s="71" t="s">
        <v>6101</v>
      </c>
      <c r="G108" s="22" t="s">
        <v>12</v>
      </c>
      <c r="H108" s="5" t="s">
        <v>36</v>
      </c>
      <c r="I108" s="5" t="s">
        <v>26</v>
      </c>
      <c r="J108" s="5" t="s">
        <v>5679</v>
      </c>
      <c r="K108" s="5" t="s">
        <v>362</v>
      </c>
      <c r="L108" s="22"/>
      <c r="M108" s="8" t="str">
        <f t="shared" si="10"/>
        <v>Ok</v>
      </c>
      <c r="N108" s="9" t="b">
        <f t="shared" si="11"/>
        <v>1</v>
      </c>
      <c r="O108" s="9" t="b">
        <f t="shared" si="12"/>
        <v>0</v>
      </c>
      <c r="P108" s="8" t="str">
        <f t="shared" si="13"/>
        <v>FALSE</v>
      </c>
      <c r="Q108" s="8" t="str">
        <f t="shared" si="14"/>
        <v>FALSE</v>
      </c>
      <c r="R108" s="9" t="b">
        <f t="shared" si="15"/>
        <v>1</v>
      </c>
      <c r="S108" s="8" t="b">
        <f t="shared" si="16"/>
        <v>1</v>
      </c>
      <c r="T108" s="10" t="b">
        <f t="shared" si="17"/>
        <v>0</v>
      </c>
      <c r="U108" s="8" t="str">
        <f t="shared" si="18"/>
        <v>FALSE</v>
      </c>
      <c r="V108" s="11" t="str">
        <f t="shared" si="19"/>
        <v>TRUE</v>
      </c>
    </row>
    <row r="109" spans="1:22" ht="15.75">
      <c r="A109" s="21">
        <v>107</v>
      </c>
      <c r="B109" s="5" t="s">
        <v>363</v>
      </c>
      <c r="C109" s="23" t="s">
        <v>3445</v>
      </c>
      <c r="D109" s="23" t="s">
        <v>77</v>
      </c>
      <c r="E109" s="5" t="s">
        <v>364</v>
      </c>
      <c r="F109" s="71" t="s">
        <v>6101</v>
      </c>
      <c r="G109" s="22" t="s">
        <v>54</v>
      </c>
      <c r="H109" s="5" t="s">
        <v>55</v>
      </c>
      <c r="I109" s="5" t="s">
        <v>14</v>
      </c>
      <c r="J109" s="5" t="s">
        <v>5163</v>
      </c>
      <c r="K109" s="5" t="s">
        <v>365</v>
      </c>
      <c r="L109" s="22"/>
      <c r="M109" s="8" t="str">
        <f t="shared" si="10"/>
        <v>Ok</v>
      </c>
      <c r="N109" s="9" t="b">
        <f t="shared" si="11"/>
        <v>1</v>
      </c>
      <c r="O109" s="9" t="b">
        <f t="shared" si="12"/>
        <v>0</v>
      </c>
      <c r="P109" s="8" t="str">
        <f t="shared" si="13"/>
        <v>FALSE</v>
      </c>
      <c r="Q109" s="8" t="str">
        <f t="shared" si="14"/>
        <v>FALSE</v>
      </c>
      <c r="R109" s="9" t="b">
        <f t="shared" si="15"/>
        <v>1</v>
      </c>
      <c r="S109" s="8" t="b">
        <f t="shared" si="16"/>
        <v>0</v>
      </c>
      <c r="T109" s="10" t="b">
        <f t="shared" si="17"/>
        <v>1</v>
      </c>
      <c r="U109" s="8" t="str">
        <f t="shared" si="18"/>
        <v>TRUE</v>
      </c>
      <c r="V109" s="11" t="str">
        <f t="shared" si="19"/>
        <v>TRUE</v>
      </c>
    </row>
    <row r="110" spans="1:22" ht="15.75">
      <c r="A110" s="21">
        <v>108</v>
      </c>
      <c r="B110" s="5" t="s">
        <v>366</v>
      </c>
      <c r="C110" s="23" t="s">
        <v>3546</v>
      </c>
      <c r="D110" s="23" t="s">
        <v>77</v>
      </c>
      <c r="E110" s="5" t="s">
        <v>367</v>
      </c>
      <c r="F110" s="71" t="s">
        <v>6101</v>
      </c>
      <c r="G110" s="22" t="s">
        <v>12</v>
      </c>
      <c r="H110" s="5" t="s">
        <v>36</v>
      </c>
      <c r="I110" s="5" t="s">
        <v>50</v>
      </c>
      <c r="J110" s="5" t="s">
        <v>5057</v>
      </c>
      <c r="K110" s="5" t="s">
        <v>368</v>
      </c>
      <c r="L110" s="22"/>
      <c r="M110" s="8" t="str">
        <f t="shared" si="10"/>
        <v>Ok</v>
      </c>
      <c r="N110" s="9" t="b">
        <f t="shared" si="11"/>
        <v>1</v>
      </c>
      <c r="O110" s="9" t="b">
        <f t="shared" si="12"/>
        <v>0</v>
      </c>
      <c r="P110" s="8" t="str">
        <f t="shared" si="13"/>
        <v>FALSE</v>
      </c>
      <c r="Q110" s="8" t="str">
        <f t="shared" si="14"/>
        <v>FALSE</v>
      </c>
      <c r="R110" s="9" t="b">
        <f t="shared" si="15"/>
        <v>1</v>
      </c>
      <c r="S110" s="8" t="b">
        <f t="shared" si="16"/>
        <v>1</v>
      </c>
      <c r="T110" s="10" t="b">
        <f t="shared" si="17"/>
        <v>0</v>
      </c>
      <c r="U110" s="8" t="str">
        <f t="shared" si="18"/>
        <v>TRUE</v>
      </c>
      <c r="V110" s="11" t="str">
        <f t="shared" si="19"/>
        <v>TRUE</v>
      </c>
    </row>
    <row r="111" spans="1:22" ht="15.75">
      <c r="A111" s="21">
        <v>109</v>
      </c>
      <c r="B111" s="5" t="s">
        <v>369</v>
      </c>
      <c r="C111" s="23" t="s">
        <v>2991</v>
      </c>
      <c r="D111" s="23" t="s">
        <v>34</v>
      </c>
      <c r="E111" s="5" t="s">
        <v>370</v>
      </c>
      <c r="F111" s="71" t="s">
        <v>6101</v>
      </c>
      <c r="G111" s="22" t="s">
        <v>179</v>
      </c>
      <c r="H111" s="5" t="s">
        <v>3932</v>
      </c>
      <c r="I111" s="5" t="s">
        <v>56</v>
      </c>
      <c r="J111" s="5" t="s">
        <v>4811</v>
      </c>
      <c r="K111" s="5" t="s">
        <v>371</v>
      </c>
      <c r="L111" s="22"/>
      <c r="M111" s="8" t="str">
        <f t="shared" si="10"/>
        <v>Ok</v>
      </c>
      <c r="N111" s="9" t="b">
        <f t="shared" si="11"/>
        <v>0</v>
      </c>
      <c r="O111" s="9" t="b">
        <f t="shared" si="12"/>
        <v>0</v>
      </c>
      <c r="P111" s="8" t="str">
        <f t="shared" si="13"/>
        <v>FALSE</v>
      </c>
      <c r="Q111" s="8" t="str">
        <f t="shared" si="14"/>
        <v>FALSE</v>
      </c>
      <c r="R111" s="9" t="b">
        <f t="shared" si="15"/>
        <v>1</v>
      </c>
      <c r="S111" s="8" t="b">
        <f t="shared" si="16"/>
        <v>0</v>
      </c>
      <c r="T111" s="10" t="b">
        <f t="shared" si="17"/>
        <v>1</v>
      </c>
      <c r="U111" s="8" t="str">
        <f t="shared" si="18"/>
        <v>TRUE</v>
      </c>
      <c r="V111" s="11" t="str">
        <f t="shared" si="19"/>
        <v>TRUE</v>
      </c>
    </row>
    <row r="112" spans="1:22" ht="15.75">
      <c r="A112" s="21">
        <v>110</v>
      </c>
      <c r="B112" s="5" t="s">
        <v>372</v>
      </c>
      <c r="C112" s="23" t="s">
        <v>3870</v>
      </c>
      <c r="D112" s="23" t="s">
        <v>17</v>
      </c>
      <c r="E112" s="5" t="s">
        <v>373</v>
      </c>
      <c r="F112" s="71" t="s">
        <v>6101</v>
      </c>
      <c r="G112" s="22" t="s">
        <v>85</v>
      </c>
      <c r="H112" s="5" t="s">
        <v>120</v>
      </c>
      <c r="I112" s="5" t="s">
        <v>42</v>
      </c>
      <c r="J112" s="5" t="s">
        <v>5292</v>
      </c>
      <c r="K112" s="5" t="s">
        <v>374</v>
      </c>
      <c r="L112" s="22"/>
      <c r="M112" s="8" t="str">
        <f t="shared" si="10"/>
        <v>Ok</v>
      </c>
      <c r="N112" s="9" t="b">
        <f t="shared" si="11"/>
        <v>0</v>
      </c>
      <c r="O112" s="9" t="b">
        <f t="shared" si="12"/>
        <v>1</v>
      </c>
      <c r="P112" s="8" t="str">
        <f t="shared" si="13"/>
        <v>FALSE</v>
      </c>
      <c r="Q112" s="8" t="str">
        <f t="shared" si="14"/>
        <v>FALSE</v>
      </c>
      <c r="R112" s="9" t="b">
        <f t="shared" si="15"/>
        <v>1</v>
      </c>
      <c r="S112" s="8" t="b">
        <f t="shared" si="16"/>
        <v>1</v>
      </c>
      <c r="T112" s="10" t="b">
        <f t="shared" si="17"/>
        <v>1</v>
      </c>
      <c r="U112" s="8" t="str">
        <f t="shared" si="18"/>
        <v>TRUE</v>
      </c>
      <c r="V112" s="11" t="str">
        <f t="shared" si="19"/>
        <v>TRUE</v>
      </c>
    </row>
    <row r="113" spans="1:22" ht="15.75">
      <c r="A113" s="21">
        <v>111</v>
      </c>
      <c r="B113" s="5" t="s">
        <v>375</v>
      </c>
      <c r="C113" s="23" t="s">
        <v>3585</v>
      </c>
      <c r="D113" s="23" t="s">
        <v>59</v>
      </c>
      <c r="E113" s="5" t="s">
        <v>376</v>
      </c>
      <c r="F113" s="71" t="s">
        <v>6101</v>
      </c>
      <c r="G113" s="22" t="s">
        <v>160</v>
      </c>
      <c r="H113" s="5" t="s">
        <v>13</v>
      </c>
      <c r="I113" s="5" t="s">
        <v>67</v>
      </c>
      <c r="J113" s="5" t="s">
        <v>5281</v>
      </c>
      <c r="K113" s="5" t="s">
        <v>377</v>
      </c>
      <c r="L113" s="22"/>
      <c r="M113" s="8" t="str">
        <f t="shared" si="10"/>
        <v>Ok</v>
      </c>
      <c r="N113" s="9" t="b">
        <f t="shared" si="11"/>
        <v>1</v>
      </c>
      <c r="O113" s="9" t="b">
        <f t="shared" si="12"/>
        <v>1</v>
      </c>
      <c r="P113" s="8" t="str">
        <f t="shared" si="13"/>
        <v>FALSE</v>
      </c>
      <c r="Q113" s="8" t="str">
        <f t="shared" si="14"/>
        <v>FALSE</v>
      </c>
      <c r="R113" s="9" t="b">
        <f t="shared" si="15"/>
        <v>0</v>
      </c>
      <c r="S113" s="8" t="b">
        <f t="shared" si="16"/>
        <v>0</v>
      </c>
      <c r="T113" s="10" t="b">
        <f t="shared" si="17"/>
        <v>0</v>
      </c>
      <c r="U113" s="8" t="str">
        <f t="shared" si="18"/>
        <v>TRUE</v>
      </c>
      <c r="V113" s="11" t="str">
        <f t="shared" si="19"/>
        <v>TRUE</v>
      </c>
    </row>
    <row r="114" spans="1:22" ht="15.75">
      <c r="A114" s="21">
        <v>112</v>
      </c>
      <c r="B114" s="5" t="s">
        <v>378</v>
      </c>
      <c r="C114" s="23" t="s">
        <v>3668</v>
      </c>
      <c r="D114" s="23" t="s">
        <v>59</v>
      </c>
      <c r="E114" s="5" t="s">
        <v>379</v>
      </c>
      <c r="F114" s="71" t="s">
        <v>6101</v>
      </c>
      <c r="G114" s="22" t="s">
        <v>207</v>
      </c>
      <c r="H114" s="5" t="s">
        <v>31</v>
      </c>
      <c r="I114" s="5" t="s">
        <v>21</v>
      </c>
      <c r="J114" s="5" t="s">
        <v>5043</v>
      </c>
      <c r="K114" s="5" t="s">
        <v>380</v>
      </c>
      <c r="L114" s="22"/>
      <c r="M114" s="8" t="str">
        <f t="shared" si="10"/>
        <v>Ok</v>
      </c>
      <c r="N114" s="9" t="b">
        <f t="shared" si="11"/>
        <v>1</v>
      </c>
      <c r="O114" s="9" t="b">
        <f t="shared" si="12"/>
        <v>1</v>
      </c>
      <c r="P114" s="8" t="str">
        <f t="shared" si="13"/>
        <v>FALSE</v>
      </c>
      <c r="Q114" s="8" t="str">
        <f t="shared" si="14"/>
        <v>FALSE</v>
      </c>
      <c r="R114" s="9" t="b">
        <f t="shared" si="15"/>
        <v>1</v>
      </c>
      <c r="S114" s="8" t="b">
        <f t="shared" si="16"/>
        <v>1</v>
      </c>
      <c r="T114" s="10" t="b">
        <f t="shared" si="17"/>
        <v>0</v>
      </c>
      <c r="U114" s="8" t="str">
        <f t="shared" si="18"/>
        <v>TRUE</v>
      </c>
      <c r="V114" s="11" t="str">
        <f t="shared" si="19"/>
        <v>TRUE</v>
      </c>
    </row>
    <row r="115" spans="1:22" ht="15.75">
      <c r="A115" s="21">
        <v>113</v>
      </c>
      <c r="B115" s="5" t="s">
        <v>381</v>
      </c>
      <c r="C115" s="23" t="s">
        <v>3202</v>
      </c>
      <c r="D115" s="23" t="s">
        <v>77</v>
      </c>
      <c r="E115" s="5" t="s">
        <v>382</v>
      </c>
      <c r="F115" s="71" t="s">
        <v>6101</v>
      </c>
      <c r="G115" s="22" t="s">
        <v>179</v>
      </c>
      <c r="H115" s="5" t="s">
        <v>3932</v>
      </c>
      <c r="I115" s="5" t="s">
        <v>67</v>
      </c>
      <c r="J115" s="5" t="s">
        <v>4789</v>
      </c>
      <c r="K115" s="5" t="s">
        <v>383</v>
      </c>
      <c r="L115" s="22"/>
      <c r="M115" s="8" t="str">
        <f t="shared" si="10"/>
        <v>Ok</v>
      </c>
      <c r="N115" s="9" t="b">
        <f t="shared" si="11"/>
        <v>1</v>
      </c>
      <c r="O115" s="9" t="b">
        <f t="shared" si="12"/>
        <v>0</v>
      </c>
      <c r="P115" s="8" t="str">
        <f t="shared" si="13"/>
        <v>FALSE</v>
      </c>
      <c r="Q115" s="8" t="str">
        <f t="shared" si="14"/>
        <v>FALSE</v>
      </c>
      <c r="R115" s="9" t="b">
        <f t="shared" si="15"/>
        <v>1</v>
      </c>
      <c r="S115" s="8" t="b">
        <f t="shared" si="16"/>
        <v>0</v>
      </c>
      <c r="T115" s="10" t="b">
        <f t="shared" si="17"/>
        <v>0</v>
      </c>
      <c r="U115" s="8" t="str">
        <f t="shared" si="18"/>
        <v>TRUE</v>
      </c>
      <c r="V115" s="11" t="str">
        <f t="shared" si="19"/>
        <v>TRUE</v>
      </c>
    </row>
    <row r="116" spans="1:22" ht="15.75">
      <c r="A116" s="21">
        <v>114</v>
      </c>
      <c r="B116" s="5" t="s">
        <v>384</v>
      </c>
      <c r="C116" s="23" t="s">
        <v>3586</v>
      </c>
      <c r="D116" s="23" t="s">
        <v>59</v>
      </c>
      <c r="E116" s="5" t="s">
        <v>385</v>
      </c>
      <c r="F116" s="71" t="s">
        <v>6101</v>
      </c>
      <c r="G116" s="22" t="s">
        <v>179</v>
      </c>
      <c r="H116" s="5" t="s">
        <v>36</v>
      </c>
      <c r="I116" s="5" t="s">
        <v>56</v>
      </c>
      <c r="J116" s="5" t="s">
        <v>5113</v>
      </c>
      <c r="K116" s="5">
        <v>85018323941</v>
      </c>
      <c r="L116" s="22"/>
      <c r="M116" s="8" t="str">
        <f t="shared" si="10"/>
        <v>Ok</v>
      </c>
      <c r="N116" s="9" t="b">
        <f t="shared" si="11"/>
        <v>1</v>
      </c>
      <c r="O116" s="9" t="b">
        <f t="shared" si="12"/>
        <v>1</v>
      </c>
      <c r="P116" s="8" t="str">
        <f t="shared" si="13"/>
        <v>FALSE</v>
      </c>
      <c r="Q116" s="8" t="str">
        <f t="shared" si="14"/>
        <v>FALSE</v>
      </c>
      <c r="R116" s="9" t="b">
        <f t="shared" si="15"/>
        <v>1</v>
      </c>
      <c r="S116" s="8" t="b">
        <f t="shared" si="16"/>
        <v>1</v>
      </c>
      <c r="T116" s="10" t="b">
        <f t="shared" si="17"/>
        <v>1</v>
      </c>
      <c r="U116" s="8" t="str">
        <f t="shared" si="18"/>
        <v>TRUE</v>
      </c>
      <c r="V116" s="11" t="str">
        <f t="shared" si="19"/>
        <v>FALSE</v>
      </c>
    </row>
    <row r="117" spans="1:22" ht="15.75">
      <c r="A117" s="21">
        <v>115</v>
      </c>
      <c r="B117" s="5" t="s">
        <v>387</v>
      </c>
      <c r="C117" s="23" t="s">
        <v>3669</v>
      </c>
      <c r="D117" s="23" t="s">
        <v>59</v>
      </c>
      <c r="E117" s="5" t="s">
        <v>388</v>
      </c>
      <c r="F117" s="71" t="s">
        <v>6101</v>
      </c>
      <c r="G117" s="22" t="s">
        <v>3934</v>
      </c>
      <c r="H117" s="5" t="s">
        <v>13</v>
      </c>
      <c r="I117" s="5" t="s">
        <v>56</v>
      </c>
      <c r="J117" s="5" t="s">
        <v>5135</v>
      </c>
      <c r="K117" s="5" t="s">
        <v>386</v>
      </c>
      <c r="L117" s="22"/>
      <c r="M117" s="8" t="str">
        <f t="shared" si="10"/>
        <v>Ok</v>
      </c>
      <c r="N117" s="9" t="b">
        <f t="shared" si="11"/>
        <v>1</v>
      </c>
      <c r="O117" s="9" t="b">
        <f t="shared" si="12"/>
        <v>1</v>
      </c>
      <c r="P117" s="8" t="str">
        <f t="shared" si="13"/>
        <v>FALSE</v>
      </c>
      <c r="Q117" s="8" t="str">
        <f t="shared" si="14"/>
        <v>FALSE</v>
      </c>
      <c r="R117" s="9" t="b">
        <f t="shared" si="15"/>
        <v>0</v>
      </c>
      <c r="S117" s="8" t="b">
        <f t="shared" si="16"/>
        <v>0</v>
      </c>
      <c r="T117" s="10" t="b">
        <f t="shared" si="17"/>
        <v>1</v>
      </c>
      <c r="U117" s="8" t="str">
        <f t="shared" si="18"/>
        <v>TRUE</v>
      </c>
      <c r="V117" s="11" t="str">
        <f t="shared" si="19"/>
        <v>TRUE</v>
      </c>
    </row>
    <row r="118" spans="1:22" ht="15.75">
      <c r="A118" s="21">
        <v>116</v>
      </c>
      <c r="B118" s="5" t="s">
        <v>3939</v>
      </c>
      <c r="C118" s="23" t="s">
        <v>3587</v>
      </c>
      <c r="D118" s="23" t="s">
        <v>17</v>
      </c>
      <c r="E118" s="5" t="s">
        <v>389</v>
      </c>
      <c r="F118" s="71" t="s">
        <v>6101</v>
      </c>
      <c r="G118" s="22" t="s">
        <v>179</v>
      </c>
      <c r="H118" s="5" t="s">
        <v>13</v>
      </c>
      <c r="I118" s="5" t="s">
        <v>50</v>
      </c>
      <c r="J118" s="5" t="s">
        <v>4956</v>
      </c>
      <c r="K118" s="5" t="s">
        <v>390</v>
      </c>
      <c r="L118" s="22"/>
      <c r="M118" s="8" t="str">
        <f t="shared" si="10"/>
        <v>Ok</v>
      </c>
      <c r="N118" s="9" t="b">
        <f t="shared" si="11"/>
        <v>1</v>
      </c>
      <c r="O118" s="9" t="b">
        <f t="shared" si="12"/>
        <v>1</v>
      </c>
      <c r="P118" s="8" t="str">
        <f t="shared" si="13"/>
        <v>FALSE</v>
      </c>
      <c r="Q118" s="8" t="str">
        <f t="shared" si="14"/>
        <v>FALSE</v>
      </c>
      <c r="R118" s="9" t="b">
        <f t="shared" si="15"/>
        <v>1</v>
      </c>
      <c r="S118" s="8" t="b">
        <f t="shared" si="16"/>
        <v>0</v>
      </c>
      <c r="T118" s="10" t="b">
        <f t="shared" si="17"/>
        <v>0</v>
      </c>
      <c r="U118" s="8" t="str">
        <f t="shared" si="18"/>
        <v>TRUE</v>
      </c>
      <c r="V118" s="11" t="str">
        <f t="shared" si="19"/>
        <v>FALSE</v>
      </c>
    </row>
    <row r="119" spans="1:22" ht="15.75">
      <c r="A119" s="21">
        <v>117</v>
      </c>
      <c r="B119" s="5" t="s">
        <v>391</v>
      </c>
      <c r="C119" s="23" t="s">
        <v>3871</v>
      </c>
      <c r="D119" s="23" t="s">
        <v>17</v>
      </c>
      <c r="E119" s="5" t="s">
        <v>392</v>
      </c>
      <c r="F119" s="71" t="s">
        <v>6101</v>
      </c>
      <c r="G119" s="22" t="s">
        <v>119</v>
      </c>
      <c r="H119" s="5" t="s">
        <v>86</v>
      </c>
      <c r="I119" s="5" t="s">
        <v>50</v>
      </c>
      <c r="J119" s="5" t="s">
        <v>5013</v>
      </c>
      <c r="K119" s="5" t="s">
        <v>393</v>
      </c>
      <c r="L119" s="22"/>
      <c r="M119" s="8" t="str">
        <f t="shared" si="10"/>
        <v>Ok</v>
      </c>
      <c r="N119" s="9" t="b">
        <f t="shared" si="11"/>
        <v>0</v>
      </c>
      <c r="O119" s="9" t="b">
        <f t="shared" si="12"/>
        <v>1</v>
      </c>
      <c r="P119" s="8" t="str">
        <f t="shared" si="13"/>
        <v>FALSE</v>
      </c>
      <c r="Q119" s="8" t="str">
        <f t="shared" si="14"/>
        <v>FALSE</v>
      </c>
      <c r="R119" s="9" t="b">
        <f t="shared" si="15"/>
        <v>0</v>
      </c>
      <c r="S119" s="8" t="b">
        <f t="shared" si="16"/>
        <v>0</v>
      </c>
      <c r="T119" s="10" t="b">
        <f t="shared" si="17"/>
        <v>0</v>
      </c>
      <c r="U119" s="8" t="str">
        <f t="shared" si="18"/>
        <v>TRUE</v>
      </c>
      <c r="V119" s="11" t="str">
        <f t="shared" si="19"/>
        <v>TRUE</v>
      </c>
    </row>
    <row r="120" spans="1:22" ht="15.75">
      <c r="A120" s="21">
        <v>118</v>
      </c>
      <c r="B120" s="5" t="s">
        <v>394</v>
      </c>
      <c r="C120" s="23" t="s">
        <v>3333</v>
      </c>
      <c r="D120" s="23" t="s">
        <v>34</v>
      </c>
      <c r="E120" s="5" t="s">
        <v>395</v>
      </c>
      <c r="F120" s="71" t="s">
        <v>6101</v>
      </c>
      <c r="G120" s="22" t="s">
        <v>3933</v>
      </c>
      <c r="H120" s="5" t="s">
        <v>3932</v>
      </c>
      <c r="I120" s="5" t="s">
        <v>42</v>
      </c>
      <c r="J120" s="5" t="s">
        <v>5667</v>
      </c>
      <c r="K120" s="5" t="s">
        <v>396</v>
      </c>
      <c r="L120" s="22"/>
      <c r="M120" s="8" t="str">
        <f t="shared" si="10"/>
        <v>Ok</v>
      </c>
      <c r="N120" s="9" t="b">
        <f t="shared" si="11"/>
        <v>1</v>
      </c>
      <c r="O120" s="9" t="b">
        <f t="shared" si="12"/>
        <v>0</v>
      </c>
      <c r="P120" s="8" t="str">
        <f t="shared" si="13"/>
        <v>FALSE</v>
      </c>
      <c r="Q120" s="8" t="str">
        <f t="shared" si="14"/>
        <v>FALSE</v>
      </c>
      <c r="R120" s="9" t="b">
        <f t="shared" si="15"/>
        <v>0</v>
      </c>
      <c r="S120" s="8" t="b">
        <f t="shared" si="16"/>
        <v>0</v>
      </c>
      <c r="T120" s="10" t="b">
        <f t="shared" si="17"/>
        <v>1</v>
      </c>
      <c r="U120" s="8" t="str">
        <f t="shared" si="18"/>
        <v>FALSE</v>
      </c>
      <c r="V120" s="11" t="str">
        <f t="shared" si="19"/>
        <v>TRUE</v>
      </c>
    </row>
    <row r="121" spans="1:22" ht="15.75">
      <c r="A121" s="21">
        <v>119</v>
      </c>
      <c r="B121" s="5" t="s">
        <v>397</v>
      </c>
      <c r="C121" s="23" t="s">
        <v>3670</v>
      </c>
      <c r="D121" s="23" t="s">
        <v>59</v>
      </c>
      <c r="E121" s="5" t="s">
        <v>398</v>
      </c>
      <c r="F121" s="71" t="s">
        <v>6101</v>
      </c>
      <c r="G121" s="22" t="s">
        <v>3934</v>
      </c>
      <c r="H121" s="5" t="s">
        <v>13</v>
      </c>
      <c r="I121" s="5" t="s">
        <v>56</v>
      </c>
      <c r="J121" s="5" t="s">
        <v>4866</v>
      </c>
      <c r="K121" s="5" t="s">
        <v>399</v>
      </c>
      <c r="L121" s="22"/>
      <c r="M121" s="8" t="str">
        <f t="shared" si="10"/>
        <v>Ok</v>
      </c>
      <c r="N121" s="9" t="b">
        <f t="shared" si="11"/>
        <v>1</v>
      </c>
      <c r="O121" s="9" t="b">
        <f t="shared" si="12"/>
        <v>1</v>
      </c>
      <c r="P121" s="8" t="str">
        <f t="shared" si="13"/>
        <v>FALSE</v>
      </c>
      <c r="Q121" s="8" t="str">
        <f t="shared" si="14"/>
        <v>FALSE</v>
      </c>
      <c r="R121" s="9" t="b">
        <f t="shared" si="15"/>
        <v>0</v>
      </c>
      <c r="S121" s="8" t="b">
        <f t="shared" si="16"/>
        <v>0</v>
      </c>
      <c r="T121" s="10" t="b">
        <f t="shared" si="17"/>
        <v>1</v>
      </c>
      <c r="U121" s="8" t="str">
        <f t="shared" si="18"/>
        <v>TRUE</v>
      </c>
      <c r="V121" s="11" t="str">
        <f t="shared" si="19"/>
        <v>TRUE</v>
      </c>
    </row>
    <row r="122" spans="1:22" ht="15.75">
      <c r="A122" s="21">
        <v>120</v>
      </c>
      <c r="B122" s="5" t="s">
        <v>400</v>
      </c>
      <c r="C122" s="23" t="s">
        <v>3588</v>
      </c>
      <c r="D122" s="23" t="s">
        <v>59</v>
      </c>
      <c r="E122" s="5" t="s">
        <v>401</v>
      </c>
      <c r="F122" s="71" t="s">
        <v>6101</v>
      </c>
      <c r="G122" s="22" t="s">
        <v>160</v>
      </c>
      <c r="H122" s="5" t="s">
        <v>36</v>
      </c>
      <c r="I122" s="5" t="s">
        <v>26</v>
      </c>
      <c r="J122" s="5" t="s">
        <v>5658</v>
      </c>
      <c r="K122" s="5" t="s">
        <v>402</v>
      </c>
      <c r="L122" s="22"/>
      <c r="M122" s="8" t="str">
        <f t="shared" si="10"/>
        <v>Ok</v>
      </c>
      <c r="N122" s="9" t="b">
        <f t="shared" si="11"/>
        <v>1</v>
      </c>
      <c r="O122" s="9" t="b">
        <f t="shared" si="12"/>
        <v>1</v>
      </c>
      <c r="P122" s="8" t="str">
        <f t="shared" si="13"/>
        <v>FALSE</v>
      </c>
      <c r="Q122" s="8" t="str">
        <f t="shared" si="14"/>
        <v>FALSE</v>
      </c>
      <c r="R122" s="9" t="b">
        <f t="shared" si="15"/>
        <v>0</v>
      </c>
      <c r="S122" s="8" t="b">
        <f t="shared" si="16"/>
        <v>1</v>
      </c>
      <c r="T122" s="10" t="b">
        <f t="shared" si="17"/>
        <v>0</v>
      </c>
      <c r="U122" s="8" t="str">
        <f t="shared" si="18"/>
        <v>FALSE</v>
      </c>
      <c r="V122" s="11" t="str">
        <f t="shared" si="19"/>
        <v>TRUE</v>
      </c>
    </row>
    <row r="123" spans="1:22" ht="15.75">
      <c r="A123" s="21">
        <v>121</v>
      </c>
      <c r="B123" s="5" t="s">
        <v>403</v>
      </c>
      <c r="C123" s="23" t="s">
        <v>3203</v>
      </c>
      <c r="D123" s="23" t="s">
        <v>77</v>
      </c>
      <c r="E123" s="5" t="s">
        <v>404</v>
      </c>
      <c r="F123" s="71" t="s">
        <v>6101</v>
      </c>
      <c r="G123" s="22" t="s">
        <v>172</v>
      </c>
      <c r="H123" s="5" t="s">
        <v>98</v>
      </c>
      <c r="I123" s="5" t="s">
        <v>14</v>
      </c>
      <c r="J123" s="5" t="s">
        <v>5760</v>
      </c>
      <c r="K123" s="5" t="s">
        <v>405</v>
      </c>
      <c r="L123" s="22"/>
      <c r="M123" s="8" t="str">
        <f t="shared" si="10"/>
        <v>Ok</v>
      </c>
      <c r="N123" s="9" t="b">
        <f t="shared" si="11"/>
        <v>1</v>
      </c>
      <c r="O123" s="9" t="b">
        <f t="shared" si="12"/>
        <v>0</v>
      </c>
      <c r="P123" s="8" t="str">
        <f t="shared" si="13"/>
        <v>FALSE</v>
      </c>
      <c r="Q123" s="8" t="str">
        <f t="shared" si="14"/>
        <v>FALSE</v>
      </c>
      <c r="R123" s="9" t="b">
        <f t="shared" si="15"/>
        <v>0</v>
      </c>
      <c r="S123" s="8" t="b">
        <f t="shared" si="16"/>
        <v>0</v>
      </c>
      <c r="T123" s="10" t="b">
        <f t="shared" si="17"/>
        <v>1</v>
      </c>
      <c r="U123" s="8" t="str">
        <f t="shared" si="18"/>
        <v>FALSE</v>
      </c>
      <c r="V123" s="11" t="str">
        <f t="shared" si="19"/>
        <v>TRUE</v>
      </c>
    </row>
    <row r="124" spans="1:22" ht="15.75">
      <c r="A124" s="21">
        <v>122</v>
      </c>
      <c r="B124" s="5" t="s">
        <v>406</v>
      </c>
      <c r="C124" s="23" t="s">
        <v>3334</v>
      </c>
      <c r="D124" s="23" t="s">
        <v>34</v>
      </c>
      <c r="E124" s="5" t="s">
        <v>407</v>
      </c>
      <c r="F124" s="71" t="s">
        <v>6101</v>
      </c>
      <c r="G124" s="22" t="s">
        <v>3933</v>
      </c>
      <c r="H124" s="5" t="s">
        <v>3932</v>
      </c>
      <c r="I124" s="5" t="s">
        <v>26</v>
      </c>
      <c r="J124" s="5" t="s">
        <v>5480</v>
      </c>
      <c r="K124" s="5" t="s">
        <v>408</v>
      </c>
      <c r="L124" s="22"/>
      <c r="M124" s="8" t="str">
        <f t="shared" si="10"/>
        <v>Ok</v>
      </c>
      <c r="N124" s="9" t="b">
        <f t="shared" si="11"/>
        <v>1</v>
      </c>
      <c r="O124" s="9" t="b">
        <f t="shared" si="12"/>
        <v>0</v>
      </c>
      <c r="P124" s="8" t="str">
        <f t="shared" si="13"/>
        <v>FALSE</v>
      </c>
      <c r="Q124" s="8" t="str">
        <f t="shared" si="14"/>
        <v>FALSE</v>
      </c>
      <c r="R124" s="9" t="b">
        <f t="shared" si="15"/>
        <v>0</v>
      </c>
      <c r="S124" s="8" t="b">
        <f t="shared" si="16"/>
        <v>0</v>
      </c>
      <c r="T124" s="10" t="b">
        <f t="shared" si="17"/>
        <v>0</v>
      </c>
      <c r="U124" s="8" t="str">
        <f t="shared" si="18"/>
        <v>FALSE</v>
      </c>
      <c r="V124" s="11" t="str">
        <f t="shared" si="19"/>
        <v>TRUE</v>
      </c>
    </row>
    <row r="125" spans="1:22" ht="15.75">
      <c r="A125" s="21">
        <v>123</v>
      </c>
      <c r="B125" s="5" t="s">
        <v>409</v>
      </c>
      <c r="C125" s="23" t="s">
        <v>3285</v>
      </c>
      <c r="D125" s="23" t="s">
        <v>34</v>
      </c>
      <c r="E125" s="5" t="s">
        <v>410</v>
      </c>
      <c r="F125" s="71" t="s">
        <v>6101</v>
      </c>
      <c r="G125" s="22" t="s">
        <v>179</v>
      </c>
      <c r="H125" s="5" t="s">
        <v>3932</v>
      </c>
      <c r="I125" s="5" t="s">
        <v>50</v>
      </c>
      <c r="J125" s="5" t="s">
        <v>4869</v>
      </c>
      <c r="K125" s="5">
        <v>868658328</v>
      </c>
      <c r="L125" s="22"/>
      <c r="M125" s="8" t="str">
        <f t="shared" si="10"/>
        <v>Ok</v>
      </c>
      <c r="N125" s="9" t="b">
        <f t="shared" si="11"/>
        <v>1</v>
      </c>
      <c r="O125" s="9" t="b">
        <f t="shared" si="12"/>
        <v>0</v>
      </c>
      <c r="P125" s="8" t="str">
        <f t="shared" si="13"/>
        <v>FALSE</v>
      </c>
      <c r="Q125" s="8" t="str">
        <f t="shared" si="14"/>
        <v>FALSE</v>
      </c>
      <c r="R125" s="9" t="b">
        <f t="shared" si="15"/>
        <v>1</v>
      </c>
      <c r="S125" s="8" t="b">
        <f t="shared" si="16"/>
        <v>0</v>
      </c>
      <c r="T125" s="10" t="b">
        <f t="shared" si="17"/>
        <v>0</v>
      </c>
      <c r="U125" s="8" t="str">
        <f t="shared" si="18"/>
        <v>TRUE</v>
      </c>
      <c r="V125" s="11" t="str">
        <f t="shared" si="19"/>
        <v>FALSE</v>
      </c>
    </row>
    <row r="126" spans="1:22" ht="15.75">
      <c r="A126" s="21">
        <v>124</v>
      </c>
      <c r="B126" s="5" t="s">
        <v>411</v>
      </c>
      <c r="C126" s="23" t="s">
        <v>3204</v>
      </c>
      <c r="D126" s="23" t="s">
        <v>77</v>
      </c>
      <c r="E126" s="5" t="s">
        <v>412</v>
      </c>
      <c r="F126" s="71" t="s">
        <v>6101</v>
      </c>
      <c r="G126" s="22" t="s">
        <v>82</v>
      </c>
      <c r="H126" s="5" t="s">
        <v>98</v>
      </c>
      <c r="I126" s="5" t="s">
        <v>42</v>
      </c>
      <c r="J126" s="5" t="s">
        <v>5051</v>
      </c>
      <c r="K126" s="5" t="s">
        <v>413</v>
      </c>
      <c r="L126" s="22"/>
      <c r="M126" s="8" t="str">
        <f t="shared" si="10"/>
        <v>Ok</v>
      </c>
      <c r="N126" s="9" t="b">
        <f t="shared" si="11"/>
        <v>1</v>
      </c>
      <c r="O126" s="9" t="b">
        <f t="shared" si="12"/>
        <v>0</v>
      </c>
      <c r="P126" s="8" t="str">
        <f t="shared" si="13"/>
        <v>FALSE</v>
      </c>
      <c r="Q126" s="8" t="str">
        <f t="shared" si="14"/>
        <v>FALSE</v>
      </c>
      <c r="R126" s="9" t="b">
        <f t="shared" si="15"/>
        <v>0</v>
      </c>
      <c r="S126" s="8" t="b">
        <f t="shared" si="16"/>
        <v>0</v>
      </c>
      <c r="T126" s="10" t="b">
        <f t="shared" si="17"/>
        <v>1</v>
      </c>
      <c r="U126" s="8" t="str">
        <f t="shared" si="18"/>
        <v>TRUE</v>
      </c>
      <c r="V126" s="11" t="str">
        <f t="shared" si="19"/>
        <v>TRUE</v>
      </c>
    </row>
    <row r="127" spans="1:22" ht="15.75">
      <c r="A127" s="21">
        <v>125</v>
      </c>
      <c r="B127" s="5" t="s">
        <v>414</v>
      </c>
      <c r="C127" s="23" t="s">
        <v>3335</v>
      </c>
      <c r="D127" s="23" t="s">
        <v>34</v>
      </c>
      <c r="E127" s="5" t="s">
        <v>415</v>
      </c>
      <c r="F127" s="71" t="s">
        <v>6101</v>
      </c>
      <c r="G127" s="22" t="s">
        <v>3933</v>
      </c>
      <c r="H127" s="5" t="s">
        <v>3932</v>
      </c>
      <c r="I127" s="5" t="s">
        <v>26</v>
      </c>
      <c r="J127" s="5" t="s">
        <v>5116</v>
      </c>
      <c r="K127" s="5" t="s">
        <v>416</v>
      </c>
      <c r="L127" s="22"/>
      <c r="M127" s="8" t="str">
        <f t="shared" si="10"/>
        <v>Ok</v>
      </c>
      <c r="N127" s="9" t="b">
        <f t="shared" si="11"/>
        <v>1</v>
      </c>
      <c r="O127" s="9" t="b">
        <f t="shared" si="12"/>
        <v>0</v>
      </c>
      <c r="P127" s="8" t="str">
        <f t="shared" si="13"/>
        <v>FALSE</v>
      </c>
      <c r="Q127" s="8" t="str">
        <f t="shared" si="14"/>
        <v>FALSE</v>
      </c>
      <c r="R127" s="9" t="b">
        <f t="shared" si="15"/>
        <v>0</v>
      </c>
      <c r="S127" s="8" t="b">
        <f t="shared" si="16"/>
        <v>0</v>
      </c>
      <c r="T127" s="10" t="b">
        <f t="shared" si="17"/>
        <v>0</v>
      </c>
      <c r="U127" s="8" t="str">
        <f t="shared" si="18"/>
        <v>TRUE</v>
      </c>
      <c r="V127" s="11" t="str">
        <f t="shared" si="19"/>
        <v>TRUE</v>
      </c>
    </row>
    <row r="128" spans="1:22" ht="15.75">
      <c r="A128" s="21">
        <v>126</v>
      </c>
      <c r="B128" s="5" t="s">
        <v>417</v>
      </c>
      <c r="C128" s="23" t="s">
        <v>3336</v>
      </c>
      <c r="D128" s="23" t="s">
        <v>34</v>
      </c>
      <c r="E128" s="5" t="s">
        <v>418</v>
      </c>
      <c r="F128" s="71" t="s">
        <v>6101</v>
      </c>
      <c r="G128" s="22" t="s">
        <v>216</v>
      </c>
      <c r="H128" s="5" t="s">
        <v>94</v>
      </c>
      <c r="I128" s="5" t="s">
        <v>50</v>
      </c>
      <c r="J128" s="5" t="s">
        <v>4987</v>
      </c>
      <c r="K128" s="5" t="s">
        <v>419</v>
      </c>
      <c r="L128" s="22"/>
      <c r="M128" s="8" t="str">
        <f t="shared" si="10"/>
        <v>Ok</v>
      </c>
      <c r="N128" s="9" t="b">
        <f t="shared" si="11"/>
        <v>1</v>
      </c>
      <c r="O128" s="9" t="b">
        <f t="shared" si="12"/>
        <v>0</v>
      </c>
      <c r="P128" s="8" t="str">
        <f t="shared" si="13"/>
        <v>FALSE</v>
      </c>
      <c r="Q128" s="8" t="str">
        <f t="shared" si="14"/>
        <v>FALSE</v>
      </c>
      <c r="R128" s="9" t="b">
        <f t="shared" si="15"/>
        <v>0</v>
      </c>
      <c r="S128" s="8" t="b">
        <f t="shared" si="16"/>
        <v>0</v>
      </c>
      <c r="T128" s="10" t="b">
        <f t="shared" si="17"/>
        <v>0</v>
      </c>
      <c r="U128" s="8" t="str">
        <f t="shared" si="18"/>
        <v>TRUE</v>
      </c>
      <c r="V128" s="11" t="str">
        <f t="shared" si="19"/>
        <v>FALSE</v>
      </c>
    </row>
    <row r="129" spans="1:22" ht="15.75">
      <c r="A129" s="21">
        <v>127</v>
      </c>
      <c r="B129" s="5" t="s">
        <v>3940</v>
      </c>
      <c r="C129" s="23" t="s">
        <v>3446</v>
      </c>
      <c r="D129" s="23" t="s">
        <v>17</v>
      </c>
      <c r="E129" s="5" t="s">
        <v>420</v>
      </c>
      <c r="F129" s="71" t="s">
        <v>6101</v>
      </c>
      <c r="G129" s="22" t="s">
        <v>160</v>
      </c>
      <c r="H129" s="5" t="s">
        <v>3932</v>
      </c>
      <c r="I129" s="5" t="s">
        <v>56</v>
      </c>
      <c r="J129" s="5" t="s">
        <v>5173</v>
      </c>
      <c r="K129" s="5">
        <v>854279230</v>
      </c>
      <c r="L129" s="22"/>
      <c r="M129" s="8" t="str">
        <f t="shared" si="10"/>
        <v>Ok</v>
      </c>
      <c r="N129" s="9" t="b">
        <f t="shared" si="11"/>
        <v>1</v>
      </c>
      <c r="O129" s="9" t="b">
        <f t="shared" si="12"/>
        <v>1</v>
      </c>
      <c r="P129" s="8" t="str">
        <f t="shared" si="13"/>
        <v>FALSE</v>
      </c>
      <c r="Q129" s="8" t="str">
        <f t="shared" si="14"/>
        <v>FALSE</v>
      </c>
      <c r="R129" s="9" t="b">
        <f t="shared" si="15"/>
        <v>0</v>
      </c>
      <c r="S129" s="8" t="b">
        <f t="shared" si="16"/>
        <v>0</v>
      </c>
      <c r="T129" s="10" t="b">
        <f t="shared" si="17"/>
        <v>1</v>
      </c>
      <c r="U129" s="8" t="str">
        <f t="shared" si="18"/>
        <v>TRUE</v>
      </c>
      <c r="V129" s="11" t="str">
        <f t="shared" si="19"/>
        <v>FALSE</v>
      </c>
    </row>
    <row r="130" spans="1:22" ht="15.75">
      <c r="A130" s="21">
        <v>128</v>
      </c>
      <c r="B130" s="5" t="s">
        <v>421</v>
      </c>
      <c r="C130" s="23" t="s">
        <v>3872</v>
      </c>
      <c r="D130" s="23" t="s">
        <v>17</v>
      </c>
      <c r="E130" s="5" t="s">
        <v>422</v>
      </c>
      <c r="F130" s="71" t="s">
        <v>6101</v>
      </c>
      <c r="G130" s="22" t="s">
        <v>119</v>
      </c>
      <c r="H130" s="5" t="s">
        <v>120</v>
      </c>
      <c r="I130" s="5" t="s">
        <v>50</v>
      </c>
      <c r="J130" s="5" t="s">
        <v>5239</v>
      </c>
      <c r="K130" s="5" t="s">
        <v>423</v>
      </c>
      <c r="L130" s="22"/>
      <c r="M130" s="8" t="str">
        <f t="shared" si="10"/>
        <v>Ok</v>
      </c>
      <c r="N130" s="9" t="b">
        <f t="shared" si="11"/>
        <v>0</v>
      </c>
      <c r="O130" s="9" t="b">
        <f t="shared" si="12"/>
        <v>1</v>
      </c>
      <c r="P130" s="8" t="str">
        <f t="shared" si="13"/>
        <v>FALSE</v>
      </c>
      <c r="Q130" s="8" t="str">
        <f t="shared" si="14"/>
        <v>FALSE</v>
      </c>
      <c r="R130" s="9" t="b">
        <f t="shared" si="15"/>
        <v>0</v>
      </c>
      <c r="S130" s="8" t="b">
        <f t="shared" si="16"/>
        <v>1</v>
      </c>
      <c r="T130" s="10" t="b">
        <f t="shared" si="17"/>
        <v>0</v>
      </c>
      <c r="U130" s="8" t="str">
        <f t="shared" si="18"/>
        <v>TRUE</v>
      </c>
      <c r="V130" s="11" t="str">
        <f t="shared" si="19"/>
        <v>TRUE</v>
      </c>
    </row>
    <row r="131" spans="1:22" ht="15.75">
      <c r="A131" s="21">
        <v>129</v>
      </c>
      <c r="B131" s="5" t="s">
        <v>3941</v>
      </c>
      <c r="C131" s="23" t="s">
        <v>3671</v>
      </c>
      <c r="D131" s="23" t="s">
        <v>59</v>
      </c>
      <c r="E131" s="5" t="s">
        <v>424</v>
      </c>
      <c r="F131" s="71" t="s">
        <v>6101</v>
      </c>
      <c r="G131" s="22" t="s">
        <v>30</v>
      </c>
      <c r="H131" s="5" t="s">
        <v>115</v>
      </c>
      <c r="I131" s="5" t="s">
        <v>14</v>
      </c>
      <c r="J131" s="5" t="s">
        <v>4837</v>
      </c>
      <c r="K131" s="5" t="s">
        <v>425</v>
      </c>
      <c r="L131" s="22"/>
      <c r="M131" s="8" t="str">
        <f t="shared" ref="M131:M194" si="20">IF(COUNTIF($B$3:$B$1002,B131)&gt;1,"Duplicate","Ok")</f>
        <v>Ok</v>
      </c>
      <c r="N131" s="9" t="b">
        <f t="shared" ref="N131:N194" si="21">EXACT(C131,PROPER(C131))</f>
        <v>1</v>
      </c>
      <c r="O131" s="9" t="b">
        <f t="shared" ref="O131:O194" si="22">EXACT(D131,PROPER(D131))</f>
        <v>1</v>
      </c>
      <c r="P131" s="8" t="str">
        <f t="shared" ref="P131:P194" si="23">IF(ISNUMBER(E131),"TRUE","FALSE")</f>
        <v>FALSE</v>
      </c>
      <c r="Q131" s="8" t="str">
        <f t="shared" ref="Q131:Q194" si="24">IF(ISNUMBER(F131),"TRUE","FALSE")</f>
        <v>FALSE</v>
      </c>
      <c r="R131" s="9" t="b">
        <f t="shared" ref="R131:R194" si="25">EXACT(G131,PROPER(G131))</f>
        <v>0</v>
      </c>
      <c r="S131" s="8" t="b">
        <f t="shared" ref="S131:S194" si="26">EXACT(H131,PROPER(H131))</f>
        <v>0</v>
      </c>
      <c r="T131" s="10" t="b">
        <f t="shared" ref="T131:T194" si="27">EXACT(I131,PROPER(I131))</f>
        <v>1</v>
      </c>
      <c r="U131" s="8" t="str">
        <f t="shared" ref="U131:U194" si="28">IF(RIGHT(J131,10)="@email.com","TRUE","FALSE")</f>
        <v>TRUE</v>
      </c>
      <c r="V131" s="11" t="str">
        <f t="shared" ref="V131:V194" si="29">IF(LEFT(K131,2)="08","TRUE","FALSE")</f>
        <v>TRUE</v>
      </c>
    </row>
    <row r="132" spans="1:22" ht="15.75">
      <c r="A132" s="21">
        <v>130</v>
      </c>
      <c r="B132" s="5" t="s">
        <v>426</v>
      </c>
      <c r="C132" s="23" t="s">
        <v>3120</v>
      </c>
      <c r="D132" s="23" t="s">
        <v>34</v>
      </c>
      <c r="E132" s="5" t="s">
        <v>427</v>
      </c>
      <c r="F132" s="71" t="s">
        <v>6101</v>
      </c>
      <c r="G132" s="22" t="s">
        <v>179</v>
      </c>
      <c r="H132" s="5" t="s">
        <v>3932</v>
      </c>
      <c r="I132" s="5" t="s">
        <v>21</v>
      </c>
      <c r="J132" s="5" t="s">
        <v>4882</v>
      </c>
      <c r="K132" s="5" t="s">
        <v>428</v>
      </c>
      <c r="L132" s="22"/>
      <c r="M132" s="8" t="str">
        <f t="shared" si="20"/>
        <v>Ok</v>
      </c>
      <c r="N132" s="9" t="b">
        <f t="shared" si="21"/>
        <v>0</v>
      </c>
      <c r="O132" s="9" t="b">
        <f t="shared" si="22"/>
        <v>0</v>
      </c>
      <c r="P132" s="8" t="str">
        <f t="shared" si="23"/>
        <v>FALSE</v>
      </c>
      <c r="Q132" s="8" t="str">
        <f t="shared" si="24"/>
        <v>FALSE</v>
      </c>
      <c r="R132" s="9" t="b">
        <f t="shared" si="25"/>
        <v>1</v>
      </c>
      <c r="S132" s="8" t="b">
        <f t="shared" si="26"/>
        <v>0</v>
      </c>
      <c r="T132" s="10" t="b">
        <f t="shared" si="27"/>
        <v>0</v>
      </c>
      <c r="U132" s="8" t="str">
        <f t="shared" si="28"/>
        <v>TRUE</v>
      </c>
      <c r="V132" s="11" t="str">
        <f t="shared" si="29"/>
        <v>TRUE</v>
      </c>
    </row>
    <row r="133" spans="1:22" ht="15.75">
      <c r="A133" s="21">
        <v>131</v>
      </c>
      <c r="B133" s="5" t="s">
        <v>429</v>
      </c>
      <c r="C133" s="23" t="s">
        <v>3447</v>
      </c>
      <c r="D133" s="23" t="s">
        <v>77</v>
      </c>
      <c r="E133" s="5" t="s">
        <v>430</v>
      </c>
      <c r="F133" s="71" t="s">
        <v>6101</v>
      </c>
      <c r="G133" s="22" t="s">
        <v>160</v>
      </c>
      <c r="H133" s="5" t="s">
        <v>3932</v>
      </c>
      <c r="I133" s="5" t="s">
        <v>26</v>
      </c>
      <c r="J133" s="5" t="s">
        <v>5597</v>
      </c>
      <c r="K133" s="5" t="s">
        <v>431</v>
      </c>
      <c r="L133" s="22"/>
      <c r="M133" s="8" t="str">
        <f t="shared" si="20"/>
        <v>Ok</v>
      </c>
      <c r="N133" s="9" t="b">
        <f t="shared" si="21"/>
        <v>1</v>
      </c>
      <c r="O133" s="9" t="b">
        <f t="shared" si="22"/>
        <v>0</v>
      </c>
      <c r="P133" s="8" t="str">
        <f t="shared" si="23"/>
        <v>FALSE</v>
      </c>
      <c r="Q133" s="8" t="str">
        <f t="shared" si="24"/>
        <v>FALSE</v>
      </c>
      <c r="R133" s="9" t="b">
        <f t="shared" si="25"/>
        <v>0</v>
      </c>
      <c r="S133" s="8" t="b">
        <f t="shared" si="26"/>
        <v>0</v>
      </c>
      <c r="T133" s="10" t="b">
        <f t="shared" si="27"/>
        <v>0</v>
      </c>
      <c r="U133" s="8" t="str">
        <f t="shared" si="28"/>
        <v>FALSE</v>
      </c>
      <c r="V133" s="11" t="str">
        <f t="shared" si="29"/>
        <v>TRUE</v>
      </c>
    </row>
    <row r="134" spans="1:22" ht="15.75">
      <c r="A134" s="21">
        <v>132</v>
      </c>
      <c r="B134" s="5" t="s">
        <v>432</v>
      </c>
      <c r="C134" s="23" t="s">
        <v>3672</v>
      </c>
      <c r="D134" s="23" t="s">
        <v>59</v>
      </c>
      <c r="E134" s="5" t="s">
        <v>433</v>
      </c>
      <c r="F134" s="71" t="s">
        <v>6101</v>
      </c>
      <c r="G134" s="22" t="s">
        <v>3934</v>
      </c>
      <c r="H134" s="5" t="s">
        <v>13</v>
      </c>
      <c r="I134" s="5" t="s">
        <v>67</v>
      </c>
      <c r="J134" s="5" t="s">
        <v>5288</v>
      </c>
      <c r="K134" s="5" t="s">
        <v>434</v>
      </c>
      <c r="L134" s="22"/>
      <c r="M134" s="8" t="str">
        <f t="shared" si="20"/>
        <v>Ok</v>
      </c>
      <c r="N134" s="9" t="b">
        <f t="shared" si="21"/>
        <v>1</v>
      </c>
      <c r="O134" s="9" t="b">
        <f t="shared" si="22"/>
        <v>1</v>
      </c>
      <c r="P134" s="8" t="str">
        <f t="shared" si="23"/>
        <v>FALSE</v>
      </c>
      <c r="Q134" s="8" t="str">
        <f t="shared" si="24"/>
        <v>FALSE</v>
      </c>
      <c r="R134" s="9" t="b">
        <f t="shared" si="25"/>
        <v>0</v>
      </c>
      <c r="S134" s="8" t="b">
        <f t="shared" si="26"/>
        <v>0</v>
      </c>
      <c r="T134" s="10" t="b">
        <f t="shared" si="27"/>
        <v>0</v>
      </c>
      <c r="U134" s="8" t="str">
        <f t="shared" si="28"/>
        <v>TRUE</v>
      </c>
      <c r="V134" s="11" t="str">
        <f t="shared" si="29"/>
        <v>TRUE</v>
      </c>
    </row>
    <row r="135" spans="1:22" ht="15.75">
      <c r="A135" s="21">
        <v>133</v>
      </c>
      <c r="B135" s="5" t="s">
        <v>435</v>
      </c>
      <c r="C135" s="23" t="s">
        <v>3205</v>
      </c>
      <c r="D135" s="23" t="s">
        <v>77</v>
      </c>
      <c r="E135" s="5" t="s">
        <v>436</v>
      </c>
      <c r="F135" s="71" t="s">
        <v>6101</v>
      </c>
      <c r="G135" s="22" t="s">
        <v>82</v>
      </c>
      <c r="H135" s="5" t="s">
        <v>98</v>
      </c>
      <c r="I135" s="5" t="s">
        <v>14</v>
      </c>
      <c r="J135" s="5" t="s">
        <v>5618</v>
      </c>
      <c r="K135" s="5" t="s">
        <v>437</v>
      </c>
      <c r="L135" s="22"/>
      <c r="M135" s="8" t="str">
        <f t="shared" si="20"/>
        <v>Ok</v>
      </c>
      <c r="N135" s="9" t="b">
        <f t="shared" si="21"/>
        <v>1</v>
      </c>
      <c r="O135" s="9" t="b">
        <f t="shared" si="22"/>
        <v>0</v>
      </c>
      <c r="P135" s="8" t="str">
        <f t="shared" si="23"/>
        <v>FALSE</v>
      </c>
      <c r="Q135" s="8" t="str">
        <f t="shared" si="24"/>
        <v>FALSE</v>
      </c>
      <c r="R135" s="9" t="b">
        <f t="shared" si="25"/>
        <v>0</v>
      </c>
      <c r="S135" s="8" t="b">
        <f t="shared" si="26"/>
        <v>0</v>
      </c>
      <c r="T135" s="10" t="b">
        <f t="shared" si="27"/>
        <v>1</v>
      </c>
      <c r="U135" s="8" t="str">
        <f t="shared" si="28"/>
        <v>FALSE</v>
      </c>
      <c r="V135" s="11" t="str">
        <f t="shared" si="29"/>
        <v>TRUE</v>
      </c>
    </row>
    <row r="136" spans="1:22" ht="15.75">
      <c r="A136" s="21">
        <v>134</v>
      </c>
      <c r="B136" s="5" t="s">
        <v>438</v>
      </c>
      <c r="C136" s="23" t="s">
        <v>3589</v>
      </c>
      <c r="D136" s="23" t="s">
        <v>59</v>
      </c>
      <c r="E136" s="5" t="s">
        <v>439</v>
      </c>
      <c r="F136" s="71" t="s">
        <v>6101</v>
      </c>
      <c r="G136" s="22" t="s">
        <v>179</v>
      </c>
      <c r="H136" s="5" t="s">
        <v>36</v>
      </c>
      <c r="I136" s="5" t="s">
        <v>26</v>
      </c>
      <c r="J136" s="5" t="s">
        <v>5424</v>
      </c>
      <c r="K136" s="5">
        <v>801337301</v>
      </c>
      <c r="L136" s="22"/>
      <c r="M136" s="8" t="str">
        <f t="shared" si="20"/>
        <v>Ok</v>
      </c>
      <c r="N136" s="9" t="b">
        <f t="shared" si="21"/>
        <v>1</v>
      </c>
      <c r="O136" s="9" t="b">
        <f t="shared" si="22"/>
        <v>1</v>
      </c>
      <c r="P136" s="8" t="str">
        <f t="shared" si="23"/>
        <v>FALSE</v>
      </c>
      <c r="Q136" s="8" t="str">
        <f t="shared" si="24"/>
        <v>FALSE</v>
      </c>
      <c r="R136" s="9" t="b">
        <f t="shared" si="25"/>
        <v>1</v>
      </c>
      <c r="S136" s="8" t="b">
        <f t="shared" si="26"/>
        <v>1</v>
      </c>
      <c r="T136" s="10" t="b">
        <f t="shared" si="27"/>
        <v>0</v>
      </c>
      <c r="U136" s="8" t="str">
        <f t="shared" si="28"/>
        <v>TRUE</v>
      </c>
      <c r="V136" s="11" t="str">
        <f t="shared" si="29"/>
        <v>FALSE</v>
      </c>
    </row>
    <row r="137" spans="1:22" ht="15.75">
      <c r="A137" s="21">
        <v>135</v>
      </c>
      <c r="B137" s="5" t="s">
        <v>440</v>
      </c>
      <c r="C137" s="23" t="s">
        <v>3121</v>
      </c>
      <c r="D137" s="23" t="s">
        <v>77</v>
      </c>
      <c r="E137" s="5" t="s">
        <v>441</v>
      </c>
      <c r="F137" s="71" t="s">
        <v>6101</v>
      </c>
      <c r="G137" s="22" t="s">
        <v>179</v>
      </c>
      <c r="H137" s="22" t="s">
        <v>179</v>
      </c>
      <c r="I137" s="5" t="s">
        <v>14</v>
      </c>
      <c r="J137" s="5" t="s">
        <v>5663</v>
      </c>
      <c r="K137" s="5" t="s">
        <v>442</v>
      </c>
      <c r="L137" s="22"/>
      <c r="M137" s="8" t="str">
        <f t="shared" si="20"/>
        <v>Ok</v>
      </c>
      <c r="N137" s="9" t="b">
        <f t="shared" si="21"/>
        <v>0</v>
      </c>
      <c r="O137" s="9" t="b">
        <f t="shared" si="22"/>
        <v>0</v>
      </c>
      <c r="P137" s="8" t="str">
        <f t="shared" si="23"/>
        <v>FALSE</v>
      </c>
      <c r="Q137" s="8" t="str">
        <f t="shared" si="24"/>
        <v>FALSE</v>
      </c>
      <c r="R137" s="9" t="b">
        <f t="shared" si="25"/>
        <v>1</v>
      </c>
      <c r="S137" s="8" t="b">
        <f t="shared" si="26"/>
        <v>1</v>
      </c>
      <c r="T137" s="10" t="b">
        <f t="shared" si="27"/>
        <v>1</v>
      </c>
      <c r="U137" s="8" t="str">
        <f t="shared" si="28"/>
        <v>FALSE</v>
      </c>
      <c r="V137" s="11" t="str">
        <f t="shared" si="29"/>
        <v>TRUE</v>
      </c>
    </row>
    <row r="138" spans="1:22" ht="15.75">
      <c r="A138" s="21">
        <v>136</v>
      </c>
      <c r="B138" s="5" t="s">
        <v>443</v>
      </c>
      <c r="C138" s="23" t="s">
        <v>3286</v>
      </c>
      <c r="D138" s="23" t="s">
        <v>34</v>
      </c>
      <c r="E138" s="5" t="s">
        <v>444</v>
      </c>
      <c r="F138" s="71" t="s">
        <v>6101</v>
      </c>
      <c r="G138" s="22" t="s">
        <v>179</v>
      </c>
      <c r="H138" s="5" t="s">
        <v>3932</v>
      </c>
      <c r="I138" s="5" t="s">
        <v>26</v>
      </c>
      <c r="J138" s="5" t="s">
        <v>4955</v>
      </c>
      <c r="K138" s="5" t="s">
        <v>445</v>
      </c>
      <c r="L138" s="22"/>
      <c r="M138" s="8" t="str">
        <f t="shared" si="20"/>
        <v>Ok</v>
      </c>
      <c r="N138" s="9" t="b">
        <f t="shared" si="21"/>
        <v>1</v>
      </c>
      <c r="O138" s="9" t="b">
        <f t="shared" si="22"/>
        <v>0</v>
      </c>
      <c r="P138" s="8" t="str">
        <f t="shared" si="23"/>
        <v>FALSE</v>
      </c>
      <c r="Q138" s="8" t="str">
        <f t="shared" si="24"/>
        <v>FALSE</v>
      </c>
      <c r="R138" s="9" t="b">
        <f t="shared" si="25"/>
        <v>1</v>
      </c>
      <c r="S138" s="8" t="b">
        <f t="shared" si="26"/>
        <v>0</v>
      </c>
      <c r="T138" s="10" t="b">
        <f t="shared" si="27"/>
        <v>0</v>
      </c>
      <c r="U138" s="8" t="str">
        <f t="shared" si="28"/>
        <v>TRUE</v>
      </c>
      <c r="V138" s="11" t="str">
        <f t="shared" si="29"/>
        <v>TRUE</v>
      </c>
    </row>
    <row r="139" spans="1:22" ht="15.75">
      <c r="A139" s="21">
        <v>137</v>
      </c>
      <c r="B139" s="5" t="s">
        <v>446</v>
      </c>
      <c r="C139" s="23" t="s">
        <v>3817</v>
      </c>
      <c r="D139" s="23" t="s">
        <v>59</v>
      </c>
      <c r="E139" s="5" t="s">
        <v>447</v>
      </c>
      <c r="F139" s="71" t="s">
        <v>6101</v>
      </c>
      <c r="G139" s="22" t="s">
        <v>144</v>
      </c>
      <c r="H139" s="5" t="s">
        <v>46</v>
      </c>
      <c r="I139" s="5" t="s">
        <v>26</v>
      </c>
      <c r="J139" s="5" t="s">
        <v>5152</v>
      </c>
      <c r="K139" s="5" t="s">
        <v>448</v>
      </c>
      <c r="L139" s="22"/>
      <c r="M139" s="8" t="str">
        <f t="shared" si="20"/>
        <v>Ok</v>
      </c>
      <c r="N139" s="9" t="b">
        <f t="shared" si="21"/>
        <v>0</v>
      </c>
      <c r="O139" s="9" t="b">
        <f t="shared" si="22"/>
        <v>1</v>
      </c>
      <c r="P139" s="8" t="str">
        <f t="shared" si="23"/>
        <v>FALSE</v>
      </c>
      <c r="Q139" s="8" t="str">
        <f t="shared" si="24"/>
        <v>FALSE</v>
      </c>
      <c r="R139" s="9" t="b">
        <f t="shared" si="25"/>
        <v>1</v>
      </c>
      <c r="S139" s="8" t="b">
        <f t="shared" si="26"/>
        <v>0</v>
      </c>
      <c r="T139" s="10" t="b">
        <f t="shared" si="27"/>
        <v>0</v>
      </c>
      <c r="U139" s="8" t="str">
        <f t="shared" si="28"/>
        <v>TRUE</v>
      </c>
      <c r="V139" s="11" t="str">
        <f t="shared" si="29"/>
        <v>TRUE</v>
      </c>
    </row>
    <row r="140" spans="1:22" ht="15.75">
      <c r="A140" s="21">
        <v>138</v>
      </c>
      <c r="B140" s="5" t="s">
        <v>449</v>
      </c>
      <c r="C140" s="23" t="s">
        <v>3673</v>
      </c>
      <c r="D140" s="23" t="s">
        <v>59</v>
      </c>
      <c r="E140" s="5" t="s">
        <v>450</v>
      </c>
      <c r="F140" s="71" t="s">
        <v>6101</v>
      </c>
      <c r="G140" s="22" t="s">
        <v>3934</v>
      </c>
      <c r="H140" s="5" t="s">
        <v>13</v>
      </c>
      <c r="I140" s="5" t="s">
        <v>26</v>
      </c>
      <c r="J140" s="5" t="s">
        <v>5439</v>
      </c>
      <c r="K140" s="5" t="s">
        <v>451</v>
      </c>
      <c r="L140" s="22"/>
      <c r="M140" s="8" t="str">
        <f t="shared" si="20"/>
        <v>Ok</v>
      </c>
      <c r="N140" s="9" t="b">
        <f t="shared" si="21"/>
        <v>1</v>
      </c>
      <c r="O140" s="9" t="b">
        <f t="shared" si="22"/>
        <v>1</v>
      </c>
      <c r="P140" s="8" t="str">
        <f t="shared" si="23"/>
        <v>FALSE</v>
      </c>
      <c r="Q140" s="8" t="str">
        <f t="shared" si="24"/>
        <v>FALSE</v>
      </c>
      <c r="R140" s="9" t="b">
        <f t="shared" si="25"/>
        <v>0</v>
      </c>
      <c r="S140" s="8" t="b">
        <f t="shared" si="26"/>
        <v>0</v>
      </c>
      <c r="T140" s="10" t="b">
        <f t="shared" si="27"/>
        <v>0</v>
      </c>
      <c r="U140" s="8" t="str">
        <f t="shared" si="28"/>
        <v>TRUE</v>
      </c>
      <c r="V140" s="11" t="str">
        <f t="shared" si="29"/>
        <v>TRUE</v>
      </c>
    </row>
    <row r="141" spans="1:22" ht="15.75">
      <c r="A141" s="21">
        <v>139</v>
      </c>
      <c r="B141" s="5" t="s">
        <v>452</v>
      </c>
      <c r="C141" s="23" t="s">
        <v>2992</v>
      </c>
      <c r="D141" s="23" t="s">
        <v>34</v>
      </c>
      <c r="E141" s="5" t="s">
        <v>453</v>
      </c>
      <c r="F141" s="71" t="s">
        <v>6101</v>
      </c>
      <c r="G141" s="22" t="s">
        <v>179</v>
      </c>
      <c r="H141" s="5" t="s">
        <v>3932</v>
      </c>
      <c r="I141" s="5" t="s">
        <v>56</v>
      </c>
      <c r="J141" s="5" t="s">
        <v>5509</v>
      </c>
      <c r="K141" s="5" t="s">
        <v>454</v>
      </c>
      <c r="L141" s="22"/>
      <c r="M141" s="8" t="str">
        <f t="shared" si="20"/>
        <v>Ok</v>
      </c>
      <c r="N141" s="9" t="b">
        <f t="shared" si="21"/>
        <v>0</v>
      </c>
      <c r="O141" s="9" t="b">
        <f t="shared" si="22"/>
        <v>0</v>
      </c>
      <c r="P141" s="8" t="str">
        <f t="shared" si="23"/>
        <v>FALSE</v>
      </c>
      <c r="Q141" s="8" t="str">
        <f t="shared" si="24"/>
        <v>FALSE</v>
      </c>
      <c r="R141" s="9" t="b">
        <f t="shared" si="25"/>
        <v>1</v>
      </c>
      <c r="S141" s="8" t="b">
        <f t="shared" si="26"/>
        <v>0</v>
      </c>
      <c r="T141" s="10" t="b">
        <f t="shared" si="27"/>
        <v>1</v>
      </c>
      <c r="U141" s="8" t="str">
        <f t="shared" si="28"/>
        <v>FALSE</v>
      </c>
      <c r="V141" s="11" t="str">
        <f t="shared" si="29"/>
        <v>TRUE</v>
      </c>
    </row>
    <row r="142" spans="1:22" ht="15.75">
      <c r="A142" s="21">
        <v>140</v>
      </c>
      <c r="B142" s="5" t="s">
        <v>455</v>
      </c>
      <c r="C142" s="23" t="s">
        <v>3590</v>
      </c>
      <c r="D142" s="23" t="s">
        <v>59</v>
      </c>
      <c r="E142" s="5" t="s">
        <v>456</v>
      </c>
      <c r="F142" s="71" t="s">
        <v>6101</v>
      </c>
      <c r="G142" s="22" t="s">
        <v>160</v>
      </c>
      <c r="H142" s="5" t="s">
        <v>13</v>
      </c>
      <c r="I142" s="5" t="s">
        <v>42</v>
      </c>
      <c r="J142" s="5" t="s">
        <v>4853</v>
      </c>
      <c r="K142" s="5" t="s">
        <v>457</v>
      </c>
      <c r="L142" s="22"/>
      <c r="M142" s="8" t="str">
        <f t="shared" si="20"/>
        <v>Ok</v>
      </c>
      <c r="N142" s="9" t="b">
        <f t="shared" si="21"/>
        <v>1</v>
      </c>
      <c r="O142" s="9" t="b">
        <f t="shared" si="22"/>
        <v>1</v>
      </c>
      <c r="P142" s="8" t="str">
        <f t="shared" si="23"/>
        <v>FALSE</v>
      </c>
      <c r="Q142" s="8" t="str">
        <f t="shared" si="24"/>
        <v>FALSE</v>
      </c>
      <c r="R142" s="9" t="b">
        <f t="shared" si="25"/>
        <v>0</v>
      </c>
      <c r="S142" s="8" t="b">
        <f t="shared" si="26"/>
        <v>0</v>
      </c>
      <c r="T142" s="10" t="b">
        <f t="shared" si="27"/>
        <v>1</v>
      </c>
      <c r="U142" s="8" t="str">
        <f t="shared" si="28"/>
        <v>TRUE</v>
      </c>
      <c r="V142" s="11" t="str">
        <f t="shared" si="29"/>
        <v>TRUE</v>
      </c>
    </row>
    <row r="143" spans="1:22" ht="15.75">
      <c r="A143" s="21">
        <v>141</v>
      </c>
      <c r="B143" s="5" t="s">
        <v>458</v>
      </c>
      <c r="C143" s="23" t="s">
        <v>3873</v>
      </c>
      <c r="D143" s="23" t="s">
        <v>17</v>
      </c>
      <c r="E143" s="5" t="s">
        <v>459</v>
      </c>
      <c r="F143" s="71" t="s">
        <v>6101</v>
      </c>
      <c r="G143" s="22" t="s">
        <v>85</v>
      </c>
      <c r="H143" s="5" t="s">
        <v>120</v>
      </c>
      <c r="I143" s="5" t="s">
        <v>42</v>
      </c>
      <c r="J143" s="5" t="s">
        <v>5005</v>
      </c>
      <c r="K143" s="5" t="s">
        <v>460</v>
      </c>
      <c r="L143" s="22"/>
      <c r="M143" s="8" t="str">
        <f t="shared" si="20"/>
        <v>Ok</v>
      </c>
      <c r="N143" s="9" t="b">
        <f t="shared" si="21"/>
        <v>0</v>
      </c>
      <c r="O143" s="9" t="b">
        <f t="shared" si="22"/>
        <v>1</v>
      </c>
      <c r="P143" s="8" t="str">
        <f t="shared" si="23"/>
        <v>FALSE</v>
      </c>
      <c r="Q143" s="8" t="str">
        <f t="shared" si="24"/>
        <v>FALSE</v>
      </c>
      <c r="R143" s="9" t="b">
        <f t="shared" si="25"/>
        <v>1</v>
      </c>
      <c r="S143" s="8" t="b">
        <f t="shared" si="26"/>
        <v>1</v>
      </c>
      <c r="T143" s="10" t="b">
        <f t="shared" si="27"/>
        <v>1</v>
      </c>
      <c r="U143" s="8" t="str">
        <f t="shared" si="28"/>
        <v>TRUE</v>
      </c>
      <c r="V143" s="11" t="str">
        <f t="shared" si="29"/>
        <v>TRUE</v>
      </c>
    </row>
    <row r="144" spans="1:22" ht="15.75">
      <c r="A144" s="21">
        <v>142</v>
      </c>
      <c r="B144" s="5" t="s">
        <v>461</v>
      </c>
      <c r="C144" s="23" t="s">
        <v>3080</v>
      </c>
      <c r="D144" s="23" t="s">
        <v>77</v>
      </c>
      <c r="E144" s="5" t="s">
        <v>462</v>
      </c>
      <c r="F144" s="71" t="s">
        <v>6101</v>
      </c>
      <c r="G144" s="22" t="s">
        <v>179</v>
      </c>
      <c r="H144" s="22" t="s">
        <v>179</v>
      </c>
      <c r="I144" s="5" t="s">
        <v>50</v>
      </c>
      <c r="J144" s="5" t="s">
        <v>5630</v>
      </c>
      <c r="K144" s="5" t="s">
        <v>463</v>
      </c>
      <c r="L144" s="22"/>
      <c r="M144" s="8" t="str">
        <f t="shared" si="20"/>
        <v>Ok</v>
      </c>
      <c r="N144" s="9" t="b">
        <f t="shared" si="21"/>
        <v>0</v>
      </c>
      <c r="O144" s="9" t="b">
        <f t="shared" si="22"/>
        <v>0</v>
      </c>
      <c r="P144" s="8" t="str">
        <f t="shared" si="23"/>
        <v>FALSE</v>
      </c>
      <c r="Q144" s="8" t="str">
        <f t="shared" si="24"/>
        <v>FALSE</v>
      </c>
      <c r="R144" s="9" t="b">
        <f t="shared" si="25"/>
        <v>1</v>
      </c>
      <c r="S144" s="8" t="b">
        <f t="shared" si="26"/>
        <v>1</v>
      </c>
      <c r="T144" s="10" t="b">
        <f t="shared" si="27"/>
        <v>0</v>
      </c>
      <c r="U144" s="8" t="str">
        <f t="shared" si="28"/>
        <v>FALSE</v>
      </c>
      <c r="V144" s="11" t="str">
        <f t="shared" si="29"/>
        <v>TRUE</v>
      </c>
    </row>
    <row r="145" spans="1:22" ht="15.75">
      <c r="A145" s="21">
        <v>143</v>
      </c>
      <c r="B145" s="5" t="s">
        <v>464</v>
      </c>
      <c r="C145" s="23" t="s">
        <v>3206</v>
      </c>
      <c r="D145" s="23" t="s">
        <v>77</v>
      </c>
      <c r="E145" s="5" t="s">
        <v>465</v>
      </c>
      <c r="F145" s="71" t="s">
        <v>6101</v>
      </c>
      <c r="G145" s="22" t="s">
        <v>82</v>
      </c>
      <c r="H145" s="5" t="s">
        <v>98</v>
      </c>
      <c r="I145" s="5" t="s">
        <v>14</v>
      </c>
      <c r="J145" s="5" t="s">
        <v>5581</v>
      </c>
      <c r="K145" s="5" t="s">
        <v>466</v>
      </c>
      <c r="L145" s="22"/>
      <c r="M145" s="8" t="str">
        <f t="shared" si="20"/>
        <v>Ok</v>
      </c>
      <c r="N145" s="9" t="b">
        <f t="shared" si="21"/>
        <v>1</v>
      </c>
      <c r="O145" s="9" t="b">
        <f t="shared" si="22"/>
        <v>0</v>
      </c>
      <c r="P145" s="8" t="str">
        <f t="shared" si="23"/>
        <v>FALSE</v>
      </c>
      <c r="Q145" s="8" t="str">
        <f t="shared" si="24"/>
        <v>FALSE</v>
      </c>
      <c r="R145" s="9" t="b">
        <f t="shared" si="25"/>
        <v>0</v>
      </c>
      <c r="S145" s="8" t="b">
        <f t="shared" si="26"/>
        <v>0</v>
      </c>
      <c r="T145" s="10" t="b">
        <f t="shared" si="27"/>
        <v>1</v>
      </c>
      <c r="U145" s="8" t="str">
        <f t="shared" si="28"/>
        <v>FALSE</v>
      </c>
      <c r="V145" s="11" t="str">
        <f t="shared" si="29"/>
        <v>TRUE</v>
      </c>
    </row>
    <row r="146" spans="1:22" ht="15.75">
      <c r="A146" s="21">
        <v>144</v>
      </c>
      <c r="B146" s="5" t="s">
        <v>467</v>
      </c>
      <c r="C146" s="23" t="s">
        <v>3337</v>
      </c>
      <c r="D146" s="23" t="s">
        <v>34</v>
      </c>
      <c r="E146" s="5" t="s">
        <v>468</v>
      </c>
      <c r="F146" s="71" t="s">
        <v>6101</v>
      </c>
      <c r="G146" s="22" t="s">
        <v>3933</v>
      </c>
      <c r="H146" s="5" t="s">
        <v>3932</v>
      </c>
      <c r="I146" s="5" t="s">
        <v>42</v>
      </c>
      <c r="J146" s="5" t="s">
        <v>5494</v>
      </c>
      <c r="K146" s="5" t="s">
        <v>469</v>
      </c>
      <c r="L146" s="22"/>
      <c r="M146" s="8" t="str">
        <f t="shared" si="20"/>
        <v>Ok</v>
      </c>
      <c r="N146" s="9" t="b">
        <f t="shared" si="21"/>
        <v>1</v>
      </c>
      <c r="O146" s="9" t="b">
        <f t="shared" si="22"/>
        <v>0</v>
      </c>
      <c r="P146" s="8" t="str">
        <f t="shared" si="23"/>
        <v>FALSE</v>
      </c>
      <c r="Q146" s="8" t="str">
        <f t="shared" si="24"/>
        <v>FALSE</v>
      </c>
      <c r="R146" s="9" t="b">
        <f t="shared" si="25"/>
        <v>0</v>
      </c>
      <c r="S146" s="8" t="b">
        <f t="shared" si="26"/>
        <v>0</v>
      </c>
      <c r="T146" s="10" t="b">
        <f t="shared" si="27"/>
        <v>1</v>
      </c>
      <c r="U146" s="8" t="str">
        <f t="shared" si="28"/>
        <v>FALSE</v>
      </c>
      <c r="V146" s="11" t="str">
        <f t="shared" si="29"/>
        <v>TRUE</v>
      </c>
    </row>
    <row r="147" spans="1:22" ht="15.75">
      <c r="A147" s="21">
        <v>145</v>
      </c>
      <c r="B147" s="5" t="s">
        <v>470</v>
      </c>
      <c r="C147" s="23" t="s">
        <v>3874</v>
      </c>
      <c r="D147" s="23" t="s">
        <v>17</v>
      </c>
      <c r="E147" s="5" t="s">
        <v>471</v>
      </c>
      <c r="F147" s="71" t="s">
        <v>6101</v>
      </c>
      <c r="G147" s="22" t="s">
        <v>119</v>
      </c>
      <c r="H147" s="5" t="s">
        <v>86</v>
      </c>
      <c r="I147" s="5" t="s">
        <v>26</v>
      </c>
      <c r="J147" s="5" t="s">
        <v>5408</v>
      </c>
      <c r="K147" s="5" t="s">
        <v>472</v>
      </c>
      <c r="L147" s="22"/>
      <c r="M147" s="8" t="str">
        <f t="shared" si="20"/>
        <v>Ok</v>
      </c>
      <c r="N147" s="9" t="b">
        <f t="shared" si="21"/>
        <v>0</v>
      </c>
      <c r="O147" s="9" t="b">
        <f t="shared" si="22"/>
        <v>1</v>
      </c>
      <c r="P147" s="8" t="str">
        <f t="shared" si="23"/>
        <v>FALSE</v>
      </c>
      <c r="Q147" s="8" t="str">
        <f t="shared" si="24"/>
        <v>FALSE</v>
      </c>
      <c r="R147" s="9" t="b">
        <f t="shared" si="25"/>
        <v>0</v>
      </c>
      <c r="S147" s="8" t="b">
        <f t="shared" si="26"/>
        <v>0</v>
      </c>
      <c r="T147" s="10" t="b">
        <f t="shared" si="27"/>
        <v>0</v>
      </c>
      <c r="U147" s="8" t="str">
        <f t="shared" si="28"/>
        <v>TRUE</v>
      </c>
      <c r="V147" s="11" t="str">
        <f t="shared" si="29"/>
        <v>TRUE</v>
      </c>
    </row>
    <row r="148" spans="1:22" ht="15.75">
      <c r="A148" s="21">
        <v>146</v>
      </c>
      <c r="B148" s="5" t="s">
        <v>473</v>
      </c>
      <c r="C148" s="23" t="s">
        <v>3591</v>
      </c>
      <c r="D148" s="23" t="s">
        <v>59</v>
      </c>
      <c r="E148" s="5" t="s">
        <v>474</v>
      </c>
      <c r="F148" s="71" t="s">
        <v>6101</v>
      </c>
      <c r="G148" s="22" t="s">
        <v>160</v>
      </c>
      <c r="H148" s="5" t="s">
        <v>36</v>
      </c>
      <c r="I148" s="5" t="s">
        <v>50</v>
      </c>
      <c r="J148" s="5" t="s">
        <v>5141</v>
      </c>
      <c r="K148" s="5" t="s">
        <v>475</v>
      </c>
      <c r="L148" s="22"/>
      <c r="M148" s="8" t="str">
        <f t="shared" si="20"/>
        <v>Ok</v>
      </c>
      <c r="N148" s="9" t="b">
        <f t="shared" si="21"/>
        <v>1</v>
      </c>
      <c r="O148" s="9" t="b">
        <f t="shared" si="22"/>
        <v>1</v>
      </c>
      <c r="P148" s="8" t="str">
        <f t="shared" si="23"/>
        <v>FALSE</v>
      </c>
      <c r="Q148" s="8" t="str">
        <f t="shared" si="24"/>
        <v>FALSE</v>
      </c>
      <c r="R148" s="9" t="b">
        <f t="shared" si="25"/>
        <v>0</v>
      </c>
      <c r="S148" s="8" t="b">
        <f t="shared" si="26"/>
        <v>1</v>
      </c>
      <c r="T148" s="10" t="b">
        <f t="shared" si="27"/>
        <v>0</v>
      </c>
      <c r="U148" s="8" t="str">
        <f t="shared" si="28"/>
        <v>TRUE</v>
      </c>
      <c r="V148" s="11" t="str">
        <f t="shared" si="29"/>
        <v>TRUE</v>
      </c>
    </row>
    <row r="149" spans="1:22" ht="15.75">
      <c r="A149" s="21">
        <v>147</v>
      </c>
      <c r="B149" s="5" t="s">
        <v>476</v>
      </c>
      <c r="C149" s="23" t="s">
        <v>3674</v>
      </c>
      <c r="D149" s="23" t="s">
        <v>59</v>
      </c>
      <c r="E149" s="5" t="s">
        <v>477</v>
      </c>
      <c r="F149" s="71" t="s">
        <v>6101</v>
      </c>
      <c r="G149" s="22" t="s">
        <v>30</v>
      </c>
      <c r="H149" s="5" t="s">
        <v>31</v>
      </c>
      <c r="I149" s="5" t="s">
        <v>14</v>
      </c>
      <c r="J149" s="5" t="s">
        <v>5295</v>
      </c>
      <c r="K149" s="5" t="s">
        <v>478</v>
      </c>
      <c r="L149" s="22"/>
      <c r="M149" s="8" t="str">
        <f t="shared" si="20"/>
        <v>Ok</v>
      </c>
      <c r="N149" s="9" t="b">
        <f t="shared" si="21"/>
        <v>1</v>
      </c>
      <c r="O149" s="9" t="b">
        <f t="shared" si="22"/>
        <v>1</v>
      </c>
      <c r="P149" s="8" t="str">
        <f t="shared" si="23"/>
        <v>FALSE</v>
      </c>
      <c r="Q149" s="8" t="str">
        <f t="shared" si="24"/>
        <v>FALSE</v>
      </c>
      <c r="R149" s="9" t="b">
        <f t="shared" si="25"/>
        <v>0</v>
      </c>
      <c r="S149" s="8" t="b">
        <f t="shared" si="26"/>
        <v>1</v>
      </c>
      <c r="T149" s="10" t="b">
        <f t="shared" si="27"/>
        <v>1</v>
      </c>
      <c r="U149" s="8" t="str">
        <f t="shared" si="28"/>
        <v>TRUE</v>
      </c>
      <c r="V149" s="11" t="str">
        <f t="shared" si="29"/>
        <v>TRUE</v>
      </c>
    </row>
    <row r="150" spans="1:22" ht="15.75">
      <c r="A150" s="21">
        <v>148</v>
      </c>
      <c r="B150" s="5" t="s">
        <v>479</v>
      </c>
      <c r="C150" s="23" t="s">
        <v>3875</v>
      </c>
      <c r="D150" s="23" t="s">
        <v>17</v>
      </c>
      <c r="E150" s="5" t="s">
        <v>480</v>
      </c>
      <c r="F150" s="71" t="s">
        <v>6101</v>
      </c>
      <c r="G150" s="22" t="s">
        <v>85</v>
      </c>
      <c r="H150" s="5" t="s">
        <v>86</v>
      </c>
      <c r="I150" s="5" t="s">
        <v>21</v>
      </c>
      <c r="J150" s="5" t="s">
        <v>5326</v>
      </c>
      <c r="K150" s="5" t="s">
        <v>481</v>
      </c>
      <c r="L150" s="22"/>
      <c r="M150" s="8" t="str">
        <f t="shared" si="20"/>
        <v>Ok</v>
      </c>
      <c r="N150" s="9" t="b">
        <f t="shared" si="21"/>
        <v>0</v>
      </c>
      <c r="O150" s="9" t="b">
        <f t="shared" si="22"/>
        <v>1</v>
      </c>
      <c r="P150" s="8" t="str">
        <f t="shared" si="23"/>
        <v>FALSE</v>
      </c>
      <c r="Q150" s="8" t="str">
        <f t="shared" si="24"/>
        <v>FALSE</v>
      </c>
      <c r="R150" s="9" t="b">
        <f t="shared" si="25"/>
        <v>1</v>
      </c>
      <c r="S150" s="8" t="b">
        <f t="shared" si="26"/>
        <v>0</v>
      </c>
      <c r="T150" s="10" t="b">
        <f t="shared" si="27"/>
        <v>0</v>
      </c>
      <c r="U150" s="8" t="str">
        <f t="shared" si="28"/>
        <v>TRUE</v>
      </c>
      <c r="V150" s="11" t="str">
        <f t="shared" si="29"/>
        <v>TRUE</v>
      </c>
    </row>
    <row r="151" spans="1:22" ht="15.75">
      <c r="A151" s="21">
        <v>149</v>
      </c>
      <c r="B151" s="5" t="s">
        <v>482</v>
      </c>
      <c r="C151" s="23" t="s">
        <v>3448</v>
      </c>
      <c r="D151" s="23" t="s">
        <v>77</v>
      </c>
      <c r="E151" s="5" t="s">
        <v>483</v>
      </c>
      <c r="F151" s="71" t="s">
        <v>6101</v>
      </c>
      <c r="G151" s="22" t="s">
        <v>160</v>
      </c>
      <c r="H151" s="5" t="s">
        <v>3932</v>
      </c>
      <c r="I151" s="5" t="s">
        <v>67</v>
      </c>
      <c r="J151" s="5" t="s">
        <v>5055</v>
      </c>
      <c r="K151" s="5" t="s">
        <v>484</v>
      </c>
      <c r="L151" s="22"/>
      <c r="M151" s="8" t="str">
        <f t="shared" si="20"/>
        <v>Ok</v>
      </c>
      <c r="N151" s="9" t="b">
        <f t="shared" si="21"/>
        <v>1</v>
      </c>
      <c r="O151" s="9" t="b">
        <f t="shared" si="22"/>
        <v>0</v>
      </c>
      <c r="P151" s="8" t="str">
        <f t="shared" si="23"/>
        <v>FALSE</v>
      </c>
      <c r="Q151" s="8" t="str">
        <f t="shared" si="24"/>
        <v>FALSE</v>
      </c>
      <c r="R151" s="9" t="b">
        <f t="shared" si="25"/>
        <v>0</v>
      </c>
      <c r="S151" s="8" t="b">
        <f t="shared" si="26"/>
        <v>0</v>
      </c>
      <c r="T151" s="10" t="b">
        <f t="shared" si="27"/>
        <v>0</v>
      </c>
      <c r="U151" s="8" t="str">
        <f t="shared" si="28"/>
        <v>TRUE</v>
      </c>
      <c r="V151" s="11" t="str">
        <f t="shared" si="29"/>
        <v>TRUE</v>
      </c>
    </row>
    <row r="152" spans="1:22" ht="15.75">
      <c r="A152" s="21">
        <v>150</v>
      </c>
      <c r="B152" s="5" t="s">
        <v>485</v>
      </c>
      <c r="C152" s="23" t="s">
        <v>3207</v>
      </c>
      <c r="D152" s="23" t="s">
        <v>77</v>
      </c>
      <c r="E152" s="5" t="s">
        <v>486</v>
      </c>
      <c r="F152" s="71" t="s">
        <v>6101</v>
      </c>
      <c r="G152" s="22" t="s">
        <v>179</v>
      </c>
      <c r="H152" s="5" t="s">
        <v>3932</v>
      </c>
      <c r="I152" s="5" t="s">
        <v>56</v>
      </c>
      <c r="J152" s="5" t="s">
        <v>4830</v>
      </c>
      <c r="K152" s="5" t="s">
        <v>487</v>
      </c>
      <c r="L152" s="22"/>
      <c r="M152" s="8" t="str">
        <f t="shared" si="20"/>
        <v>Ok</v>
      </c>
      <c r="N152" s="9" t="b">
        <f t="shared" si="21"/>
        <v>1</v>
      </c>
      <c r="O152" s="9" t="b">
        <f t="shared" si="22"/>
        <v>0</v>
      </c>
      <c r="P152" s="8" t="str">
        <f t="shared" si="23"/>
        <v>FALSE</v>
      </c>
      <c r="Q152" s="8" t="str">
        <f t="shared" si="24"/>
        <v>FALSE</v>
      </c>
      <c r="R152" s="9" t="b">
        <f t="shared" si="25"/>
        <v>1</v>
      </c>
      <c r="S152" s="8" t="b">
        <f t="shared" si="26"/>
        <v>0</v>
      </c>
      <c r="T152" s="10" t="b">
        <f t="shared" si="27"/>
        <v>1</v>
      </c>
      <c r="U152" s="8" t="str">
        <f t="shared" si="28"/>
        <v>TRUE</v>
      </c>
      <c r="V152" s="11" t="str">
        <f t="shared" si="29"/>
        <v>TRUE</v>
      </c>
    </row>
    <row r="153" spans="1:22" ht="15.75">
      <c r="A153" s="21">
        <v>151</v>
      </c>
      <c r="B153" s="5" t="s">
        <v>488</v>
      </c>
      <c r="C153" s="23" t="s">
        <v>2993</v>
      </c>
      <c r="D153" s="23" t="s">
        <v>34</v>
      </c>
      <c r="E153" s="5" t="s">
        <v>489</v>
      </c>
      <c r="F153" s="71" t="s">
        <v>6101</v>
      </c>
      <c r="G153" s="22" t="s">
        <v>74</v>
      </c>
      <c r="H153" s="5" t="s">
        <v>41</v>
      </c>
      <c r="I153" s="5" t="s">
        <v>26</v>
      </c>
      <c r="J153" s="5" t="s">
        <v>5628</v>
      </c>
      <c r="K153" s="5" t="s">
        <v>490</v>
      </c>
      <c r="L153" s="22"/>
      <c r="M153" s="8" t="str">
        <f t="shared" si="20"/>
        <v>Ok</v>
      </c>
      <c r="N153" s="9" t="b">
        <f t="shared" si="21"/>
        <v>0</v>
      </c>
      <c r="O153" s="9" t="b">
        <f t="shared" si="22"/>
        <v>0</v>
      </c>
      <c r="P153" s="8" t="str">
        <f t="shared" si="23"/>
        <v>FALSE</v>
      </c>
      <c r="Q153" s="8" t="str">
        <f t="shared" si="24"/>
        <v>FALSE</v>
      </c>
      <c r="R153" s="9" t="b">
        <f t="shared" si="25"/>
        <v>0</v>
      </c>
      <c r="S153" s="8" t="b">
        <f t="shared" si="26"/>
        <v>0</v>
      </c>
      <c r="T153" s="10" t="b">
        <f t="shared" si="27"/>
        <v>0</v>
      </c>
      <c r="U153" s="8" t="str">
        <f t="shared" si="28"/>
        <v>FALSE</v>
      </c>
      <c r="V153" s="11" t="str">
        <f t="shared" si="29"/>
        <v>TRUE</v>
      </c>
    </row>
    <row r="154" spans="1:22" ht="15.75">
      <c r="A154" s="21">
        <v>152</v>
      </c>
      <c r="B154" s="5" t="s">
        <v>491</v>
      </c>
      <c r="C154" s="23" t="s">
        <v>3338</v>
      </c>
      <c r="D154" s="23" t="s">
        <v>34</v>
      </c>
      <c r="E154" s="5" t="s">
        <v>492</v>
      </c>
      <c r="F154" s="71" t="s">
        <v>6101</v>
      </c>
      <c r="G154" s="22" t="s">
        <v>3933</v>
      </c>
      <c r="H154" s="5" t="s">
        <v>3932</v>
      </c>
      <c r="I154" s="5" t="s">
        <v>67</v>
      </c>
      <c r="J154" s="5" t="s">
        <v>5132</v>
      </c>
      <c r="K154" s="5" t="s">
        <v>493</v>
      </c>
      <c r="L154" s="22"/>
      <c r="M154" s="8" t="str">
        <f t="shared" si="20"/>
        <v>Ok</v>
      </c>
      <c r="N154" s="9" t="b">
        <f t="shared" si="21"/>
        <v>1</v>
      </c>
      <c r="O154" s="9" t="b">
        <f t="shared" si="22"/>
        <v>0</v>
      </c>
      <c r="P154" s="8" t="str">
        <f t="shared" si="23"/>
        <v>FALSE</v>
      </c>
      <c r="Q154" s="8" t="str">
        <f t="shared" si="24"/>
        <v>FALSE</v>
      </c>
      <c r="R154" s="9" t="b">
        <f t="shared" si="25"/>
        <v>0</v>
      </c>
      <c r="S154" s="8" t="b">
        <f t="shared" si="26"/>
        <v>0</v>
      </c>
      <c r="T154" s="10" t="b">
        <f t="shared" si="27"/>
        <v>0</v>
      </c>
      <c r="U154" s="8" t="str">
        <f t="shared" si="28"/>
        <v>TRUE</v>
      </c>
      <c r="V154" s="11" t="str">
        <f t="shared" si="29"/>
        <v>TRUE</v>
      </c>
    </row>
    <row r="155" spans="1:22" ht="15.75">
      <c r="A155" s="21">
        <v>153</v>
      </c>
      <c r="B155" s="5" t="s">
        <v>494</v>
      </c>
      <c r="C155" s="23" t="s">
        <v>3208</v>
      </c>
      <c r="D155" s="23" t="s">
        <v>34</v>
      </c>
      <c r="E155" s="5" t="s">
        <v>495</v>
      </c>
      <c r="F155" s="71" t="s">
        <v>6101</v>
      </c>
      <c r="G155" s="22" t="s">
        <v>179</v>
      </c>
      <c r="H155" s="5" t="s">
        <v>3932</v>
      </c>
      <c r="I155" s="5" t="s">
        <v>67</v>
      </c>
      <c r="J155" s="5" t="s">
        <v>4948</v>
      </c>
      <c r="K155" s="5" t="s">
        <v>496</v>
      </c>
      <c r="L155" s="22"/>
      <c r="M155" s="8" t="str">
        <f t="shared" si="20"/>
        <v>Ok</v>
      </c>
      <c r="N155" s="9" t="b">
        <f t="shared" si="21"/>
        <v>1</v>
      </c>
      <c r="O155" s="9" t="b">
        <f t="shared" si="22"/>
        <v>0</v>
      </c>
      <c r="P155" s="8" t="str">
        <f t="shared" si="23"/>
        <v>FALSE</v>
      </c>
      <c r="Q155" s="8" t="str">
        <f t="shared" si="24"/>
        <v>FALSE</v>
      </c>
      <c r="R155" s="9" t="b">
        <f t="shared" si="25"/>
        <v>1</v>
      </c>
      <c r="S155" s="8" t="b">
        <f t="shared" si="26"/>
        <v>0</v>
      </c>
      <c r="T155" s="10" t="b">
        <f t="shared" si="27"/>
        <v>0</v>
      </c>
      <c r="U155" s="8" t="str">
        <f t="shared" si="28"/>
        <v>TRUE</v>
      </c>
      <c r="V155" s="11" t="str">
        <f t="shared" si="29"/>
        <v>TRUE</v>
      </c>
    </row>
    <row r="156" spans="1:22" ht="15.75">
      <c r="A156" s="21">
        <v>154</v>
      </c>
      <c r="B156" s="5" t="s">
        <v>497</v>
      </c>
      <c r="C156" s="23" t="s">
        <v>3122</v>
      </c>
      <c r="D156" s="23" t="s">
        <v>77</v>
      </c>
      <c r="E156" s="5" t="s">
        <v>498</v>
      </c>
      <c r="F156" s="71" t="s">
        <v>6101</v>
      </c>
      <c r="G156" s="22" t="s">
        <v>179</v>
      </c>
      <c r="H156" s="5" t="s">
        <v>3932</v>
      </c>
      <c r="I156" s="5" t="s">
        <v>21</v>
      </c>
      <c r="J156" s="5" t="s">
        <v>5280</v>
      </c>
      <c r="K156" s="5" t="s">
        <v>499</v>
      </c>
      <c r="L156" s="22"/>
      <c r="M156" s="8" t="str">
        <f t="shared" si="20"/>
        <v>Ok</v>
      </c>
      <c r="N156" s="9" t="b">
        <f t="shared" si="21"/>
        <v>0</v>
      </c>
      <c r="O156" s="9" t="b">
        <f t="shared" si="22"/>
        <v>0</v>
      </c>
      <c r="P156" s="8" t="str">
        <f t="shared" si="23"/>
        <v>FALSE</v>
      </c>
      <c r="Q156" s="8" t="str">
        <f t="shared" si="24"/>
        <v>FALSE</v>
      </c>
      <c r="R156" s="9" t="b">
        <f t="shared" si="25"/>
        <v>1</v>
      </c>
      <c r="S156" s="8" t="b">
        <f t="shared" si="26"/>
        <v>0</v>
      </c>
      <c r="T156" s="10" t="b">
        <f t="shared" si="27"/>
        <v>0</v>
      </c>
      <c r="U156" s="8" t="str">
        <f t="shared" si="28"/>
        <v>TRUE</v>
      </c>
      <c r="V156" s="11" t="str">
        <f t="shared" si="29"/>
        <v>TRUE</v>
      </c>
    </row>
    <row r="157" spans="1:22" ht="15.75">
      <c r="A157" s="21">
        <v>155</v>
      </c>
      <c r="B157" s="5" t="s">
        <v>500</v>
      </c>
      <c r="C157" s="23" t="s">
        <v>3818</v>
      </c>
      <c r="D157" s="23" t="s">
        <v>17</v>
      </c>
      <c r="E157" s="5" t="s">
        <v>501</v>
      </c>
      <c r="F157" s="71" t="s">
        <v>6101</v>
      </c>
      <c r="G157" s="22" t="s">
        <v>144</v>
      </c>
      <c r="H157" s="5" t="s">
        <v>46</v>
      </c>
      <c r="I157" s="5" t="s">
        <v>67</v>
      </c>
      <c r="J157" s="5" t="s">
        <v>5768</v>
      </c>
      <c r="K157" s="5" t="s">
        <v>502</v>
      </c>
      <c r="L157" s="22"/>
      <c r="M157" s="8" t="str">
        <f t="shared" si="20"/>
        <v>Ok</v>
      </c>
      <c r="N157" s="9" t="b">
        <f t="shared" si="21"/>
        <v>0</v>
      </c>
      <c r="O157" s="9" t="b">
        <f t="shared" si="22"/>
        <v>1</v>
      </c>
      <c r="P157" s="8" t="str">
        <f t="shared" si="23"/>
        <v>FALSE</v>
      </c>
      <c r="Q157" s="8" t="str">
        <f t="shared" si="24"/>
        <v>FALSE</v>
      </c>
      <c r="R157" s="9" t="b">
        <f t="shared" si="25"/>
        <v>1</v>
      </c>
      <c r="S157" s="8" t="b">
        <f t="shared" si="26"/>
        <v>0</v>
      </c>
      <c r="T157" s="10" t="b">
        <f t="shared" si="27"/>
        <v>0</v>
      </c>
      <c r="U157" s="8" t="str">
        <f t="shared" si="28"/>
        <v>FALSE</v>
      </c>
      <c r="V157" s="11" t="str">
        <f t="shared" si="29"/>
        <v>TRUE</v>
      </c>
    </row>
    <row r="158" spans="1:22" ht="15.75">
      <c r="A158" s="21">
        <v>156</v>
      </c>
      <c r="B158" s="5" t="s">
        <v>503</v>
      </c>
      <c r="C158" s="23" t="s">
        <v>3675</v>
      </c>
      <c r="D158" s="23" t="s">
        <v>59</v>
      </c>
      <c r="E158" s="5" t="s">
        <v>504</v>
      </c>
      <c r="F158" s="71" t="s">
        <v>6101</v>
      </c>
      <c r="G158" s="22" t="s">
        <v>3934</v>
      </c>
      <c r="H158" s="5" t="s">
        <v>13</v>
      </c>
      <c r="I158" s="5" t="s">
        <v>56</v>
      </c>
      <c r="J158" s="5" t="s">
        <v>5276</v>
      </c>
      <c r="K158" s="5" t="s">
        <v>505</v>
      </c>
      <c r="L158" s="22"/>
      <c r="M158" s="8" t="str">
        <f t="shared" si="20"/>
        <v>Ok</v>
      </c>
      <c r="N158" s="9" t="b">
        <f t="shared" si="21"/>
        <v>1</v>
      </c>
      <c r="O158" s="9" t="b">
        <f t="shared" si="22"/>
        <v>1</v>
      </c>
      <c r="P158" s="8" t="str">
        <f t="shared" si="23"/>
        <v>FALSE</v>
      </c>
      <c r="Q158" s="8" t="str">
        <f t="shared" si="24"/>
        <v>FALSE</v>
      </c>
      <c r="R158" s="9" t="b">
        <f t="shared" si="25"/>
        <v>0</v>
      </c>
      <c r="S158" s="8" t="b">
        <f t="shared" si="26"/>
        <v>0</v>
      </c>
      <c r="T158" s="10" t="b">
        <f t="shared" si="27"/>
        <v>1</v>
      </c>
      <c r="U158" s="8" t="str">
        <f t="shared" si="28"/>
        <v>TRUE</v>
      </c>
      <c r="V158" s="11" t="str">
        <f t="shared" si="29"/>
        <v>TRUE</v>
      </c>
    </row>
    <row r="159" spans="1:22" ht="15.75">
      <c r="A159" s="21">
        <v>157</v>
      </c>
      <c r="B159" s="5" t="s">
        <v>506</v>
      </c>
      <c r="C159" s="23" t="s">
        <v>3676</v>
      </c>
      <c r="D159" s="23" t="s">
        <v>17</v>
      </c>
      <c r="E159" s="5" t="s">
        <v>507</v>
      </c>
      <c r="F159" s="71" t="s">
        <v>6102</v>
      </c>
      <c r="G159" s="22" t="s">
        <v>3934</v>
      </c>
      <c r="H159" s="5" t="s">
        <v>13</v>
      </c>
      <c r="I159" s="5" t="s">
        <v>67</v>
      </c>
      <c r="J159" s="5" t="s">
        <v>5097</v>
      </c>
      <c r="K159" s="5">
        <v>89881253111</v>
      </c>
      <c r="L159" s="22"/>
      <c r="M159" s="8" t="str">
        <f t="shared" si="20"/>
        <v>Ok</v>
      </c>
      <c r="N159" s="9" t="b">
        <f t="shared" si="21"/>
        <v>1</v>
      </c>
      <c r="O159" s="9" t="b">
        <f t="shared" si="22"/>
        <v>1</v>
      </c>
      <c r="P159" s="8" t="str">
        <f t="shared" si="23"/>
        <v>FALSE</v>
      </c>
      <c r="Q159" s="8" t="str">
        <f t="shared" si="24"/>
        <v>FALSE</v>
      </c>
      <c r="R159" s="9" t="b">
        <f t="shared" si="25"/>
        <v>0</v>
      </c>
      <c r="S159" s="8" t="b">
        <f t="shared" si="26"/>
        <v>0</v>
      </c>
      <c r="T159" s="10" t="b">
        <f t="shared" si="27"/>
        <v>0</v>
      </c>
      <c r="U159" s="8" t="str">
        <f t="shared" si="28"/>
        <v>TRUE</v>
      </c>
      <c r="V159" s="11" t="str">
        <f t="shared" si="29"/>
        <v>FALSE</v>
      </c>
    </row>
    <row r="160" spans="1:22" ht="15.75">
      <c r="A160" s="21">
        <v>158</v>
      </c>
      <c r="B160" s="5" t="s">
        <v>508</v>
      </c>
      <c r="C160" s="23" t="s">
        <v>3123</v>
      </c>
      <c r="D160" s="23" t="s">
        <v>34</v>
      </c>
      <c r="E160" s="5" t="s">
        <v>509</v>
      </c>
      <c r="F160" s="71" t="s">
        <v>6102</v>
      </c>
      <c r="G160" s="22" t="s">
        <v>179</v>
      </c>
      <c r="H160" s="22" t="s">
        <v>179</v>
      </c>
      <c r="I160" s="5" t="s">
        <v>21</v>
      </c>
      <c r="J160" s="5" t="s">
        <v>5316</v>
      </c>
      <c r="K160" s="5" t="s">
        <v>510</v>
      </c>
      <c r="L160" s="22"/>
      <c r="M160" s="8" t="str">
        <f t="shared" si="20"/>
        <v>Ok</v>
      </c>
      <c r="N160" s="9" t="b">
        <f t="shared" si="21"/>
        <v>0</v>
      </c>
      <c r="O160" s="9" t="b">
        <f t="shared" si="22"/>
        <v>0</v>
      </c>
      <c r="P160" s="8" t="str">
        <f t="shared" si="23"/>
        <v>FALSE</v>
      </c>
      <c r="Q160" s="8" t="str">
        <f t="shared" si="24"/>
        <v>FALSE</v>
      </c>
      <c r="R160" s="9" t="b">
        <f t="shared" si="25"/>
        <v>1</v>
      </c>
      <c r="S160" s="8" t="b">
        <f t="shared" si="26"/>
        <v>1</v>
      </c>
      <c r="T160" s="10" t="b">
        <f t="shared" si="27"/>
        <v>0</v>
      </c>
      <c r="U160" s="8" t="str">
        <f t="shared" si="28"/>
        <v>TRUE</v>
      </c>
      <c r="V160" s="11" t="str">
        <f t="shared" si="29"/>
        <v>TRUE</v>
      </c>
    </row>
    <row r="161" spans="1:22" ht="15.75">
      <c r="A161" s="21">
        <v>159</v>
      </c>
      <c r="B161" s="5" t="s">
        <v>511</v>
      </c>
      <c r="C161" s="23" t="s">
        <v>3677</v>
      </c>
      <c r="D161" s="23" t="s">
        <v>59</v>
      </c>
      <c r="E161" s="5" t="s">
        <v>512</v>
      </c>
      <c r="F161" s="71" t="s">
        <v>6102</v>
      </c>
      <c r="G161" s="22" t="s">
        <v>3934</v>
      </c>
      <c r="H161" s="5" t="s">
        <v>13</v>
      </c>
      <c r="I161" s="5" t="s">
        <v>26</v>
      </c>
      <c r="J161" s="5" t="s">
        <v>5127</v>
      </c>
      <c r="K161" s="5" t="s">
        <v>513</v>
      </c>
      <c r="L161" s="22"/>
      <c r="M161" s="8" t="str">
        <f t="shared" si="20"/>
        <v>Ok</v>
      </c>
      <c r="N161" s="9" t="b">
        <f t="shared" si="21"/>
        <v>1</v>
      </c>
      <c r="O161" s="9" t="b">
        <f t="shared" si="22"/>
        <v>1</v>
      </c>
      <c r="P161" s="8" t="str">
        <f t="shared" si="23"/>
        <v>FALSE</v>
      </c>
      <c r="Q161" s="8" t="str">
        <f t="shared" si="24"/>
        <v>FALSE</v>
      </c>
      <c r="R161" s="9" t="b">
        <f t="shared" si="25"/>
        <v>0</v>
      </c>
      <c r="S161" s="8" t="b">
        <f t="shared" si="26"/>
        <v>0</v>
      </c>
      <c r="T161" s="10" t="b">
        <f t="shared" si="27"/>
        <v>0</v>
      </c>
      <c r="U161" s="8" t="str">
        <f t="shared" si="28"/>
        <v>TRUE</v>
      </c>
      <c r="V161" s="11" t="str">
        <f t="shared" si="29"/>
        <v>TRUE</v>
      </c>
    </row>
    <row r="162" spans="1:22" ht="15.75">
      <c r="A162" s="21">
        <v>160</v>
      </c>
      <c r="B162" s="5" t="s">
        <v>514</v>
      </c>
      <c r="C162" s="23" t="s">
        <v>3678</v>
      </c>
      <c r="D162" s="23" t="s">
        <v>17</v>
      </c>
      <c r="E162" s="5" t="s">
        <v>515</v>
      </c>
      <c r="F162" s="71" t="s">
        <v>6102</v>
      </c>
      <c r="G162" s="22" t="s">
        <v>3934</v>
      </c>
      <c r="H162" s="5" t="s">
        <v>13</v>
      </c>
      <c r="I162" s="5" t="s">
        <v>50</v>
      </c>
      <c r="J162" s="5" t="s">
        <v>5059</v>
      </c>
      <c r="K162" s="5" t="s">
        <v>516</v>
      </c>
      <c r="L162" s="22"/>
      <c r="M162" s="8" t="str">
        <f t="shared" si="20"/>
        <v>Ok</v>
      </c>
      <c r="N162" s="9" t="b">
        <f t="shared" si="21"/>
        <v>1</v>
      </c>
      <c r="O162" s="9" t="b">
        <f t="shared" si="22"/>
        <v>1</v>
      </c>
      <c r="P162" s="8" t="str">
        <f t="shared" si="23"/>
        <v>FALSE</v>
      </c>
      <c r="Q162" s="8" t="str">
        <f t="shared" si="24"/>
        <v>FALSE</v>
      </c>
      <c r="R162" s="9" t="b">
        <f t="shared" si="25"/>
        <v>0</v>
      </c>
      <c r="S162" s="8" t="b">
        <f t="shared" si="26"/>
        <v>0</v>
      </c>
      <c r="T162" s="10" t="b">
        <f t="shared" si="27"/>
        <v>0</v>
      </c>
      <c r="U162" s="8" t="str">
        <f t="shared" si="28"/>
        <v>TRUE</v>
      </c>
      <c r="V162" s="11" t="str">
        <f t="shared" si="29"/>
        <v>TRUE</v>
      </c>
    </row>
    <row r="163" spans="1:22" ht="15.75">
      <c r="A163" s="21">
        <v>161</v>
      </c>
      <c r="B163" s="5" t="s">
        <v>517</v>
      </c>
      <c r="C163" s="23" t="s">
        <v>3339</v>
      </c>
      <c r="D163" s="23" t="s">
        <v>34</v>
      </c>
      <c r="E163" s="5" t="s">
        <v>518</v>
      </c>
      <c r="F163" s="71" t="s">
        <v>6102</v>
      </c>
      <c r="G163" s="22" t="s">
        <v>3933</v>
      </c>
      <c r="H163" s="5" t="s">
        <v>3932</v>
      </c>
      <c r="I163" s="5" t="s">
        <v>67</v>
      </c>
      <c r="J163" s="5" t="s">
        <v>4805</v>
      </c>
      <c r="K163" s="5">
        <v>805677688</v>
      </c>
      <c r="L163" s="22"/>
      <c r="M163" s="8" t="str">
        <f t="shared" si="20"/>
        <v>Ok</v>
      </c>
      <c r="N163" s="9" t="b">
        <f t="shared" si="21"/>
        <v>1</v>
      </c>
      <c r="O163" s="9" t="b">
        <f t="shared" si="22"/>
        <v>0</v>
      </c>
      <c r="P163" s="8" t="str">
        <f t="shared" si="23"/>
        <v>FALSE</v>
      </c>
      <c r="Q163" s="8" t="str">
        <f t="shared" si="24"/>
        <v>FALSE</v>
      </c>
      <c r="R163" s="9" t="b">
        <f t="shared" si="25"/>
        <v>0</v>
      </c>
      <c r="S163" s="8" t="b">
        <f t="shared" si="26"/>
        <v>0</v>
      </c>
      <c r="T163" s="10" t="b">
        <f t="shared" si="27"/>
        <v>0</v>
      </c>
      <c r="U163" s="8" t="str">
        <f t="shared" si="28"/>
        <v>TRUE</v>
      </c>
      <c r="V163" s="11" t="str">
        <f t="shared" si="29"/>
        <v>FALSE</v>
      </c>
    </row>
    <row r="164" spans="1:22" ht="15.75">
      <c r="A164" s="21">
        <v>162</v>
      </c>
      <c r="B164" s="5" t="s">
        <v>519</v>
      </c>
      <c r="C164" s="23" t="s">
        <v>3209</v>
      </c>
      <c r="D164" s="23" t="s">
        <v>34</v>
      </c>
      <c r="E164" s="5" t="s">
        <v>520</v>
      </c>
      <c r="F164" s="71" t="s">
        <v>6102</v>
      </c>
      <c r="G164" s="22" t="s">
        <v>179</v>
      </c>
      <c r="H164" s="5" t="s">
        <v>3932</v>
      </c>
      <c r="I164" s="5" t="s">
        <v>21</v>
      </c>
      <c r="J164" s="5" t="s">
        <v>5115</v>
      </c>
      <c r="K164" s="5" t="s">
        <v>521</v>
      </c>
      <c r="L164" s="22"/>
      <c r="M164" s="8" t="str">
        <f t="shared" si="20"/>
        <v>Ok</v>
      </c>
      <c r="N164" s="9" t="b">
        <f t="shared" si="21"/>
        <v>1</v>
      </c>
      <c r="O164" s="9" t="b">
        <f t="shared" si="22"/>
        <v>0</v>
      </c>
      <c r="P164" s="8" t="str">
        <f t="shared" si="23"/>
        <v>FALSE</v>
      </c>
      <c r="Q164" s="8" t="str">
        <f t="shared" si="24"/>
        <v>FALSE</v>
      </c>
      <c r="R164" s="9" t="b">
        <f t="shared" si="25"/>
        <v>1</v>
      </c>
      <c r="S164" s="8" t="b">
        <f t="shared" si="26"/>
        <v>0</v>
      </c>
      <c r="T164" s="10" t="b">
        <f t="shared" si="27"/>
        <v>0</v>
      </c>
      <c r="U164" s="8" t="str">
        <f t="shared" si="28"/>
        <v>TRUE</v>
      </c>
      <c r="V164" s="11" t="str">
        <f t="shared" si="29"/>
        <v>FALSE</v>
      </c>
    </row>
    <row r="165" spans="1:22" ht="15.75">
      <c r="A165" s="21">
        <v>163</v>
      </c>
      <c r="B165" s="5" t="s">
        <v>522</v>
      </c>
      <c r="C165" s="23" t="s">
        <v>3287</v>
      </c>
      <c r="D165" s="23" t="s">
        <v>77</v>
      </c>
      <c r="E165" s="5" t="s">
        <v>523</v>
      </c>
      <c r="F165" s="71" t="s">
        <v>6102</v>
      </c>
      <c r="G165" s="22" t="s">
        <v>179</v>
      </c>
      <c r="H165" s="5" t="s">
        <v>3932</v>
      </c>
      <c r="I165" s="5" t="s">
        <v>67</v>
      </c>
      <c r="J165" s="5" t="s">
        <v>4851</v>
      </c>
      <c r="K165" s="5" t="s">
        <v>524</v>
      </c>
      <c r="L165" s="22"/>
      <c r="M165" s="8" t="str">
        <f t="shared" si="20"/>
        <v>Ok</v>
      </c>
      <c r="N165" s="9" t="b">
        <f t="shared" si="21"/>
        <v>1</v>
      </c>
      <c r="O165" s="9" t="b">
        <f t="shared" si="22"/>
        <v>0</v>
      </c>
      <c r="P165" s="8" t="str">
        <f t="shared" si="23"/>
        <v>FALSE</v>
      </c>
      <c r="Q165" s="8" t="str">
        <f t="shared" si="24"/>
        <v>FALSE</v>
      </c>
      <c r="R165" s="9" t="b">
        <f t="shared" si="25"/>
        <v>1</v>
      </c>
      <c r="S165" s="8" t="b">
        <f t="shared" si="26"/>
        <v>0</v>
      </c>
      <c r="T165" s="10" t="b">
        <f t="shared" si="27"/>
        <v>0</v>
      </c>
      <c r="U165" s="8" t="str">
        <f t="shared" si="28"/>
        <v>TRUE</v>
      </c>
      <c r="V165" s="11" t="str">
        <f t="shared" si="29"/>
        <v>TRUE</v>
      </c>
    </row>
    <row r="166" spans="1:22" ht="15.75">
      <c r="A166" s="21">
        <v>164</v>
      </c>
      <c r="B166" s="5" t="s">
        <v>525</v>
      </c>
      <c r="C166" s="23" t="s">
        <v>2994</v>
      </c>
      <c r="D166" s="23" t="s">
        <v>34</v>
      </c>
      <c r="E166" s="5" t="s">
        <v>526</v>
      </c>
      <c r="F166" s="71" t="s">
        <v>6102</v>
      </c>
      <c r="G166" s="22" t="s">
        <v>179</v>
      </c>
      <c r="H166" s="5" t="s">
        <v>3932</v>
      </c>
      <c r="I166" s="5" t="s">
        <v>67</v>
      </c>
      <c r="J166" s="5" t="s">
        <v>5197</v>
      </c>
      <c r="K166" s="5" t="s">
        <v>527</v>
      </c>
      <c r="L166" s="22"/>
      <c r="M166" s="8" t="str">
        <f t="shared" si="20"/>
        <v>Ok</v>
      </c>
      <c r="N166" s="9" t="b">
        <f t="shared" si="21"/>
        <v>0</v>
      </c>
      <c r="O166" s="9" t="b">
        <f t="shared" si="22"/>
        <v>0</v>
      </c>
      <c r="P166" s="8" t="str">
        <f t="shared" si="23"/>
        <v>FALSE</v>
      </c>
      <c r="Q166" s="8" t="str">
        <f t="shared" si="24"/>
        <v>FALSE</v>
      </c>
      <c r="R166" s="9" t="b">
        <f t="shared" si="25"/>
        <v>1</v>
      </c>
      <c r="S166" s="8" t="b">
        <f t="shared" si="26"/>
        <v>0</v>
      </c>
      <c r="T166" s="10" t="b">
        <f t="shared" si="27"/>
        <v>0</v>
      </c>
      <c r="U166" s="8" t="str">
        <f t="shared" si="28"/>
        <v>TRUE</v>
      </c>
      <c r="V166" s="11" t="str">
        <f t="shared" si="29"/>
        <v>TRUE</v>
      </c>
    </row>
    <row r="167" spans="1:22" ht="15.75">
      <c r="A167" s="21">
        <v>165</v>
      </c>
      <c r="B167" s="5" t="s">
        <v>528</v>
      </c>
      <c r="C167" s="23" t="s">
        <v>3288</v>
      </c>
      <c r="D167" s="23" t="s">
        <v>77</v>
      </c>
      <c r="E167" s="5" t="s">
        <v>529</v>
      </c>
      <c r="F167" s="71" t="s">
        <v>6102</v>
      </c>
      <c r="G167" s="22" t="s">
        <v>179</v>
      </c>
      <c r="H167" s="5" t="s">
        <v>3932</v>
      </c>
      <c r="I167" s="5" t="s">
        <v>50</v>
      </c>
      <c r="J167" s="5" t="s">
        <v>5363</v>
      </c>
      <c r="K167" s="5" t="s">
        <v>530</v>
      </c>
      <c r="L167" s="22"/>
      <c r="M167" s="8" t="str">
        <f t="shared" si="20"/>
        <v>Ok</v>
      </c>
      <c r="N167" s="9" t="b">
        <f t="shared" si="21"/>
        <v>1</v>
      </c>
      <c r="O167" s="9" t="b">
        <f t="shared" si="22"/>
        <v>0</v>
      </c>
      <c r="P167" s="8" t="str">
        <f t="shared" si="23"/>
        <v>FALSE</v>
      </c>
      <c r="Q167" s="8" t="str">
        <f t="shared" si="24"/>
        <v>FALSE</v>
      </c>
      <c r="R167" s="9" t="b">
        <f t="shared" si="25"/>
        <v>1</v>
      </c>
      <c r="S167" s="8" t="b">
        <f t="shared" si="26"/>
        <v>0</v>
      </c>
      <c r="T167" s="10" t="b">
        <f t="shared" si="27"/>
        <v>0</v>
      </c>
      <c r="U167" s="8" t="str">
        <f t="shared" si="28"/>
        <v>TRUE</v>
      </c>
      <c r="V167" s="11" t="str">
        <f t="shared" si="29"/>
        <v>FALSE</v>
      </c>
    </row>
    <row r="168" spans="1:22" ht="15.75">
      <c r="A168" s="21">
        <v>166</v>
      </c>
      <c r="B168" s="5" t="s">
        <v>531</v>
      </c>
      <c r="C168" s="23" t="s">
        <v>3876</v>
      </c>
      <c r="D168" s="23" t="s">
        <v>17</v>
      </c>
      <c r="E168" s="5" t="s">
        <v>532</v>
      </c>
      <c r="F168" s="71" t="s">
        <v>6102</v>
      </c>
      <c r="G168" s="22" t="s">
        <v>119</v>
      </c>
      <c r="H168" s="5" t="s">
        <v>86</v>
      </c>
      <c r="I168" s="5" t="s">
        <v>14</v>
      </c>
      <c r="J168" s="5" t="s">
        <v>4844</v>
      </c>
      <c r="K168" s="5" t="s">
        <v>533</v>
      </c>
      <c r="L168" s="22"/>
      <c r="M168" s="8" t="str">
        <f t="shared" si="20"/>
        <v>Ok</v>
      </c>
      <c r="N168" s="9" t="b">
        <f t="shared" si="21"/>
        <v>0</v>
      </c>
      <c r="O168" s="9" t="b">
        <f t="shared" si="22"/>
        <v>1</v>
      </c>
      <c r="P168" s="8" t="str">
        <f t="shared" si="23"/>
        <v>FALSE</v>
      </c>
      <c r="Q168" s="8" t="str">
        <f t="shared" si="24"/>
        <v>FALSE</v>
      </c>
      <c r="R168" s="9" t="b">
        <f t="shared" si="25"/>
        <v>0</v>
      </c>
      <c r="S168" s="8" t="b">
        <f t="shared" si="26"/>
        <v>0</v>
      </c>
      <c r="T168" s="10" t="b">
        <f t="shared" si="27"/>
        <v>1</v>
      </c>
      <c r="U168" s="8" t="str">
        <f t="shared" si="28"/>
        <v>TRUE</v>
      </c>
      <c r="V168" s="11" t="str">
        <f t="shared" si="29"/>
        <v>TRUE</v>
      </c>
    </row>
    <row r="169" spans="1:22" ht="15.75">
      <c r="A169" s="21">
        <v>167</v>
      </c>
      <c r="B169" s="5" t="s">
        <v>534</v>
      </c>
      <c r="C169" s="23" t="s">
        <v>3592</v>
      </c>
      <c r="D169" s="23" t="s">
        <v>59</v>
      </c>
      <c r="E169" s="5" t="s">
        <v>535</v>
      </c>
      <c r="F169" s="71" t="s">
        <v>6102</v>
      </c>
      <c r="G169" s="22" t="s">
        <v>160</v>
      </c>
      <c r="H169" s="5" t="s">
        <v>13</v>
      </c>
      <c r="I169" s="5" t="s">
        <v>67</v>
      </c>
      <c r="J169" s="5" t="s">
        <v>5555</v>
      </c>
      <c r="K169" s="5" t="s">
        <v>536</v>
      </c>
      <c r="L169" s="22"/>
      <c r="M169" s="8" t="str">
        <f t="shared" si="20"/>
        <v>Ok</v>
      </c>
      <c r="N169" s="9" t="b">
        <f t="shared" si="21"/>
        <v>1</v>
      </c>
      <c r="O169" s="9" t="b">
        <f t="shared" si="22"/>
        <v>1</v>
      </c>
      <c r="P169" s="8" t="str">
        <f t="shared" si="23"/>
        <v>FALSE</v>
      </c>
      <c r="Q169" s="8" t="str">
        <f t="shared" si="24"/>
        <v>FALSE</v>
      </c>
      <c r="R169" s="9" t="b">
        <f t="shared" si="25"/>
        <v>0</v>
      </c>
      <c r="S169" s="8" t="b">
        <f t="shared" si="26"/>
        <v>0</v>
      </c>
      <c r="T169" s="10" t="b">
        <f t="shared" si="27"/>
        <v>0</v>
      </c>
      <c r="U169" s="8" t="str">
        <f t="shared" si="28"/>
        <v>FALSE</v>
      </c>
      <c r="V169" s="11" t="str">
        <f t="shared" si="29"/>
        <v>TRUE</v>
      </c>
    </row>
    <row r="170" spans="1:22" ht="15.75">
      <c r="A170" s="21">
        <v>168</v>
      </c>
      <c r="B170" s="5" t="s">
        <v>537</v>
      </c>
      <c r="C170" s="23" t="s">
        <v>3547</v>
      </c>
      <c r="D170" s="23" t="s">
        <v>77</v>
      </c>
      <c r="E170" s="5" t="s">
        <v>538</v>
      </c>
      <c r="F170" s="71" t="s">
        <v>6102</v>
      </c>
      <c r="G170" s="22" t="s">
        <v>12</v>
      </c>
      <c r="H170" s="5" t="s">
        <v>36</v>
      </c>
      <c r="I170" s="5" t="s">
        <v>56</v>
      </c>
      <c r="J170" s="5" t="s">
        <v>4846</v>
      </c>
      <c r="K170" s="5">
        <v>83968334433</v>
      </c>
      <c r="L170" s="22"/>
      <c r="M170" s="8" t="str">
        <f t="shared" si="20"/>
        <v>Ok</v>
      </c>
      <c r="N170" s="9" t="b">
        <f t="shared" si="21"/>
        <v>1</v>
      </c>
      <c r="O170" s="9" t="b">
        <f t="shared" si="22"/>
        <v>0</v>
      </c>
      <c r="P170" s="8" t="str">
        <f t="shared" si="23"/>
        <v>FALSE</v>
      </c>
      <c r="Q170" s="8" t="str">
        <f t="shared" si="24"/>
        <v>FALSE</v>
      </c>
      <c r="R170" s="9" t="b">
        <f t="shared" si="25"/>
        <v>1</v>
      </c>
      <c r="S170" s="8" t="b">
        <f t="shared" si="26"/>
        <v>1</v>
      </c>
      <c r="T170" s="10" t="b">
        <f t="shared" si="27"/>
        <v>1</v>
      </c>
      <c r="U170" s="8" t="str">
        <f t="shared" si="28"/>
        <v>TRUE</v>
      </c>
      <c r="V170" s="11" t="str">
        <f t="shared" si="29"/>
        <v>FALSE</v>
      </c>
    </row>
    <row r="171" spans="1:22" ht="15.75">
      <c r="A171" s="21">
        <v>169</v>
      </c>
      <c r="B171" s="5" t="s">
        <v>539</v>
      </c>
      <c r="C171" s="23" t="s">
        <v>3593</v>
      </c>
      <c r="D171" s="23" t="s">
        <v>59</v>
      </c>
      <c r="E171" s="5" t="s">
        <v>540</v>
      </c>
      <c r="F171" s="71" t="s">
        <v>6102</v>
      </c>
      <c r="G171" s="22" t="s">
        <v>160</v>
      </c>
      <c r="H171" s="5" t="s">
        <v>36</v>
      </c>
      <c r="I171" s="5" t="s">
        <v>26</v>
      </c>
      <c r="J171" s="5" t="s">
        <v>4865</v>
      </c>
      <c r="K171" s="5" t="s">
        <v>541</v>
      </c>
      <c r="L171" s="22"/>
      <c r="M171" s="8" t="str">
        <f t="shared" si="20"/>
        <v>Ok</v>
      </c>
      <c r="N171" s="9" t="b">
        <f t="shared" si="21"/>
        <v>1</v>
      </c>
      <c r="O171" s="9" t="b">
        <f t="shared" si="22"/>
        <v>1</v>
      </c>
      <c r="P171" s="8" t="str">
        <f t="shared" si="23"/>
        <v>FALSE</v>
      </c>
      <c r="Q171" s="8" t="str">
        <f t="shared" si="24"/>
        <v>FALSE</v>
      </c>
      <c r="R171" s="9" t="b">
        <f t="shared" si="25"/>
        <v>0</v>
      </c>
      <c r="S171" s="8" t="b">
        <f t="shared" si="26"/>
        <v>1</v>
      </c>
      <c r="T171" s="10" t="b">
        <f t="shared" si="27"/>
        <v>0</v>
      </c>
      <c r="U171" s="8" t="str">
        <f t="shared" si="28"/>
        <v>TRUE</v>
      </c>
      <c r="V171" s="11" t="str">
        <f t="shared" si="29"/>
        <v>TRUE</v>
      </c>
    </row>
    <row r="172" spans="1:22" ht="15.75">
      <c r="A172" s="21">
        <v>170</v>
      </c>
      <c r="B172" s="5" t="s">
        <v>542</v>
      </c>
      <c r="C172" s="23" t="s">
        <v>3548</v>
      </c>
      <c r="D172" s="23" t="s">
        <v>77</v>
      </c>
      <c r="E172" s="5" t="s">
        <v>543</v>
      </c>
      <c r="F172" s="71" t="s">
        <v>6102</v>
      </c>
      <c r="G172" s="22" t="s">
        <v>12</v>
      </c>
      <c r="H172" s="5" t="s">
        <v>36</v>
      </c>
      <c r="I172" s="5" t="s">
        <v>67</v>
      </c>
      <c r="J172" s="5" t="s">
        <v>5124</v>
      </c>
      <c r="K172" s="5" t="s">
        <v>544</v>
      </c>
      <c r="L172" s="22"/>
      <c r="M172" s="8" t="str">
        <f t="shared" si="20"/>
        <v>Ok</v>
      </c>
      <c r="N172" s="9" t="b">
        <f t="shared" si="21"/>
        <v>1</v>
      </c>
      <c r="O172" s="9" t="b">
        <f t="shared" si="22"/>
        <v>0</v>
      </c>
      <c r="P172" s="8" t="str">
        <f t="shared" si="23"/>
        <v>FALSE</v>
      </c>
      <c r="Q172" s="8" t="str">
        <f t="shared" si="24"/>
        <v>FALSE</v>
      </c>
      <c r="R172" s="9" t="b">
        <f t="shared" si="25"/>
        <v>1</v>
      </c>
      <c r="S172" s="8" t="b">
        <f t="shared" si="26"/>
        <v>1</v>
      </c>
      <c r="T172" s="10" t="b">
        <f t="shared" si="27"/>
        <v>0</v>
      </c>
      <c r="U172" s="8" t="str">
        <f t="shared" si="28"/>
        <v>TRUE</v>
      </c>
      <c r="V172" s="11" t="str">
        <f t="shared" si="29"/>
        <v>TRUE</v>
      </c>
    </row>
    <row r="173" spans="1:22" ht="15.75">
      <c r="A173" s="21">
        <v>171</v>
      </c>
      <c r="B173" s="5" t="s">
        <v>545</v>
      </c>
      <c r="C173" s="23" t="s">
        <v>3549</v>
      </c>
      <c r="D173" s="23" t="s">
        <v>77</v>
      </c>
      <c r="E173" s="5" t="s">
        <v>546</v>
      </c>
      <c r="F173" s="71" t="s">
        <v>6102</v>
      </c>
      <c r="G173" s="22" t="s">
        <v>12</v>
      </c>
      <c r="H173" s="5" t="s">
        <v>13</v>
      </c>
      <c r="I173" s="5" t="s">
        <v>50</v>
      </c>
      <c r="J173" s="5" t="s">
        <v>5422</v>
      </c>
      <c r="K173" s="5" t="s">
        <v>547</v>
      </c>
      <c r="L173" s="22"/>
      <c r="M173" s="8" t="str">
        <f t="shared" si="20"/>
        <v>Ok</v>
      </c>
      <c r="N173" s="9" t="b">
        <f t="shared" si="21"/>
        <v>1</v>
      </c>
      <c r="O173" s="9" t="b">
        <f t="shared" si="22"/>
        <v>0</v>
      </c>
      <c r="P173" s="8" t="str">
        <f t="shared" si="23"/>
        <v>FALSE</v>
      </c>
      <c r="Q173" s="8" t="str">
        <f t="shared" si="24"/>
        <v>FALSE</v>
      </c>
      <c r="R173" s="9" t="b">
        <f t="shared" si="25"/>
        <v>1</v>
      </c>
      <c r="S173" s="8" t="b">
        <f t="shared" si="26"/>
        <v>0</v>
      </c>
      <c r="T173" s="10" t="b">
        <f t="shared" si="27"/>
        <v>0</v>
      </c>
      <c r="U173" s="8" t="str">
        <f t="shared" si="28"/>
        <v>TRUE</v>
      </c>
      <c r="V173" s="11" t="str">
        <f t="shared" si="29"/>
        <v>TRUE</v>
      </c>
    </row>
    <row r="174" spans="1:22" ht="15.75">
      <c r="A174" s="21">
        <v>172</v>
      </c>
      <c r="B174" s="5" t="s">
        <v>548</v>
      </c>
      <c r="C174" s="23" t="s">
        <v>3210</v>
      </c>
      <c r="D174" s="23" t="s">
        <v>34</v>
      </c>
      <c r="E174" s="5" t="s">
        <v>549</v>
      </c>
      <c r="F174" s="71" t="s">
        <v>6102</v>
      </c>
      <c r="G174" s="22" t="s">
        <v>179</v>
      </c>
      <c r="H174" s="5" t="s">
        <v>3932</v>
      </c>
      <c r="I174" s="5" t="s">
        <v>21</v>
      </c>
      <c r="J174" s="5" t="s">
        <v>5136</v>
      </c>
      <c r="K174" s="5" t="s">
        <v>550</v>
      </c>
      <c r="L174" s="22"/>
      <c r="M174" s="8" t="str">
        <f t="shared" si="20"/>
        <v>Ok</v>
      </c>
      <c r="N174" s="9" t="b">
        <f t="shared" si="21"/>
        <v>1</v>
      </c>
      <c r="O174" s="9" t="b">
        <f t="shared" si="22"/>
        <v>0</v>
      </c>
      <c r="P174" s="8" t="str">
        <f t="shared" si="23"/>
        <v>FALSE</v>
      </c>
      <c r="Q174" s="8" t="str">
        <f t="shared" si="24"/>
        <v>FALSE</v>
      </c>
      <c r="R174" s="9" t="b">
        <f t="shared" si="25"/>
        <v>1</v>
      </c>
      <c r="S174" s="8" t="b">
        <f t="shared" si="26"/>
        <v>0</v>
      </c>
      <c r="T174" s="10" t="b">
        <f t="shared" si="27"/>
        <v>0</v>
      </c>
      <c r="U174" s="8" t="str">
        <f t="shared" si="28"/>
        <v>TRUE</v>
      </c>
      <c r="V174" s="11" t="str">
        <f t="shared" si="29"/>
        <v>TRUE</v>
      </c>
    </row>
    <row r="175" spans="1:22" ht="15.75">
      <c r="A175" s="21">
        <v>173</v>
      </c>
      <c r="B175" s="5" t="s">
        <v>551</v>
      </c>
      <c r="C175" s="23" t="s">
        <v>3081</v>
      </c>
      <c r="D175" s="23" t="s">
        <v>77</v>
      </c>
      <c r="E175" s="5" t="s">
        <v>552</v>
      </c>
      <c r="F175" s="71" t="s">
        <v>6102</v>
      </c>
      <c r="G175" s="22" t="s">
        <v>179</v>
      </c>
      <c r="H175" s="22" t="s">
        <v>3932</v>
      </c>
      <c r="I175" s="5" t="s">
        <v>67</v>
      </c>
      <c r="J175" s="5" t="s">
        <v>5720</v>
      </c>
      <c r="K175" s="5" t="s">
        <v>553</v>
      </c>
      <c r="L175" s="22"/>
      <c r="M175" s="8" t="str">
        <f t="shared" si="20"/>
        <v>Ok</v>
      </c>
      <c r="N175" s="9" t="b">
        <f t="shared" si="21"/>
        <v>0</v>
      </c>
      <c r="O175" s="9" t="b">
        <f t="shared" si="22"/>
        <v>0</v>
      </c>
      <c r="P175" s="8" t="str">
        <f t="shared" si="23"/>
        <v>FALSE</v>
      </c>
      <c r="Q175" s="8" t="str">
        <f t="shared" si="24"/>
        <v>FALSE</v>
      </c>
      <c r="R175" s="9" t="b">
        <f t="shared" si="25"/>
        <v>1</v>
      </c>
      <c r="S175" s="8" t="b">
        <f t="shared" si="26"/>
        <v>0</v>
      </c>
      <c r="T175" s="10" t="b">
        <f t="shared" si="27"/>
        <v>0</v>
      </c>
      <c r="U175" s="8" t="str">
        <f t="shared" si="28"/>
        <v>FALSE</v>
      </c>
      <c r="V175" s="11" t="str">
        <f t="shared" si="29"/>
        <v>FALSE</v>
      </c>
    </row>
    <row r="176" spans="1:22" ht="15.75">
      <c r="A176" s="21">
        <v>174</v>
      </c>
      <c r="B176" s="5" t="s">
        <v>554</v>
      </c>
      <c r="C176" s="23" t="s">
        <v>3770</v>
      </c>
      <c r="D176" s="23" t="s">
        <v>17</v>
      </c>
      <c r="E176" s="5" t="s">
        <v>555</v>
      </c>
      <c r="F176" s="71" t="s">
        <v>6102</v>
      </c>
      <c r="G176" s="22" t="s">
        <v>24</v>
      </c>
      <c r="H176" s="5" t="s">
        <v>25</v>
      </c>
      <c r="I176" s="5" t="s">
        <v>56</v>
      </c>
      <c r="J176" s="5" t="s">
        <v>5138</v>
      </c>
      <c r="K176" s="5" t="s">
        <v>556</v>
      </c>
      <c r="L176" s="22"/>
      <c r="M176" s="8" t="str">
        <f t="shared" si="20"/>
        <v>Ok</v>
      </c>
      <c r="N176" s="9" t="b">
        <f t="shared" si="21"/>
        <v>0</v>
      </c>
      <c r="O176" s="9" t="b">
        <f t="shared" si="22"/>
        <v>1</v>
      </c>
      <c r="P176" s="8" t="str">
        <f t="shared" si="23"/>
        <v>FALSE</v>
      </c>
      <c r="Q176" s="8" t="str">
        <f t="shared" si="24"/>
        <v>FALSE</v>
      </c>
      <c r="R176" s="9" t="b">
        <f t="shared" si="25"/>
        <v>0</v>
      </c>
      <c r="S176" s="8" t="b">
        <f t="shared" si="26"/>
        <v>0</v>
      </c>
      <c r="T176" s="10" t="b">
        <f t="shared" si="27"/>
        <v>1</v>
      </c>
      <c r="U176" s="8" t="str">
        <f t="shared" si="28"/>
        <v>TRUE</v>
      </c>
      <c r="V176" s="11" t="str">
        <f t="shared" si="29"/>
        <v>TRUE</v>
      </c>
    </row>
    <row r="177" spans="1:22" ht="15.75">
      <c r="A177" s="21">
        <v>175</v>
      </c>
      <c r="B177" s="5" t="s">
        <v>557</v>
      </c>
      <c r="C177" s="23" t="s">
        <v>3211</v>
      </c>
      <c r="D177" s="23" t="s">
        <v>77</v>
      </c>
      <c r="E177" s="5" t="s">
        <v>558</v>
      </c>
      <c r="F177" s="71" t="s">
        <v>6102</v>
      </c>
      <c r="G177" s="22" t="s">
        <v>179</v>
      </c>
      <c r="H177" s="5" t="s">
        <v>3932</v>
      </c>
      <c r="I177" s="5" t="s">
        <v>50</v>
      </c>
      <c r="J177" s="5" t="s">
        <v>5488</v>
      </c>
      <c r="K177" s="5">
        <v>89756465511</v>
      </c>
      <c r="L177" s="22"/>
      <c r="M177" s="8" t="str">
        <f t="shared" si="20"/>
        <v>Ok</v>
      </c>
      <c r="N177" s="9" t="b">
        <f t="shared" si="21"/>
        <v>1</v>
      </c>
      <c r="O177" s="9" t="b">
        <f t="shared" si="22"/>
        <v>0</v>
      </c>
      <c r="P177" s="8" t="str">
        <f t="shared" si="23"/>
        <v>FALSE</v>
      </c>
      <c r="Q177" s="8" t="str">
        <f t="shared" si="24"/>
        <v>FALSE</v>
      </c>
      <c r="R177" s="9" t="b">
        <f t="shared" si="25"/>
        <v>1</v>
      </c>
      <c r="S177" s="8" t="b">
        <f t="shared" si="26"/>
        <v>0</v>
      </c>
      <c r="T177" s="10" t="b">
        <f t="shared" si="27"/>
        <v>0</v>
      </c>
      <c r="U177" s="8" t="str">
        <f t="shared" si="28"/>
        <v>FALSE</v>
      </c>
      <c r="V177" s="11" t="str">
        <f t="shared" si="29"/>
        <v>FALSE</v>
      </c>
    </row>
    <row r="178" spans="1:22" ht="15.75">
      <c r="A178" s="21">
        <v>176</v>
      </c>
      <c r="B178" s="5" t="s">
        <v>3942</v>
      </c>
      <c r="C178" s="23" t="s">
        <v>3124</v>
      </c>
      <c r="D178" s="23" t="s">
        <v>34</v>
      </c>
      <c r="E178" s="5" t="s">
        <v>559</v>
      </c>
      <c r="F178" s="71" t="s">
        <v>6102</v>
      </c>
      <c r="G178" s="22" t="s">
        <v>179</v>
      </c>
      <c r="H178" s="22" t="s">
        <v>179</v>
      </c>
      <c r="I178" s="5" t="s">
        <v>14</v>
      </c>
      <c r="J178" s="5" t="s">
        <v>5176</v>
      </c>
      <c r="K178" s="5" t="s">
        <v>560</v>
      </c>
      <c r="L178" s="22"/>
      <c r="M178" s="8" t="str">
        <f t="shared" si="20"/>
        <v>Ok</v>
      </c>
      <c r="N178" s="9" t="b">
        <f t="shared" si="21"/>
        <v>0</v>
      </c>
      <c r="O178" s="9" t="b">
        <f t="shared" si="22"/>
        <v>0</v>
      </c>
      <c r="P178" s="8" t="str">
        <f t="shared" si="23"/>
        <v>FALSE</v>
      </c>
      <c r="Q178" s="8" t="str">
        <f t="shared" si="24"/>
        <v>FALSE</v>
      </c>
      <c r="R178" s="9" t="b">
        <f t="shared" si="25"/>
        <v>1</v>
      </c>
      <c r="S178" s="8" t="b">
        <f t="shared" si="26"/>
        <v>1</v>
      </c>
      <c r="T178" s="10" t="b">
        <f t="shared" si="27"/>
        <v>1</v>
      </c>
      <c r="U178" s="8" t="str">
        <f t="shared" si="28"/>
        <v>TRUE</v>
      </c>
      <c r="V178" s="11" t="str">
        <f t="shared" si="29"/>
        <v>TRUE</v>
      </c>
    </row>
    <row r="179" spans="1:22" ht="15.75">
      <c r="A179" s="21">
        <v>177</v>
      </c>
      <c r="B179" s="5" t="s">
        <v>561</v>
      </c>
      <c r="C179" s="23" t="s">
        <v>3340</v>
      </c>
      <c r="D179" s="23" t="s">
        <v>34</v>
      </c>
      <c r="E179" s="5" t="s">
        <v>562</v>
      </c>
      <c r="F179" s="71" t="s">
        <v>6102</v>
      </c>
      <c r="G179" s="22" t="s">
        <v>3933</v>
      </c>
      <c r="H179" s="5" t="s">
        <v>3932</v>
      </c>
      <c r="I179" s="5" t="s">
        <v>56</v>
      </c>
      <c r="J179" s="5" t="s">
        <v>5074</v>
      </c>
      <c r="K179" s="5" t="s">
        <v>563</v>
      </c>
      <c r="L179" s="22"/>
      <c r="M179" s="8" t="str">
        <f t="shared" si="20"/>
        <v>Ok</v>
      </c>
      <c r="N179" s="9" t="b">
        <f t="shared" si="21"/>
        <v>1</v>
      </c>
      <c r="O179" s="9" t="b">
        <f t="shared" si="22"/>
        <v>0</v>
      </c>
      <c r="P179" s="8" t="str">
        <f t="shared" si="23"/>
        <v>FALSE</v>
      </c>
      <c r="Q179" s="8" t="str">
        <f t="shared" si="24"/>
        <v>FALSE</v>
      </c>
      <c r="R179" s="9" t="b">
        <f t="shared" si="25"/>
        <v>0</v>
      </c>
      <c r="S179" s="8" t="b">
        <f t="shared" si="26"/>
        <v>0</v>
      </c>
      <c r="T179" s="10" t="b">
        <f t="shared" si="27"/>
        <v>1</v>
      </c>
      <c r="U179" s="8" t="str">
        <f t="shared" si="28"/>
        <v>TRUE</v>
      </c>
      <c r="V179" s="11" t="str">
        <f t="shared" si="29"/>
        <v>TRUE</v>
      </c>
    </row>
    <row r="180" spans="1:22" ht="15.75">
      <c r="A180" s="21">
        <v>178</v>
      </c>
      <c r="B180" s="5" t="s">
        <v>564</v>
      </c>
      <c r="C180" s="23" t="s">
        <v>3877</v>
      </c>
      <c r="D180" s="23" t="s">
        <v>17</v>
      </c>
      <c r="E180" s="5" t="s">
        <v>565</v>
      </c>
      <c r="F180" s="71" t="s">
        <v>6102</v>
      </c>
      <c r="G180" s="22" t="s">
        <v>85</v>
      </c>
      <c r="H180" s="5" t="s">
        <v>120</v>
      </c>
      <c r="I180" s="5" t="s">
        <v>50</v>
      </c>
      <c r="J180" s="5" t="s">
        <v>5437</v>
      </c>
      <c r="K180" s="5" t="s">
        <v>566</v>
      </c>
      <c r="L180" s="22"/>
      <c r="M180" s="8" t="str">
        <f t="shared" si="20"/>
        <v>Ok</v>
      </c>
      <c r="N180" s="9" t="b">
        <f t="shared" si="21"/>
        <v>0</v>
      </c>
      <c r="O180" s="9" t="b">
        <f t="shared" si="22"/>
        <v>1</v>
      </c>
      <c r="P180" s="8" t="str">
        <f t="shared" si="23"/>
        <v>FALSE</v>
      </c>
      <c r="Q180" s="8" t="str">
        <f t="shared" si="24"/>
        <v>FALSE</v>
      </c>
      <c r="R180" s="9" t="b">
        <f t="shared" si="25"/>
        <v>1</v>
      </c>
      <c r="S180" s="8" t="b">
        <f t="shared" si="26"/>
        <v>1</v>
      </c>
      <c r="T180" s="10" t="b">
        <f t="shared" si="27"/>
        <v>0</v>
      </c>
      <c r="U180" s="8" t="str">
        <f t="shared" si="28"/>
        <v>TRUE</v>
      </c>
      <c r="V180" s="11" t="str">
        <f t="shared" si="29"/>
        <v>TRUE</v>
      </c>
    </row>
    <row r="181" spans="1:22" ht="15.75">
      <c r="A181" s="21">
        <v>179</v>
      </c>
      <c r="B181" s="5" t="s">
        <v>567</v>
      </c>
      <c r="C181" s="23" t="s">
        <v>2995</v>
      </c>
      <c r="D181" s="23" t="s">
        <v>34</v>
      </c>
      <c r="E181" s="5" t="s">
        <v>568</v>
      </c>
      <c r="F181" s="71" t="s">
        <v>6102</v>
      </c>
      <c r="G181" s="22" t="s">
        <v>179</v>
      </c>
      <c r="H181" s="5" t="s">
        <v>3932</v>
      </c>
      <c r="I181" s="5" t="s">
        <v>67</v>
      </c>
      <c r="J181" s="5" t="s">
        <v>5396</v>
      </c>
      <c r="K181" s="5" t="s">
        <v>569</v>
      </c>
      <c r="L181" s="22"/>
      <c r="M181" s="8" t="str">
        <f t="shared" si="20"/>
        <v>Ok</v>
      </c>
      <c r="N181" s="9" t="b">
        <f t="shared" si="21"/>
        <v>0</v>
      </c>
      <c r="O181" s="9" t="b">
        <f t="shared" si="22"/>
        <v>0</v>
      </c>
      <c r="P181" s="8" t="str">
        <f t="shared" si="23"/>
        <v>FALSE</v>
      </c>
      <c r="Q181" s="8" t="str">
        <f t="shared" si="24"/>
        <v>FALSE</v>
      </c>
      <c r="R181" s="9" t="b">
        <f t="shared" si="25"/>
        <v>1</v>
      </c>
      <c r="S181" s="8" t="b">
        <f t="shared" si="26"/>
        <v>0</v>
      </c>
      <c r="T181" s="10" t="b">
        <f t="shared" si="27"/>
        <v>0</v>
      </c>
      <c r="U181" s="8" t="str">
        <f t="shared" si="28"/>
        <v>TRUE</v>
      </c>
      <c r="V181" s="11" t="str">
        <f t="shared" si="29"/>
        <v>TRUE</v>
      </c>
    </row>
    <row r="182" spans="1:22" ht="15.75">
      <c r="A182" s="21">
        <v>180</v>
      </c>
      <c r="B182" s="5" t="s">
        <v>570</v>
      </c>
      <c r="C182" s="23" t="s">
        <v>3594</v>
      </c>
      <c r="D182" s="23" t="s">
        <v>59</v>
      </c>
      <c r="E182" s="5" t="s">
        <v>571</v>
      </c>
      <c r="F182" s="71" t="s">
        <v>6102</v>
      </c>
      <c r="G182" s="22" t="s">
        <v>160</v>
      </c>
      <c r="H182" s="5" t="s">
        <v>36</v>
      </c>
      <c r="I182" s="5" t="s">
        <v>50</v>
      </c>
      <c r="J182" s="5" t="s">
        <v>5444</v>
      </c>
      <c r="K182" s="5" t="s">
        <v>572</v>
      </c>
      <c r="L182" s="22"/>
      <c r="M182" s="8" t="str">
        <f t="shared" si="20"/>
        <v>Ok</v>
      </c>
      <c r="N182" s="9" t="b">
        <f t="shared" si="21"/>
        <v>1</v>
      </c>
      <c r="O182" s="9" t="b">
        <f t="shared" si="22"/>
        <v>1</v>
      </c>
      <c r="P182" s="8" t="str">
        <f t="shared" si="23"/>
        <v>FALSE</v>
      </c>
      <c r="Q182" s="8" t="str">
        <f t="shared" si="24"/>
        <v>FALSE</v>
      </c>
      <c r="R182" s="9" t="b">
        <f t="shared" si="25"/>
        <v>0</v>
      </c>
      <c r="S182" s="8" t="b">
        <f t="shared" si="26"/>
        <v>1</v>
      </c>
      <c r="T182" s="10" t="b">
        <f t="shared" si="27"/>
        <v>0</v>
      </c>
      <c r="U182" s="8" t="str">
        <f t="shared" si="28"/>
        <v>TRUE</v>
      </c>
      <c r="V182" s="11" t="str">
        <f t="shared" si="29"/>
        <v>TRUE</v>
      </c>
    </row>
    <row r="183" spans="1:22" ht="15.75">
      <c r="A183" s="21">
        <v>181</v>
      </c>
      <c r="B183" s="5" t="s">
        <v>573</v>
      </c>
      <c r="C183" s="23" t="s">
        <v>3125</v>
      </c>
      <c r="D183" s="23" t="s">
        <v>34</v>
      </c>
      <c r="E183" s="5" t="s">
        <v>574</v>
      </c>
      <c r="F183" s="71" t="s">
        <v>6102</v>
      </c>
      <c r="G183" s="22" t="s">
        <v>179</v>
      </c>
      <c r="H183" s="22" t="s">
        <v>3932</v>
      </c>
      <c r="I183" s="5" t="s">
        <v>56</v>
      </c>
      <c r="J183" s="5" t="s">
        <v>5484</v>
      </c>
      <c r="K183" s="5" t="s">
        <v>575</v>
      </c>
      <c r="L183" s="22"/>
      <c r="M183" s="8" t="str">
        <f t="shared" si="20"/>
        <v>Ok</v>
      </c>
      <c r="N183" s="9" t="b">
        <f t="shared" si="21"/>
        <v>0</v>
      </c>
      <c r="O183" s="9" t="b">
        <f t="shared" si="22"/>
        <v>0</v>
      </c>
      <c r="P183" s="8" t="str">
        <f t="shared" si="23"/>
        <v>FALSE</v>
      </c>
      <c r="Q183" s="8" t="str">
        <f t="shared" si="24"/>
        <v>FALSE</v>
      </c>
      <c r="R183" s="9" t="b">
        <f t="shared" si="25"/>
        <v>1</v>
      </c>
      <c r="S183" s="8" t="b">
        <f t="shared" si="26"/>
        <v>0</v>
      </c>
      <c r="T183" s="10" t="b">
        <f t="shared" si="27"/>
        <v>1</v>
      </c>
      <c r="U183" s="8" t="str">
        <f t="shared" si="28"/>
        <v>FALSE</v>
      </c>
      <c r="V183" s="11" t="str">
        <f t="shared" si="29"/>
        <v>TRUE</v>
      </c>
    </row>
    <row r="184" spans="1:22" ht="15.75">
      <c r="A184" s="21">
        <v>182</v>
      </c>
      <c r="B184" s="5" t="s">
        <v>576</v>
      </c>
      <c r="C184" s="23" t="s">
        <v>2996</v>
      </c>
      <c r="D184" s="23" t="s">
        <v>34</v>
      </c>
      <c r="E184" s="5" t="s">
        <v>577</v>
      </c>
      <c r="F184" s="71" t="s">
        <v>6102</v>
      </c>
      <c r="G184" s="22" t="s">
        <v>179</v>
      </c>
      <c r="H184" s="5" t="s">
        <v>3932</v>
      </c>
      <c r="I184" s="5" t="s">
        <v>56</v>
      </c>
      <c r="J184" s="5" t="s">
        <v>5561</v>
      </c>
      <c r="K184" s="5" t="s">
        <v>578</v>
      </c>
      <c r="L184" s="22"/>
      <c r="M184" s="8" t="str">
        <f t="shared" si="20"/>
        <v>Ok</v>
      </c>
      <c r="N184" s="9" t="b">
        <f t="shared" si="21"/>
        <v>0</v>
      </c>
      <c r="O184" s="9" t="b">
        <f t="shared" si="22"/>
        <v>0</v>
      </c>
      <c r="P184" s="8" t="str">
        <f t="shared" si="23"/>
        <v>FALSE</v>
      </c>
      <c r="Q184" s="8" t="str">
        <f t="shared" si="24"/>
        <v>FALSE</v>
      </c>
      <c r="R184" s="9" t="b">
        <f t="shared" si="25"/>
        <v>1</v>
      </c>
      <c r="S184" s="8" t="b">
        <f t="shared" si="26"/>
        <v>0</v>
      </c>
      <c r="T184" s="10" t="b">
        <f t="shared" si="27"/>
        <v>1</v>
      </c>
      <c r="U184" s="8" t="str">
        <f t="shared" si="28"/>
        <v>FALSE</v>
      </c>
      <c r="V184" s="11" t="str">
        <f t="shared" si="29"/>
        <v>TRUE</v>
      </c>
    </row>
    <row r="185" spans="1:22" ht="15.75">
      <c r="A185" s="21">
        <v>183</v>
      </c>
      <c r="B185" s="5" t="s">
        <v>579</v>
      </c>
      <c r="C185" s="23" t="s">
        <v>3341</v>
      </c>
      <c r="D185" s="23" t="s">
        <v>34</v>
      </c>
      <c r="E185" s="5" t="s">
        <v>580</v>
      </c>
      <c r="F185" s="71" t="s">
        <v>6102</v>
      </c>
      <c r="G185" s="22" t="s">
        <v>216</v>
      </c>
      <c r="H185" s="5" t="s">
        <v>217</v>
      </c>
      <c r="I185" s="5" t="s">
        <v>21</v>
      </c>
      <c r="J185" s="5" t="s">
        <v>5499</v>
      </c>
      <c r="K185" s="5" t="s">
        <v>581</v>
      </c>
      <c r="L185" s="22"/>
      <c r="M185" s="8" t="str">
        <f t="shared" si="20"/>
        <v>Ok</v>
      </c>
      <c r="N185" s="9" t="b">
        <f t="shared" si="21"/>
        <v>1</v>
      </c>
      <c r="O185" s="9" t="b">
        <f t="shared" si="22"/>
        <v>0</v>
      </c>
      <c r="P185" s="8" t="str">
        <f t="shared" si="23"/>
        <v>FALSE</v>
      </c>
      <c r="Q185" s="8" t="str">
        <f t="shared" si="24"/>
        <v>FALSE</v>
      </c>
      <c r="R185" s="9" t="b">
        <f t="shared" si="25"/>
        <v>0</v>
      </c>
      <c r="S185" s="8" t="b">
        <f t="shared" si="26"/>
        <v>0</v>
      </c>
      <c r="T185" s="10" t="b">
        <f t="shared" si="27"/>
        <v>0</v>
      </c>
      <c r="U185" s="8" t="str">
        <f t="shared" si="28"/>
        <v>FALSE</v>
      </c>
      <c r="V185" s="11" t="str">
        <f t="shared" si="29"/>
        <v>TRUE</v>
      </c>
    </row>
    <row r="186" spans="1:22" ht="15.75">
      <c r="A186" s="21">
        <v>184</v>
      </c>
      <c r="B186" s="5" t="s">
        <v>582</v>
      </c>
      <c r="C186" s="23" t="s">
        <v>3595</v>
      </c>
      <c r="D186" s="23" t="s">
        <v>59</v>
      </c>
      <c r="E186" s="5" t="s">
        <v>583</v>
      </c>
      <c r="F186" s="71" t="s">
        <v>6102</v>
      </c>
      <c r="G186" s="22" t="s">
        <v>160</v>
      </c>
      <c r="H186" s="5" t="s">
        <v>36</v>
      </c>
      <c r="I186" s="5" t="s">
        <v>21</v>
      </c>
      <c r="J186" s="5" t="s">
        <v>4884</v>
      </c>
      <c r="K186" s="5" t="s">
        <v>584</v>
      </c>
      <c r="L186" s="22"/>
      <c r="M186" s="8" t="str">
        <f t="shared" si="20"/>
        <v>Ok</v>
      </c>
      <c r="N186" s="9" t="b">
        <f t="shared" si="21"/>
        <v>1</v>
      </c>
      <c r="O186" s="9" t="b">
        <f t="shared" si="22"/>
        <v>1</v>
      </c>
      <c r="P186" s="8" t="str">
        <f t="shared" si="23"/>
        <v>FALSE</v>
      </c>
      <c r="Q186" s="8" t="str">
        <f t="shared" si="24"/>
        <v>FALSE</v>
      </c>
      <c r="R186" s="9" t="b">
        <f t="shared" si="25"/>
        <v>0</v>
      </c>
      <c r="S186" s="8" t="b">
        <f t="shared" si="26"/>
        <v>1</v>
      </c>
      <c r="T186" s="10" t="b">
        <f t="shared" si="27"/>
        <v>0</v>
      </c>
      <c r="U186" s="8" t="str">
        <f t="shared" si="28"/>
        <v>TRUE</v>
      </c>
      <c r="V186" s="11" t="str">
        <f t="shared" si="29"/>
        <v>TRUE</v>
      </c>
    </row>
    <row r="187" spans="1:22" ht="15.75">
      <c r="A187" s="21">
        <v>185</v>
      </c>
      <c r="B187" s="5" t="s">
        <v>585</v>
      </c>
      <c r="C187" s="23" t="s">
        <v>3082</v>
      </c>
      <c r="D187" s="23" t="s">
        <v>77</v>
      </c>
      <c r="E187" s="5" t="s">
        <v>586</v>
      </c>
      <c r="F187" s="71" t="s">
        <v>6102</v>
      </c>
      <c r="G187" s="22" t="s">
        <v>179</v>
      </c>
      <c r="H187" s="22" t="s">
        <v>3932</v>
      </c>
      <c r="I187" s="5" t="s">
        <v>56</v>
      </c>
      <c r="J187" s="5" t="s">
        <v>5753</v>
      </c>
      <c r="K187" s="5" t="s">
        <v>587</v>
      </c>
      <c r="L187" s="22"/>
      <c r="M187" s="8" t="str">
        <f t="shared" si="20"/>
        <v>Ok</v>
      </c>
      <c r="N187" s="9" t="b">
        <f t="shared" si="21"/>
        <v>0</v>
      </c>
      <c r="O187" s="9" t="b">
        <f t="shared" si="22"/>
        <v>0</v>
      </c>
      <c r="P187" s="8" t="str">
        <f t="shared" si="23"/>
        <v>FALSE</v>
      </c>
      <c r="Q187" s="8" t="str">
        <f t="shared" si="24"/>
        <v>FALSE</v>
      </c>
      <c r="R187" s="9" t="b">
        <f t="shared" si="25"/>
        <v>1</v>
      </c>
      <c r="S187" s="8" t="b">
        <f t="shared" si="26"/>
        <v>0</v>
      </c>
      <c r="T187" s="10" t="b">
        <f t="shared" si="27"/>
        <v>1</v>
      </c>
      <c r="U187" s="8" t="str">
        <f t="shared" si="28"/>
        <v>FALSE</v>
      </c>
      <c r="V187" s="11" t="str">
        <f t="shared" si="29"/>
        <v>TRUE</v>
      </c>
    </row>
    <row r="188" spans="1:22" ht="15.75">
      <c r="A188" s="21">
        <v>186</v>
      </c>
      <c r="B188" s="5" t="s">
        <v>588</v>
      </c>
      <c r="C188" s="23" t="s">
        <v>3771</v>
      </c>
      <c r="D188" s="23" t="s">
        <v>59</v>
      </c>
      <c r="E188" s="5" t="s">
        <v>589</v>
      </c>
      <c r="F188" s="71" t="s">
        <v>6102</v>
      </c>
      <c r="G188" s="22" t="s">
        <v>24</v>
      </c>
      <c r="H188" s="5" t="s">
        <v>46</v>
      </c>
      <c r="I188" s="5" t="s">
        <v>56</v>
      </c>
      <c r="J188" s="5" t="s">
        <v>5418</v>
      </c>
      <c r="K188" s="5" t="s">
        <v>590</v>
      </c>
      <c r="L188" s="22"/>
      <c r="M188" s="8" t="str">
        <f t="shared" si="20"/>
        <v>Ok</v>
      </c>
      <c r="N188" s="9" t="b">
        <f t="shared" si="21"/>
        <v>0</v>
      </c>
      <c r="O188" s="9" t="b">
        <f t="shared" si="22"/>
        <v>1</v>
      </c>
      <c r="P188" s="8" t="str">
        <f t="shared" si="23"/>
        <v>FALSE</v>
      </c>
      <c r="Q188" s="8" t="str">
        <f t="shared" si="24"/>
        <v>FALSE</v>
      </c>
      <c r="R188" s="9" t="b">
        <f t="shared" si="25"/>
        <v>0</v>
      </c>
      <c r="S188" s="8" t="b">
        <f t="shared" si="26"/>
        <v>0</v>
      </c>
      <c r="T188" s="10" t="b">
        <f t="shared" si="27"/>
        <v>1</v>
      </c>
      <c r="U188" s="8" t="str">
        <f t="shared" si="28"/>
        <v>TRUE</v>
      </c>
      <c r="V188" s="11" t="str">
        <f t="shared" si="29"/>
        <v>TRUE</v>
      </c>
    </row>
    <row r="189" spans="1:22" ht="15.75">
      <c r="A189" s="21">
        <v>187</v>
      </c>
      <c r="B189" s="5" t="s">
        <v>591</v>
      </c>
      <c r="C189" s="23" t="s">
        <v>3596</v>
      </c>
      <c r="D189" s="23" t="s">
        <v>59</v>
      </c>
      <c r="E189" s="5" t="s">
        <v>592</v>
      </c>
      <c r="F189" s="71" t="s">
        <v>6102</v>
      </c>
      <c r="G189" s="22" t="s">
        <v>160</v>
      </c>
      <c r="H189" s="5" t="s">
        <v>13</v>
      </c>
      <c r="I189" s="5" t="s">
        <v>67</v>
      </c>
      <c r="J189" s="5" t="s">
        <v>5250</v>
      </c>
      <c r="K189" s="5" t="s">
        <v>593</v>
      </c>
      <c r="L189" s="22"/>
      <c r="M189" s="8" t="str">
        <f t="shared" si="20"/>
        <v>Ok</v>
      </c>
      <c r="N189" s="9" t="b">
        <f t="shared" si="21"/>
        <v>1</v>
      </c>
      <c r="O189" s="9" t="b">
        <f t="shared" si="22"/>
        <v>1</v>
      </c>
      <c r="P189" s="8" t="str">
        <f t="shared" si="23"/>
        <v>FALSE</v>
      </c>
      <c r="Q189" s="8" t="str">
        <f t="shared" si="24"/>
        <v>FALSE</v>
      </c>
      <c r="R189" s="9" t="b">
        <f t="shared" si="25"/>
        <v>0</v>
      </c>
      <c r="S189" s="8" t="b">
        <f t="shared" si="26"/>
        <v>0</v>
      </c>
      <c r="T189" s="10" t="b">
        <f t="shared" si="27"/>
        <v>0</v>
      </c>
      <c r="U189" s="8" t="str">
        <f t="shared" si="28"/>
        <v>TRUE</v>
      </c>
      <c r="V189" s="11" t="str">
        <f t="shared" si="29"/>
        <v>FALSE</v>
      </c>
    </row>
    <row r="190" spans="1:22" ht="15.75">
      <c r="A190" s="21">
        <v>188</v>
      </c>
      <c r="B190" s="5" t="s">
        <v>594</v>
      </c>
      <c r="C190" s="23" t="s">
        <v>3550</v>
      </c>
      <c r="D190" s="23" t="s">
        <v>77</v>
      </c>
      <c r="E190" s="5" t="s">
        <v>595</v>
      </c>
      <c r="F190" s="71" t="s">
        <v>6102</v>
      </c>
      <c r="G190" s="22" t="s">
        <v>12</v>
      </c>
      <c r="H190" s="5" t="s">
        <v>36</v>
      </c>
      <c r="I190" s="5" t="s">
        <v>50</v>
      </c>
      <c r="J190" s="5" t="s">
        <v>4800</v>
      </c>
      <c r="K190" s="5" t="s">
        <v>596</v>
      </c>
      <c r="L190" s="22"/>
      <c r="M190" s="8" t="str">
        <f t="shared" si="20"/>
        <v>Ok</v>
      </c>
      <c r="N190" s="9" t="b">
        <f t="shared" si="21"/>
        <v>1</v>
      </c>
      <c r="O190" s="9" t="b">
        <f t="shared" si="22"/>
        <v>0</v>
      </c>
      <c r="P190" s="8" t="str">
        <f t="shared" si="23"/>
        <v>FALSE</v>
      </c>
      <c r="Q190" s="8" t="str">
        <f t="shared" si="24"/>
        <v>FALSE</v>
      </c>
      <c r="R190" s="9" t="b">
        <f t="shared" si="25"/>
        <v>1</v>
      </c>
      <c r="S190" s="8" t="b">
        <f t="shared" si="26"/>
        <v>1</v>
      </c>
      <c r="T190" s="10" t="b">
        <f t="shared" si="27"/>
        <v>0</v>
      </c>
      <c r="U190" s="8" t="str">
        <f t="shared" si="28"/>
        <v>TRUE</v>
      </c>
      <c r="V190" s="11" t="str">
        <f t="shared" si="29"/>
        <v>TRUE</v>
      </c>
    </row>
    <row r="191" spans="1:22" ht="15.75">
      <c r="A191" s="21">
        <v>189</v>
      </c>
      <c r="B191" s="5" t="s">
        <v>597</v>
      </c>
      <c r="C191" s="23" t="s">
        <v>3878</v>
      </c>
      <c r="D191" s="23" t="s">
        <v>17</v>
      </c>
      <c r="E191" s="5" t="s">
        <v>598</v>
      </c>
      <c r="F191" s="71" t="s">
        <v>6102</v>
      </c>
      <c r="G191" s="22" t="s">
        <v>119</v>
      </c>
      <c r="H191" s="5" t="s">
        <v>120</v>
      </c>
      <c r="I191" s="5" t="s">
        <v>50</v>
      </c>
      <c r="J191" s="5" t="s">
        <v>4979</v>
      </c>
      <c r="K191" s="5" t="s">
        <v>599</v>
      </c>
      <c r="L191" s="22"/>
      <c r="M191" s="8" t="str">
        <f t="shared" si="20"/>
        <v>Ok</v>
      </c>
      <c r="N191" s="9" t="b">
        <f t="shared" si="21"/>
        <v>0</v>
      </c>
      <c r="O191" s="9" t="b">
        <f t="shared" si="22"/>
        <v>1</v>
      </c>
      <c r="P191" s="8" t="str">
        <f t="shared" si="23"/>
        <v>FALSE</v>
      </c>
      <c r="Q191" s="8" t="str">
        <f t="shared" si="24"/>
        <v>FALSE</v>
      </c>
      <c r="R191" s="9" t="b">
        <f t="shared" si="25"/>
        <v>0</v>
      </c>
      <c r="S191" s="8" t="b">
        <f t="shared" si="26"/>
        <v>1</v>
      </c>
      <c r="T191" s="10" t="b">
        <f t="shared" si="27"/>
        <v>0</v>
      </c>
      <c r="U191" s="8" t="str">
        <f t="shared" si="28"/>
        <v>TRUE</v>
      </c>
      <c r="V191" s="11" t="str">
        <f t="shared" si="29"/>
        <v>TRUE</v>
      </c>
    </row>
    <row r="192" spans="1:22" ht="15.75">
      <c r="A192" s="21">
        <v>190</v>
      </c>
      <c r="B192" s="5" t="s">
        <v>600</v>
      </c>
      <c r="C192" s="23" t="s">
        <v>3342</v>
      </c>
      <c r="D192" s="23" t="s">
        <v>34</v>
      </c>
      <c r="E192" s="5" t="s">
        <v>601</v>
      </c>
      <c r="F192" s="71" t="s">
        <v>6102</v>
      </c>
      <c r="G192" s="22" t="s">
        <v>3933</v>
      </c>
      <c r="H192" s="5" t="s">
        <v>3932</v>
      </c>
      <c r="I192" s="5" t="s">
        <v>56</v>
      </c>
      <c r="J192" s="5" t="s">
        <v>5075</v>
      </c>
      <c r="K192" s="5" t="s">
        <v>602</v>
      </c>
      <c r="L192" s="22"/>
      <c r="M192" s="8" t="str">
        <f t="shared" si="20"/>
        <v>Ok</v>
      </c>
      <c r="N192" s="9" t="b">
        <f t="shared" si="21"/>
        <v>1</v>
      </c>
      <c r="O192" s="9" t="b">
        <f t="shared" si="22"/>
        <v>0</v>
      </c>
      <c r="P192" s="8" t="str">
        <f t="shared" si="23"/>
        <v>FALSE</v>
      </c>
      <c r="Q192" s="8" t="str">
        <f t="shared" si="24"/>
        <v>FALSE</v>
      </c>
      <c r="R192" s="9" t="b">
        <f t="shared" si="25"/>
        <v>0</v>
      </c>
      <c r="S192" s="8" t="b">
        <f t="shared" si="26"/>
        <v>0</v>
      </c>
      <c r="T192" s="10" t="b">
        <f t="shared" si="27"/>
        <v>1</v>
      </c>
      <c r="U192" s="8" t="str">
        <f t="shared" si="28"/>
        <v>TRUE</v>
      </c>
      <c r="V192" s="11" t="str">
        <f t="shared" si="29"/>
        <v>TRUE</v>
      </c>
    </row>
    <row r="193" spans="1:22" ht="15.75">
      <c r="A193" s="21">
        <v>191</v>
      </c>
      <c r="B193" s="5" t="s">
        <v>603</v>
      </c>
      <c r="C193" s="23" t="s">
        <v>3212</v>
      </c>
      <c r="D193" s="23" t="s">
        <v>77</v>
      </c>
      <c r="E193" s="5" t="s">
        <v>604</v>
      </c>
      <c r="F193" s="71" t="s">
        <v>6102</v>
      </c>
      <c r="G193" s="22" t="s">
        <v>179</v>
      </c>
      <c r="H193" s="5" t="s">
        <v>3932</v>
      </c>
      <c r="I193" s="5" t="s">
        <v>56</v>
      </c>
      <c r="J193" s="5" t="s">
        <v>5279</v>
      </c>
      <c r="K193" s="5" t="s">
        <v>605</v>
      </c>
      <c r="L193" s="22"/>
      <c r="M193" s="8" t="str">
        <f t="shared" si="20"/>
        <v>Ok</v>
      </c>
      <c r="N193" s="9" t="b">
        <f t="shared" si="21"/>
        <v>1</v>
      </c>
      <c r="O193" s="9" t="b">
        <f t="shared" si="22"/>
        <v>0</v>
      </c>
      <c r="P193" s="8" t="str">
        <f t="shared" si="23"/>
        <v>FALSE</v>
      </c>
      <c r="Q193" s="8" t="str">
        <f t="shared" si="24"/>
        <v>FALSE</v>
      </c>
      <c r="R193" s="9" t="b">
        <f t="shared" si="25"/>
        <v>1</v>
      </c>
      <c r="S193" s="8" t="b">
        <f t="shared" si="26"/>
        <v>0</v>
      </c>
      <c r="T193" s="10" t="b">
        <f t="shared" si="27"/>
        <v>1</v>
      </c>
      <c r="U193" s="8" t="str">
        <f t="shared" si="28"/>
        <v>TRUE</v>
      </c>
      <c r="V193" s="11" t="str">
        <f t="shared" si="29"/>
        <v>TRUE</v>
      </c>
    </row>
    <row r="194" spans="1:22" ht="15.75">
      <c r="A194" s="21">
        <v>192</v>
      </c>
      <c r="B194" s="5" t="s">
        <v>606</v>
      </c>
      <c r="C194" s="23" t="s">
        <v>3343</v>
      </c>
      <c r="D194" s="23" t="s">
        <v>34</v>
      </c>
      <c r="E194" s="5" t="s">
        <v>607</v>
      </c>
      <c r="F194" s="71" t="s">
        <v>6102</v>
      </c>
      <c r="G194" s="22" t="s">
        <v>3933</v>
      </c>
      <c r="H194" s="5" t="s">
        <v>3932</v>
      </c>
      <c r="I194" s="5" t="s">
        <v>26</v>
      </c>
      <c r="J194" s="5" t="s">
        <v>5161</v>
      </c>
      <c r="K194" s="5" t="s">
        <v>608</v>
      </c>
      <c r="L194" s="22"/>
      <c r="M194" s="8" t="str">
        <f t="shared" si="20"/>
        <v>Ok</v>
      </c>
      <c r="N194" s="9" t="b">
        <f t="shared" si="21"/>
        <v>1</v>
      </c>
      <c r="O194" s="9" t="b">
        <f t="shared" si="22"/>
        <v>0</v>
      </c>
      <c r="P194" s="8" t="str">
        <f t="shared" si="23"/>
        <v>FALSE</v>
      </c>
      <c r="Q194" s="8" t="str">
        <f t="shared" si="24"/>
        <v>FALSE</v>
      </c>
      <c r="R194" s="9" t="b">
        <f t="shared" si="25"/>
        <v>0</v>
      </c>
      <c r="S194" s="8" t="b">
        <f t="shared" si="26"/>
        <v>0</v>
      </c>
      <c r="T194" s="10" t="b">
        <f t="shared" si="27"/>
        <v>0</v>
      </c>
      <c r="U194" s="8" t="str">
        <f t="shared" si="28"/>
        <v>TRUE</v>
      </c>
      <c r="V194" s="11" t="str">
        <f t="shared" si="29"/>
        <v>TRUE</v>
      </c>
    </row>
    <row r="195" spans="1:22" ht="15.75">
      <c r="A195" s="21">
        <v>193</v>
      </c>
      <c r="B195" s="5" t="s">
        <v>609</v>
      </c>
      <c r="C195" s="23" t="s">
        <v>3213</v>
      </c>
      <c r="D195" s="23" t="s">
        <v>77</v>
      </c>
      <c r="E195" s="5" t="s">
        <v>610</v>
      </c>
      <c r="F195" s="71" t="s">
        <v>6102</v>
      </c>
      <c r="G195" s="22" t="s">
        <v>179</v>
      </c>
      <c r="H195" s="5" t="s">
        <v>3932</v>
      </c>
      <c r="I195" s="5" t="s">
        <v>56</v>
      </c>
      <c r="J195" s="5" t="s">
        <v>4855</v>
      </c>
      <c r="K195" s="5" t="s">
        <v>611</v>
      </c>
      <c r="L195" s="22"/>
      <c r="M195" s="8" t="str">
        <f t="shared" ref="M195:M258" si="30">IF(COUNTIF($B$3:$B$1002,B195)&gt;1,"Duplicate","Ok")</f>
        <v>Ok</v>
      </c>
      <c r="N195" s="9" t="b">
        <f t="shared" ref="N195:N258" si="31">EXACT(C195,PROPER(C195))</f>
        <v>1</v>
      </c>
      <c r="O195" s="9" t="b">
        <f t="shared" ref="O195:O258" si="32">EXACT(D195,PROPER(D195))</f>
        <v>0</v>
      </c>
      <c r="P195" s="8" t="str">
        <f t="shared" ref="P195:P258" si="33">IF(ISNUMBER(E195),"TRUE","FALSE")</f>
        <v>FALSE</v>
      </c>
      <c r="Q195" s="8" t="str">
        <f t="shared" ref="Q195:Q258" si="34">IF(ISNUMBER(F195),"TRUE","FALSE")</f>
        <v>FALSE</v>
      </c>
      <c r="R195" s="9" t="b">
        <f t="shared" ref="R195:R258" si="35">EXACT(G195,PROPER(G195))</f>
        <v>1</v>
      </c>
      <c r="S195" s="8" t="b">
        <f t="shared" ref="S195:S258" si="36">EXACT(H195,PROPER(H195))</f>
        <v>0</v>
      </c>
      <c r="T195" s="10" t="b">
        <f t="shared" ref="T195:T258" si="37">EXACT(I195,PROPER(I195))</f>
        <v>1</v>
      </c>
      <c r="U195" s="8" t="str">
        <f t="shared" ref="U195:U258" si="38">IF(RIGHT(J195,10)="@email.com","TRUE","FALSE")</f>
        <v>TRUE</v>
      </c>
      <c r="V195" s="11" t="str">
        <f t="shared" ref="V195:V258" si="39">IF(LEFT(K195,2)="08","TRUE","FALSE")</f>
        <v>TRUE</v>
      </c>
    </row>
    <row r="196" spans="1:22" ht="15.75">
      <c r="A196" s="21">
        <v>194</v>
      </c>
      <c r="B196" s="5" t="s">
        <v>612</v>
      </c>
      <c r="C196" s="23" t="s">
        <v>3214</v>
      </c>
      <c r="D196" s="23" t="s">
        <v>77</v>
      </c>
      <c r="E196" s="5" t="s">
        <v>613</v>
      </c>
      <c r="F196" s="71" t="s">
        <v>6102</v>
      </c>
      <c r="G196" s="22" t="s">
        <v>82</v>
      </c>
      <c r="H196" s="5" t="s">
        <v>98</v>
      </c>
      <c r="I196" s="5" t="s">
        <v>42</v>
      </c>
      <c r="J196" s="5" t="s">
        <v>5759</v>
      </c>
      <c r="K196" s="5" t="s">
        <v>614</v>
      </c>
      <c r="L196" s="22"/>
      <c r="M196" s="8" t="str">
        <f t="shared" si="30"/>
        <v>Ok</v>
      </c>
      <c r="N196" s="9" t="b">
        <f t="shared" si="31"/>
        <v>1</v>
      </c>
      <c r="O196" s="9" t="b">
        <f t="shared" si="32"/>
        <v>0</v>
      </c>
      <c r="P196" s="8" t="str">
        <f t="shared" si="33"/>
        <v>FALSE</v>
      </c>
      <c r="Q196" s="8" t="str">
        <f t="shared" si="34"/>
        <v>FALSE</v>
      </c>
      <c r="R196" s="9" t="b">
        <f t="shared" si="35"/>
        <v>0</v>
      </c>
      <c r="S196" s="8" t="b">
        <f t="shared" si="36"/>
        <v>0</v>
      </c>
      <c r="T196" s="10" t="b">
        <f t="shared" si="37"/>
        <v>1</v>
      </c>
      <c r="U196" s="8" t="str">
        <f t="shared" si="38"/>
        <v>FALSE</v>
      </c>
      <c r="V196" s="11" t="str">
        <f t="shared" si="39"/>
        <v>TRUE</v>
      </c>
    </row>
    <row r="197" spans="1:22" ht="15.75">
      <c r="A197" s="21">
        <v>195</v>
      </c>
      <c r="B197" s="5" t="s">
        <v>615</v>
      </c>
      <c r="C197" s="23" t="s">
        <v>3449</v>
      </c>
      <c r="D197" s="23" t="s">
        <v>77</v>
      </c>
      <c r="E197" s="5" t="s">
        <v>616</v>
      </c>
      <c r="F197" s="71" t="s">
        <v>6102</v>
      </c>
      <c r="G197" s="22" t="s">
        <v>160</v>
      </c>
      <c r="H197" s="5" t="s">
        <v>3932</v>
      </c>
      <c r="I197" s="5" t="s">
        <v>56</v>
      </c>
      <c r="J197" s="5" t="s">
        <v>5105</v>
      </c>
      <c r="K197" s="5" t="s">
        <v>617</v>
      </c>
      <c r="L197" s="22"/>
      <c r="M197" s="8" t="str">
        <f t="shared" si="30"/>
        <v>Ok</v>
      </c>
      <c r="N197" s="9" t="b">
        <f t="shared" si="31"/>
        <v>1</v>
      </c>
      <c r="O197" s="9" t="b">
        <f t="shared" si="32"/>
        <v>0</v>
      </c>
      <c r="P197" s="8" t="str">
        <f t="shared" si="33"/>
        <v>FALSE</v>
      </c>
      <c r="Q197" s="8" t="str">
        <f t="shared" si="34"/>
        <v>FALSE</v>
      </c>
      <c r="R197" s="9" t="b">
        <f t="shared" si="35"/>
        <v>0</v>
      </c>
      <c r="S197" s="8" t="b">
        <f t="shared" si="36"/>
        <v>0</v>
      </c>
      <c r="T197" s="10" t="b">
        <f t="shared" si="37"/>
        <v>1</v>
      </c>
      <c r="U197" s="8" t="str">
        <f t="shared" si="38"/>
        <v>TRUE</v>
      </c>
      <c r="V197" s="11" t="str">
        <f t="shared" si="39"/>
        <v>TRUE</v>
      </c>
    </row>
    <row r="198" spans="1:22" ht="15.75">
      <c r="A198" s="21">
        <v>196</v>
      </c>
      <c r="B198" s="5" t="s">
        <v>618</v>
      </c>
      <c r="C198" s="23" t="s">
        <v>3344</v>
      </c>
      <c r="D198" s="23" t="s">
        <v>34</v>
      </c>
      <c r="E198" s="5" t="s">
        <v>619</v>
      </c>
      <c r="F198" s="71" t="s">
        <v>6102</v>
      </c>
      <c r="G198" s="22" t="s">
        <v>93</v>
      </c>
      <c r="H198" s="5" t="s">
        <v>217</v>
      </c>
      <c r="I198" s="5" t="s">
        <v>21</v>
      </c>
      <c r="J198" s="5" t="s">
        <v>5504</v>
      </c>
      <c r="K198" s="5" t="s">
        <v>620</v>
      </c>
      <c r="L198" s="22"/>
      <c r="M198" s="8" t="str">
        <f t="shared" si="30"/>
        <v>Ok</v>
      </c>
      <c r="N198" s="9" t="b">
        <f t="shared" si="31"/>
        <v>1</v>
      </c>
      <c r="O198" s="9" t="b">
        <f t="shared" si="32"/>
        <v>0</v>
      </c>
      <c r="P198" s="8" t="str">
        <f t="shared" si="33"/>
        <v>FALSE</v>
      </c>
      <c r="Q198" s="8" t="str">
        <f t="shared" si="34"/>
        <v>FALSE</v>
      </c>
      <c r="R198" s="9" t="b">
        <f t="shared" si="35"/>
        <v>0</v>
      </c>
      <c r="S198" s="8" t="b">
        <f t="shared" si="36"/>
        <v>0</v>
      </c>
      <c r="T198" s="10" t="b">
        <f t="shared" si="37"/>
        <v>0</v>
      </c>
      <c r="U198" s="8" t="str">
        <f t="shared" si="38"/>
        <v>FALSE</v>
      </c>
      <c r="V198" s="11" t="str">
        <f t="shared" si="39"/>
        <v>TRUE</v>
      </c>
    </row>
    <row r="199" spans="1:22" ht="15.75">
      <c r="A199" s="21">
        <v>197</v>
      </c>
      <c r="B199" s="5" t="s">
        <v>621</v>
      </c>
      <c r="C199" s="23" t="s">
        <v>3597</v>
      </c>
      <c r="D199" s="23" t="s">
        <v>59</v>
      </c>
      <c r="E199" s="5" t="s">
        <v>622</v>
      </c>
      <c r="F199" s="71" t="s">
        <v>6102</v>
      </c>
      <c r="G199" s="22" t="s">
        <v>160</v>
      </c>
      <c r="H199" s="5" t="s">
        <v>36</v>
      </c>
      <c r="I199" s="5" t="s">
        <v>42</v>
      </c>
      <c r="J199" s="5" t="s">
        <v>5619</v>
      </c>
      <c r="K199" s="5" t="s">
        <v>623</v>
      </c>
      <c r="L199" s="22"/>
      <c r="M199" s="8" t="str">
        <f t="shared" si="30"/>
        <v>Ok</v>
      </c>
      <c r="N199" s="9" t="b">
        <f t="shared" si="31"/>
        <v>1</v>
      </c>
      <c r="O199" s="9" t="b">
        <f t="shared" si="32"/>
        <v>1</v>
      </c>
      <c r="P199" s="8" t="str">
        <f t="shared" si="33"/>
        <v>FALSE</v>
      </c>
      <c r="Q199" s="8" t="str">
        <f t="shared" si="34"/>
        <v>FALSE</v>
      </c>
      <c r="R199" s="9" t="b">
        <f t="shared" si="35"/>
        <v>0</v>
      </c>
      <c r="S199" s="8" t="b">
        <f t="shared" si="36"/>
        <v>1</v>
      </c>
      <c r="T199" s="10" t="b">
        <f t="shared" si="37"/>
        <v>1</v>
      </c>
      <c r="U199" s="8" t="str">
        <f t="shared" si="38"/>
        <v>FALSE</v>
      </c>
      <c r="V199" s="11" t="str">
        <f t="shared" si="39"/>
        <v>TRUE</v>
      </c>
    </row>
    <row r="200" spans="1:22" ht="15.75">
      <c r="A200" s="21">
        <v>198</v>
      </c>
      <c r="B200" s="5" t="s">
        <v>624</v>
      </c>
      <c r="C200" s="23" t="s">
        <v>3598</v>
      </c>
      <c r="D200" s="23" t="s">
        <v>59</v>
      </c>
      <c r="E200" s="5" t="s">
        <v>625</v>
      </c>
      <c r="F200" s="71" t="s">
        <v>6102</v>
      </c>
      <c r="G200" s="22" t="s">
        <v>160</v>
      </c>
      <c r="H200" s="5" t="s">
        <v>36</v>
      </c>
      <c r="I200" s="5" t="s">
        <v>67</v>
      </c>
      <c r="J200" s="5" t="s">
        <v>5500</v>
      </c>
      <c r="K200" s="5" t="s">
        <v>626</v>
      </c>
      <c r="L200" s="22"/>
      <c r="M200" s="8" t="str">
        <f t="shared" si="30"/>
        <v>Ok</v>
      </c>
      <c r="N200" s="9" t="b">
        <f t="shared" si="31"/>
        <v>1</v>
      </c>
      <c r="O200" s="9" t="b">
        <f t="shared" si="32"/>
        <v>1</v>
      </c>
      <c r="P200" s="8" t="str">
        <f t="shared" si="33"/>
        <v>FALSE</v>
      </c>
      <c r="Q200" s="8" t="str">
        <f t="shared" si="34"/>
        <v>FALSE</v>
      </c>
      <c r="R200" s="9" t="b">
        <f t="shared" si="35"/>
        <v>0</v>
      </c>
      <c r="S200" s="8" t="b">
        <f t="shared" si="36"/>
        <v>1</v>
      </c>
      <c r="T200" s="10" t="b">
        <f t="shared" si="37"/>
        <v>0</v>
      </c>
      <c r="U200" s="8" t="str">
        <f t="shared" si="38"/>
        <v>FALSE</v>
      </c>
      <c r="V200" s="11" t="str">
        <f t="shared" si="39"/>
        <v>TRUE</v>
      </c>
    </row>
    <row r="201" spans="1:22" ht="15.75">
      <c r="A201" s="21">
        <v>199</v>
      </c>
      <c r="B201" s="5" t="s">
        <v>627</v>
      </c>
      <c r="C201" s="23" t="s">
        <v>3289</v>
      </c>
      <c r="D201" s="23" t="s">
        <v>77</v>
      </c>
      <c r="E201" s="5" t="s">
        <v>628</v>
      </c>
      <c r="F201" s="71" t="s">
        <v>6102</v>
      </c>
      <c r="G201" s="22" t="s">
        <v>179</v>
      </c>
      <c r="H201" s="5" t="s">
        <v>3932</v>
      </c>
      <c r="I201" s="5" t="s">
        <v>21</v>
      </c>
      <c r="J201" s="5" t="s">
        <v>5207</v>
      </c>
      <c r="K201" s="5" t="s">
        <v>629</v>
      </c>
      <c r="L201" s="22"/>
      <c r="M201" s="8" t="str">
        <f t="shared" si="30"/>
        <v>Ok</v>
      </c>
      <c r="N201" s="9" t="b">
        <f t="shared" si="31"/>
        <v>1</v>
      </c>
      <c r="O201" s="9" t="b">
        <f t="shared" si="32"/>
        <v>0</v>
      </c>
      <c r="P201" s="8" t="str">
        <f t="shared" si="33"/>
        <v>FALSE</v>
      </c>
      <c r="Q201" s="8" t="str">
        <f t="shared" si="34"/>
        <v>FALSE</v>
      </c>
      <c r="R201" s="9" t="b">
        <f t="shared" si="35"/>
        <v>1</v>
      </c>
      <c r="S201" s="8" t="b">
        <f t="shared" si="36"/>
        <v>0</v>
      </c>
      <c r="T201" s="10" t="b">
        <f t="shared" si="37"/>
        <v>0</v>
      </c>
      <c r="U201" s="8" t="str">
        <f t="shared" si="38"/>
        <v>TRUE</v>
      </c>
      <c r="V201" s="11" t="str">
        <f t="shared" si="39"/>
        <v>TRUE</v>
      </c>
    </row>
    <row r="202" spans="1:22" ht="15.75">
      <c r="A202" s="21">
        <v>200</v>
      </c>
      <c r="B202" s="5" t="s">
        <v>630</v>
      </c>
      <c r="C202" s="23" t="s">
        <v>3450</v>
      </c>
      <c r="D202" s="23" t="s">
        <v>77</v>
      </c>
      <c r="E202" s="5" t="s">
        <v>631</v>
      </c>
      <c r="F202" s="71" t="s">
        <v>6102</v>
      </c>
      <c r="G202" s="22" t="s">
        <v>160</v>
      </c>
      <c r="H202" s="5" t="s">
        <v>3932</v>
      </c>
      <c r="I202" s="5" t="s">
        <v>56</v>
      </c>
      <c r="J202" s="5" t="s">
        <v>5406</v>
      </c>
      <c r="K202" s="5" t="s">
        <v>632</v>
      </c>
      <c r="L202" s="22"/>
      <c r="M202" s="8" t="str">
        <f t="shared" si="30"/>
        <v>Ok</v>
      </c>
      <c r="N202" s="9" t="b">
        <f t="shared" si="31"/>
        <v>1</v>
      </c>
      <c r="O202" s="9" t="b">
        <f t="shared" si="32"/>
        <v>0</v>
      </c>
      <c r="P202" s="8" t="str">
        <f t="shared" si="33"/>
        <v>FALSE</v>
      </c>
      <c r="Q202" s="8" t="str">
        <f t="shared" si="34"/>
        <v>FALSE</v>
      </c>
      <c r="R202" s="9" t="b">
        <f t="shared" si="35"/>
        <v>0</v>
      </c>
      <c r="S202" s="8" t="b">
        <f t="shared" si="36"/>
        <v>0</v>
      </c>
      <c r="T202" s="10" t="b">
        <f t="shared" si="37"/>
        <v>1</v>
      </c>
      <c r="U202" s="8" t="str">
        <f t="shared" si="38"/>
        <v>TRUE</v>
      </c>
      <c r="V202" s="11" t="str">
        <f t="shared" si="39"/>
        <v>TRUE</v>
      </c>
    </row>
    <row r="203" spans="1:22" ht="15.75">
      <c r="A203" s="21">
        <v>201</v>
      </c>
      <c r="B203" s="5" t="s">
        <v>633</v>
      </c>
      <c r="C203" s="23" t="s">
        <v>3290</v>
      </c>
      <c r="D203" s="23" t="s">
        <v>77</v>
      </c>
      <c r="E203" s="5" t="s">
        <v>634</v>
      </c>
      <c r="F203" s="71" t="s">
        <v>6102</v>
      </c>
      <c r="G203" s="22" t="s">
        <v>179</v>
      </c>
      <c r="H203" s="5" t="s">
        <v>3932</v>
      </c>
      <c r="I203" s="5" t="s">
        <v>21</v>
      </c>
      <c r="J203" s="5" t="s">
        <v>5340</v>
      </c>
      <c r="K203" s="5" t="s">
        <v>635</v>
      </c>
      <c r="L203" s="22"/>
      <c r="M203" s="8" t="str">
        <f t="shared" si="30"/>
        <v>Ok</v>
      </c>
      <c r="N203" s="9" t="b">
        <f t="shared" si="31"/>
        <v>1</v>
      </c>
      <c r="O203" s="9" t="b">
        <f t="shared" si="32"/>
        <v>0</v>
      </c>
      <c r="P203" s="8" t="str">
        <f t="shared" si="33"/>
        <v>FALSE</v>
      </c>
      <c r="Q203" s="8" t="str">
        <f t="shared" si="34"/>
        <v>FALSE</v>
      </c>
      <c r="R203" s="9" t="b">
        <f t="shared" si="35"/>
        <v>1</v>
      </c>
      <c r="S203" s="8" t="b">
        <f t="shared" si="36"/>
        <v>0</v>
      </c>
      <c r="T203" s="10" t="b">
        <f t="shared" si="37"/>
        <v>0</v>
      </c>
      <c r="U203" s="8" t="str">
        <f t="shared" si="38"/>
        <v>TRUE</v>
      </c>
      <c r="V203" s="11" t="str">
        <f t="shared" si="39"/>
        <v>FALSE</v>
      </c>
    </row>
    <row r="204" spans="1:22" ht="15.75">
      <c r="A204" s="21">
        <v>202</v>
      </c>
      <c r="B204" s="5" t="s">
        <v>636</v>
      </c>
      <c r="C204" s="23" t="s">
        <v>3083</v>
      </c>
      <c r="D204" s="23" t="s">
        <v>77</v>
      </c>
      <c r="E204" s="5" t="s">
        <v>637</v>
      </c>
      <c r="F204" s="71" t="s">
        <v>6102</v>
      </c>
      <c r="G204" s="22" t="s">
        <v>179</v>
      </c>
      <c r="H204" s="22" t="s">
        <v>179</v>
      </c>
      <c r="I204" s="5" t="s">
        <v>21</v>
      </c>
      <c r="J204" s="5" t="s">
        <v>5738</v>
      </c>
      <c r="K204" s="5" t="s">
        <v>638</v>
      </c>
      <c r="L204" s="22"/>
      <c r="M204" s="8" t="str">
        <f t="shared" si="30"/>
        <v>Ok</v>
      </c>
      <c r="N204" s="9" t="b">
        <f t="shared" si="31"/>
        <v>0</v>
      </c>
      <c r="O204" s="9" t="b">
        <f t="shared" si="32"/>
        <v>0</v>
      </c>
      <c r="P204" s="8" t="str">
        <f t="shared" si="33"/>
        <v>FALSE</v>
      </c>
      <c r="Q204" s="8" t="str">
        <f t="shared" si="34"/>
        <v>FALSE</v>
      </c>
      <c r="R204" s="9" t="b">
        <f t="shared" si="35"/>
        <v>1</v>
      </c>
      <c r="S204" s="8" t="b">
        <f t="shared" si="36"/>
        <v>1</v>
      </c>
      <c r="T204" s="10" t="b">
        <f t="shared" si="37"/>
        <v>0</v>
      </c>
      <c r="U204" s="8" t="str">
        <f t="shared" si="38"/>
        <v>FALSE</v>
      </c>
      <c r="V204" s="11" t="str">
        <f t="shared" si="39"/>
        <v>TRUE</v>
      </c>
    </row>
    <row r="205" spans="1:22" ht="15.75">
      <c r="A205" s="21">
        <v>203</v>
      </c>
      <c r="B205" s="5" t="s">
        <v>639</v>
      </c>
      <c r="C205" s="23" t="s">
        <v>3599</v>
      </c>
      <c r="D205" s="23" t="s">
        <v>17</v>
      </c>
      <c r="E205" s="5" t="s">
        <v>640</v>
      </c>
      <c r="F205" s="71" t="s">
        <v>6102</v>
      </c>
      <c r="G205" s="22" t="s">
        <v>179</v>
      </c>
      <c r="H205" s="5" t="s">
        <v>13</v>
      </c>
      <c r="I205" s="5" t="s">
        <v>56</v>
      </c>
      <c r="J205" s="5" t="s">
        <v>4949</v>
      </c>
      <c r="K205" s="5" t="s">
        <v>641</v>
      </c>
      <c r="L205" s="22"/>
      <c r="M205" s="8" t="str">
        <f t="shared" si="30"/>
        <v>Ok</v>
      </c>
      <c r="N205" s="9" t="b">
        <f t="shared" si="31"/>
        <v>1</v>
      </c>
      <c r="O205" s="9" t="b">
        <f t="shared" si="32"/>
        <v>1</v>
      </c>
      <c r="P205" s="8" t="str">
        <f t="shared" si="33"/>
        <v>FALSE</v>
      </c>
      <c r="Q205" s="8" t="str">
        <f t="shared" si="34"/>
        <v>FALSE</v>
      </c>
      <c r="R205" s="9" t="b">
        <f t="shared" si="35"/>
        <v>1</v>
      </c>
      <c r="S205" s="8" t="b">
        <f t="shared" si="36"/>
        <v>0</v>
      </c>
      <c r="T205" s="10" t="b">
        <f t="shared" si="37"/>
        <v>1</v>
      </c>
      <c r="U205" s="8" t="str">
        <f t="shared" si="38"/>
        <v>TRUE</v>
      </c>
      <c r="V205" s="11" t="str">
        <f t="shared" si="39"/>
        <v>TRUE</v>
      </c>
    </row>
    <row r="206" spans="1:22" ht="15.75">
      <c r="A206" s="21">
        <v>204</v>
      </c>
      <c r="B206" s="5" t="s">
        <v>642</v>
      </c>
      <c r="C206" s="23" t="s">
        <v>3345</v>
      </c>
      <c r="D206" s="23" t="s">
        <v>34</v>
      </c>
      <c r="E206" s="5" t="s">
        <v>643</v>
      </c>
      <c r="F206" s="71" t="s">
        <v>6102</v>
      </c>
      <c r="G206" s="22" t="s">
        <v>3933</v>
      </c>
      <c r="H206" s="5" t="s">
        <v>3932</v>
      </c>
      <c r="I206" s="5" t="s">
        <v>67</v>
      </c>
      <c r="J206" s="5" t="s">
        <v>5671</v>
      </c>
      <c r="K206" s="5" t="s">
        <v>644</v>
      </c>
      <c r="L206" s="22"/>
      <c r="M206" s="8" t="str">
        <f t="shared" si="30"/>
        <v>Ok</v>
      </c>
      <c r="N206" s="9" t="b">
        <f t="shared" si="31"/>
        <v>1</v>
      </c>
      <c r="O206" s="9" t="b">
        <f t="shared" si="32"/>
        <v>0</v>
      </c>
      <c r="P206" s="8" t="str">
        <f t="shared" si="33"/>
        <v>FALSE</v>
      </c>
      <c r="Q206" s="8" t="str">
        <f t="shared" si="34"/>
        <v>FALSE</v>
      </c>
      <c r="R206" s="9" t="b">
        <f t="shared" si="35"/>
        <v>0</v>
      </c>
      <c r="S206" s="8" t="b">
        <f t="shared" si="36"/>
        <v>0</v>
      </c>
      <c r="T206" s="10" t="b">
        <f t="shared" si="37"/>
        <v>0</v>
      </c>
      <c r="U206" s="8" t="str">
        <f t="shared" si="38"/>
        <v>FALSE</v>
      </c>
      <c r="V206" s="11" t="str">
        <f t="shared" si="39"/>
        <v>FALSE</v>
      </c>
    </row>
    <row r="207" spans="1:22" ht="15.75">
      <c r="A207" s="21">
        <v>205</v>
      </c>
      <c r="B207" s="5" t="s">
        <v>645</v>
      </c>
      <c r="C207" s="23" t="s">
        <v>3126</v>
      </c>
      <c r="D207" s="23" t="s">
        <v>77</v>
      </c>
      <c r="E207" s="5" t="s">
        <v>646</v>
      </c>
      <c r="F207" s="71" t="s">
        <v>6102</v>
      </c>
      <c r="G207" s="22" t="s">
        <v>179</v>
      </c>
      <c r="H207" s="22" t="s">
        <v>3932</v>
      </c>
      <c r="I207" s="5" t="s">
        <v>67</v>
      </c>
      <c r="J207" s="5" t="s">
        <v>4875</v>
      </c>
      <c r="K207" s="5" t="s">
        <v>647</v>
      </c>
      <c r="L207" s="22"/>
      <c r="M207" s="8" t="str">
        <f t="shared" si="30"/>
        <v>Ok</v>
      </c>
      <c r="N207" s="9" t="b">
        <f t="shared" si="31"/>
        <v>0</v>
      </c>
      <c r="O207" s="9" t="b">
        <f t="shared" si="32"/>
        <v>0</v>
      </c>
      <c r="P207" s="8" t="str">
        <f t="shared" si="33"/>
        <v>FALSE</v>
      </c>
      <c r="Q207" s="8" t="str">
        <f t="shared" si="34"/>
        <v>FALSE</v>
      </c>
      <c r="R207" s="9" t="b">
        <f t="shared" si="35"/>
        <v>1</v>
      </c>
      <c r="S207" s="8" t="b">
        <f t="shared" si="36"/>
        <v>0</v>
      </c>
      <c r="T207" s="10" t="b">
        <f t="shared" si="37"/>
        <v>0</v>
      </c>
      <c r="U207" s="8" t="str">
        <f t="shared" si="38"/>
        <v>TRUE</v>
      </c>
      <c r="V207" s="11" t="str">
        <f t="shared" si="39"/>
        <v>TRUE</v>
      </c>
    </row>
    <row r="208" spans="1:22" ht="15.75">
      <c r="A208" s="21">
        <v>206</v>
      </c>
      <c r="B208" s="5" t="s">
        <v>648</v>
      </c>
      <c r="C208" s="23" t="s">
        <v>3451</v>
      </c>
      <c r="D208" s="23" t="s">
        <v>17</v>
      </c>
      <c r="E208" s="5" t="s">
        <v>649</v>
      </c>
      <c r="F208" s="71" t="s">
        <v>6102</v>
      </c>
      <c r="G208" s="22" t="s">
        <v>102</v>
      </c>
      <c r="H208" s="5" t="s">
        <v>55</v>
      </c>
      <c r="I208" s="5" t="s">
        <v>21</v>
      </c>
      <c r="J208" s="5" t="s">
        <v>5180</v>
      </c>
      <c r="K208" s="5" t="s">
        <v>650</v>
      </c>
      <c r="L208" s="22"/>
      <c r="M208" s="8" t="str">
        <f t="shared" si="30"/>
        <v>Ok</v>
      </c>
      <c r="N208" s="9" t="b">
        <f t="shared" si="31"/>
        <v>1</v>
      </c>
      <c r="O208" s="9" t="b">
        <f t="shared" si="32"/>
        <v>1</v>
      </c>
      <c r="P208" s="8" t="str">
        <f t="shared" si="33"/>
        <v>FALSE</v>
      </c>
      <c r="Q208" s="8" t="str">
        <f t="shared" si="34"/>
        <v>FALSE</v>
      </c>
      <c r="R208" s="9" t="b">
        <f t="shared" si="35"/>
        <v>0</v>
      </c>
      <c r="S208" s="8" t="b">
        <f t="shared" si="36"/>
        <v>0</v>
      </c>
      <c r="T208" s="10" t="b">
        <f t="shared" si="37"/>
        <v>0</v>
      </c>
      <c r="U208" s="8" t="str">
        <f t="shared" si="38"/>
        <v>TRUE</v>
      </c>
      <c r="V208" s="11" t="str">
        <f t="shared" si="39"/>
        <v>TRUE</v>
      </c>
    </row>
    <row r="209" spans="1:22" ht="15.75">
      <c r="A209" s="21">
        <v>207</v>
      </c>
      <c r="B209" s="5" t="s">
        <v>651</v>
      </c>
      <c r="C209" s="23" t="s">
        <v>3452</v>
      </c>
      <c r="D209" s="23" t="s">
        <v>17</v>
      </c>
      <c r="E209" s="5" t="s">
        <v>652</v>
      </c>
      <c r="F209" s="71" t="s">
        <v>6102</v>
      </c>
      <c r="G209" s="22" t="s">
        <v>160</v>
      </c>
      <c r="H209" s="5" t="s">
        <v>3932</v>
      </c>
      <c r="I209" s="5" t="s">
        <v>67</v>
      </c>
      <c r="J209" s="5" t="s">
        <v>5189</v>
      </c>
      <c r="K209" s="5" t="s">
        <v>653</v>
      </c>
      <c r="L209" s="22"/>
      <c r="M209" s="8" t="str">
        <f t="shared" si="30"/>
        <v>Ok</v>
      </c>
      <c r="N209" s="9" t="b">
        <f t="shared" si="31"/>
        <v>1</v>
      </c>
      <c r="O209" s="9" t="b">
        <f t="shared" si="32"/>
        <v>1</v>
      </c>
      <c r="P209" s="8" t="str">
        <f t="shared" si="33"/>
        <v>FALSE</v>
      </c>
      <c r="Q209" s="8" t="str">
        <f t="shared" si="34"/>
        <v>FALSE</v>
      </c>
      <c r="R209" s="9" t="b">
        <f t="shared" si="35"/>
        <v>0</v>
      </c>
      <c r="S209" s="8" t="b">
        <f t="shared" si="36"/>
        <v>0</v>
      </c>
      <c r="T209" s="10" t="b">
        <f t="shared" si="37"/>
        <v>0</v>
      </c>
      <c r="U209" s="8" t="str">
        <f t="shared" si="38"/>
        <v>TRUE</v>
      </c>
      <c r="V209" s="11" t="str">
        <f t="shared" si="39"/>
        <v>TRUE</v>
      </c>
    </row>
    <row r="210" spans="1:22" ht="15.75">
      <c r="A210" s="21">
        <v>208</v>
      </c>
      <c r="B210" s="5" t="s">
        <v>654</v>
      </c>
      <c r="C210" s="23" t="s">
        <v>3291</v>
      </c>
      <c r="D210" s="23" t="s">
        <v>77</v>
      </c>
      <c r="E210" s="5" t="s">
        <v>655</v>
      </c>
      <c r="F210" s="71" t="s">
        <v>6102</v>
      </c>
      <c r="G210" s="22" t="s">
        <v>179</v>
      </c>
      <c r="H210" s="5" t="s">
        <v>3932</v>
      </c>
      <c r="I210" s="5" t="s">
        <v>42</v>
      </c>
      <c r="J210" s="5" t="s">
        <v>5623</v>
      </c>
      <c r="K210" s="5" t="s">
        <v>656</v>
      </c>
      <c r="L210" s="22"/>
      <c r="M210" s="8" t="str">
        <f t="shared" si="30"/>
        <v>Ok</v>
      </c>
      <c r="N210" s="9" t="b">
        <f t="shared" si="31"/>
        <v>1</v>
      </c>
      <c r="O210" s="9" t="b">
        <f t="shared" si="32"/>
        <v>0</v>
      </c>
      <c r="P210" s="8" t="str">
        <f t="shared" si="33"/>
        <v>FALSE</v>
      </c>
      <c r="Q210" s="8" t="str">
        <f t="shared" si="34"/>
        <v>FALSE</v>
      </c>
      <c r="R210" s="9" t="b">
        <f t="shared" si="35"/>
        <v>1</v>
      </c>
      <c r="S210" s="8" t="b">
        <f t="shared" si="36"/>
        <v>0</v>
      </c>
      <c r="T210" s="10" t="b">
        <f t="shared" si="37"/>
        <v>1</v>
      </c>
      <c r="U210" s="8" t="str">
        <f t="shared" si="38"/>
        <v>FALSE</v>
      </c>
      <c r="V210" s="11" t="str">
        <f t="shared" si="39"/>
        <v>TRUE</v>
      </c>
    </row>
    <row r="211" spans="1:22" ht="15.75">
      <c r="A211" s="21">
        <v>209</v>
      </c>
      <c r="B211" s="5" t="s">
        <v>657</v>
      </c>
      <c r="C211" s="23" t="s">
        <v>3215</v>
      </c>
      <c r="D211" s="23" t="s">
        <v>77</v>
      </c>
      <c r="E211" s="5" t="s">
        <v>658</v>
      </c>
      <c r="F211" s="71" t="s">
        <v>6102</v>
      </c>
      <c r="G211" s="22" t="s">
        <v>172</v>
      </c>
      <c r="H211" s="5" t="s">
        <v>98</v>
      </c>
      <c r="I211" s="5" t="s">
        <v>26</v>
      </c>
      <c r="J211" s="5" t="s">
        <v>5638</v>
      </c>
      <c r="K211" s="5" t="s">
        <v>659</v>
      </c>
      <c r="L211" s="22"/>
      <c r="M211" s="8" t="str">
        <f t="shared" si="30"/>
        <v>Ok</v>
      </c>
      <c r="N211" s="9" t="b">
        <f t="shared" si="31"/>
        <v>1</v>
      </c>
      <c r="O211" s="9" t="b">
        <f t="shared" si="32"/>
        <v>0</v>
      </c>
      <c r="P211" s="8" t="str">
        <f t="shared" si="33"/>
        <v>FALSE</v>
      </c>
      <c r="Q211" s="8" t="str">
        <f t="shared" si="34"/>
        <v>FALSE</v>
      </c>
      <c r="R211" s="9" t="b">
        <f t="shared" si="35"/>
        <v>0</v>
      </c>
      <c r="S211" s="8" t="b">
        <f t="shared" si="36"/>
        <v>0</v>
      </c>
      <c r="T211" s="10" t="b">
        <f t="shared" si="37"/>
        <v>0</v>
      </c>
      <c r="U211" s="8" t="str">
        <f t="shared" si="38"/>
        <v>FALSE</v>
      </c>
      <c r="V211" s="11" t="str">
        <f t="shared" si="39"/>
        <v>TRUE</v>
      </c>
    </row>
    <row r="212" spans="1:22" ht="15.75">
      <c r="A212" s="21">
        <v>210</v>
      </c>
      <c r="B212" s="5" t="s">
        <v>660</v>
      </c>
      <c r="C212" s="23" t="s">
        <v>3346</v>
      </c>
      <c r="D212" s="23" t="s">
        <v>34</v>
      </c>
      <c r="E212" s="5" t="s">
        <v>661</v>
      </c>
      <c r="F212" s="71" t="s">
        <v>6102</v>
      </c>
      <c r="G212" s="22" t="s">
        <v>216</v>
      </c>
      <c r="H212" s="5" t="s">
        <v>217</v>
      </c>
      <c r="I212" s="5" t="s">
        <v>21</v>
      </c>
      <c r="J212" s="5" t="s">
        <v>5078</v>
      </c>
      <c r="K212" s="5" t="s">
        <v>662</v>
      </c>
      <c r="L212" s="22"/>
      <c r="M212" s="8" t="str">
        <f t="shared" si="30"/>
        <v>Ok</v>
      </c>
      <c r="N212" s="9" t="b">
        <f t="shared" si="31"/>
        <v>1</v>
      </c>
      <c r="O212" s="9" t="b">
        <f t="shared" si="32"/>
        <v>0</v>
      </c>
      <c r="P212" s="8" t="str">
        <f t="shared" si="33"/>
        <v>FALSE</v>
      </c>
      <c r="Q212" s="8" t="str">
        <f t="shared" si="34"/>
        <v>FALSE</v>
      </c>
      <c r="R212" s="9" t="b">
        <f t="shared" si="35"/>
        <v>0</v>
      </c>
      <c r="S212" s="8" t="b">
        <f t="shared" si="36"/>
        <v>0</v>
      </c>
      <c r="T212" s="10" t="b">
        <f t="shared" si="37"/>
        <v>0</v>
      </c>
      <c r="U212" s="8" t="str">
        <f t="shared" si="38"/>
        <v>TRUE</v>
      </c>
      <c r="V212" s="11" t="str">
        <f t="shared" si="39"/>
        <v>TRUE</v>
      </c>
    </row>
    <row r="213" spans="1:22" ht="15.75">
      <c r="A213" s="21">
        <v>211</v>
      </c>
      <c r="B213" s="5" t="s">
        <v>663</v>
      </c>
      <c r="C213" s="23" t="s">
        <v>3347</v>
      </c>
      <c r="D213" s="23" t="s">
        <v>34</v>
      </c>
      <c r="E213" s="5" t="s">
        <v>664</v>
      </c>
      <c r="F213" s="71" t="s">
        <v>6102</v>
      </c>
      <c r="G213" s="22" t="s">
        <v>93</v>
      </c>
      <c r="H213" s="5" t="s">
        <v>217</v>
      </c>
      <c r="I213" s="5" t="s">
        <v>14</v>
      </c>
      <c r="J213" s="5" t="s">
        <v>5193</v>
      </c>
      <c r="K213" s="5" t="s">
        <v>665</v>
      </c>
      <c r="L213" s="22"/>
      <c r="M213" s="8" t="str">
        <f t="shared" si="30"/>
        <v>Ok</v>
      </c>
      <c r="N213" s="9" t="b">
        <f t="shared" si="31"/>
        <v>1</v>
      </c>
      <c r="O213" s="9" t="b">
        <f t="shared" si="32"/>
        <v>0</v>
      </c>
      <c r="P213" s="8" t="str">
        <f t="shared" si="33"/>
        <v>FALSE</v>
      </c>
      <c r="Q213" s="8" t="str">
        <f t="shared" si="34"/>
        <v>FALSE</v>
      </c>
      <c r="R213" s="9" t="b">
        <f t="shared" si="35"/>
        <v>0</v>
      </c>
      <c r="S213" s="8" t="b">
        <f t="shared" si="36"/>
        <v>0</v>
      </c>
      <c r="T213" s="10" t="b">
        <f t="shared" si="37"/>
        <v>1</v>
      </c>
      <c r="U213" s="8" t="str">
        <f t="shared" si="38"/>
        <v>TRUE</v>
      </c>
      <c r="V213" s="11" t="str">
        <f t="shared" si="39"/>
        <v>TRUE</v>
      </c>
    </row>
    <row r="214" spans="1:22" ht="15.75">
      <c r="A214" s="21">
        <v>212</v>
      </c>
      <c r="B214" s="5" t="s">
        <v>666</v>
      </c>
      <c r="C214" s="23" t="s">
        <v>3551</v>
      </c>
      <c r="D214" s="23" t="s">
        <v>77</v>
      </c>
      <c r="E214" s="5" t="s">
        <v>667</v>
      </c>
      <c r="F214" s="71" t="s">
        <v>6102</v>
      </c>
      <c r="G214" s="22" t="s">
        <v>12</v>
      </c>
      <c r="H214" s="5" t="s">
        <v>36</v>
      </c>
      <c r="I214" s="5" t="s">
        <v>56</v>
      </c>
      <c r="J214" s="5" t="s">
        <v>5226</v>
      </c>
      <c r="K214" s="5" t="s">
        <v>668</v>
      </c>
      <c r="L214" s="22"/>
      <c r="M214" s="8" t="str">
        <f t="shared" si="30"/>
        <v>Ok</v>
      </c>
      <c r="N214" s="9" t="b">
        <f t="shared" si="31"/>
        <v>1</v>
      </c>
      <c r="O214" s="9" t="b">
        <f t="shared" si="32"/>
        <v>0</v>
      </c>
      <c r="P214" s="8" t="str">
        <f t="shared" si="33"/>
        <v>FALSE</v>
      </c>
      <c r="Q214" s="8" t="str">
        <f t="shared" si="34"/>
        <v>FALSE</v>
      </c>
      <c r="R214" s="9" t="b">
        <f t="shared" si="35"/>
        <v>1</v>
      </c>
      <c r="S214" s="8" t="b">
        <f t="shared" si="36"/>
        <v>1</v>
      </c>
      <c r="T214" s="10" t="b">
        <f t="shared" si="37"/>
        <v>1</v>
      </c>
      <c r="U214" s="8" t="str">
        <f t="shared" si="38"/>
        <v>TRUE</v>
      </c>
      <c r="V214" s="11" t="str">
        <f t="shared" si="39"/>
        <v>TRUE</v>
      </c>
    </row>
    <row r="215" spans="1:22" ht="15.75">
      <c r="A215" s="21">
        <v>213</v>
      </c>
      <c r="B215" s="5" t="s">
        <v>669</v>
      </c>
      <c r="C215" s="23" t="s">
        <v>3879</v>
      </c>
      <c r="D215" s="23" t="s">
        <v>17</v>
      </c>
      <c r="E215" s="5" t="s">
        <v>670</v>
      </c>
      <c r="F215" s="71" t="s">
        <v>6102</v>
      </c>
      <c r="G215" s="22" t="s">
        <v>119</v>
      </c>
      <c r="H215" s="5" t="s">
        <v>120</v>
      </c>
      <c r="I215" s="5" t="s">
        <v>50</v>
      </c>
      <c r="J215" s="5" t="s">
        <v>5482</v>
      </c>
      <c r="K215" s="5" t="s">
        <v>671</v>
      </c>
      <c r="L215" s="22"/>
      <c r="M215" s="8" t="str">
        <f t="shared" si="30"/>
        <v>Ok</v>
      </c>
      <c r="N215" s="9" t="b">
        <f t="shared" si="31"/>
        <v>0</v>
      </c>
      <c r="O215" s="9" t="b">
        <f t="shared" si="32"/>
        <v>1</v>
      </c>
      <c r="P215" s="8" t="str">
        <f t="shared" si="33"/>
        <v>FALSE</v>
      </c>
      <c r="Q215" s="8" t="str">
        <f t="shared" si="34"/>
        <v>FALSE</v>
      </c>
      <c r="R215" s="9" t="b">
        <f t="shared" si="35"/>
        <v>0</v>
      </c>
      <c r="S215" s="8" t="b">
        <f t="shared" si="36"/>
        <v>1</v>
      </c>
      <c r="T215" s="10" t="b">
        <f t="shared" si="37"/>
        <v>0</v>
      </c>
      <c r="U215" s="8" t="str">
        <f t="shared" si="38"/>
        <v>FALSE</v>
      </c>
      <c r="V215" s="11" t="str">
        <f t="shared" si="39"/>
        <v>TRUE</v>
      </c>
    </row>
    <row r="216" spans="1:22" ht="15.75">
      <c r="A216" s="21">
        <v>214</v>
      </c>
      <c r="B216" s="5" t="s">
        <v>672</v>
      </c>
      <c r="C216" s="23" t="s">
        <v>3600</v>
      </c>
      <c r="D216" s="23" t="s">
        <v>59</v>
      </c>
      <c r="E216" s="5" t="s">
        <v>673</v>
      </c>
      <c r="F216" s="71" t="s">
        <v>6102</v>
      </c>
      <c r="G216" s="22" t="s">
        <v>179</v>
      </c>
      <c r="H216" s="5" t="s">
        <v>13</v>
      </c>
      <c r="I216" s="5" t="s">
        <v>26</v>
      </c>
      <c r="J216" s="5" t="s">
        <v>5692</v>
      </c>
      <c r="K216" s="5" t="s">
        <v>674</v>
      </c>
      <c r="L216" s="22"/>
      <c r="M216" s="8" t="str">
        <f t="shared" si="30"/>
        <v>Ok</v>
      </c>
      <c r="N216" s="9" t="b">
        <f t="shared" si="31"/>
        <v>1</v>
      </c>
      <c r="O216" s="9" t="b">
        <f t="shared" si="32"/>
        <v>1</v>
      </c>
      <c r="P216" s="8" t="str">
        <f t="shared" si="33"/>
        <v>FALSE</v>
      </c>
      <c r="Q216" s="8" t="str">
        <f t="shared" si="34"/>
        <v>FALSE</v>
      </c>
      <c r="R216" s="9" t="b">
        <f t="shared" si="35"/>
        <v>1</v>
      </c>
      <c r="S216" s="8" t="b">
        <f t="shared" si="36"/>
        <v>0</v>
      </c>
      <c r="T216" s="10" t="b">
        <f t="shared" si="37"/>
        <v>0</v>
      </c>
      <c r="U216" s="8" t="str">
        <f t="shared" si="38"/>
        <v>FALSE</v>
      </c>
      <c r="V216" s="11" t="str">
        <f t="shared" si="39"/>
        <v>TRUE</v>
      </c>
    </row>
    <row r="217" spans="1:22" ht="15.75">
      <c r="A217" s="21">
        <v>215</v>
      </c>
      <c r="B217" s="5" t="s">
        <v>675</v>
      </c>
      <c r="C217" s="23" t="s">
        <v>3601</v>
      </c>
      <c r="D217" s="23" t="s">
        <v>17</v>
      </c>
      <c r="E217" s="5" t="s">
        <v>676</v>
      </c>
      <c r="F217" s="71" t="s">
        <v>6102</v>
      </c>
      <c r="G217" s="22" t="s">
        <v>179</v>
      </c>
      <c r="H217" s="5" t="s">
        <v>13</v>
      </c>
      <c r="I217" s="5" t="s">
        <v>67</v>
      </c>
      <c r="J217" s="5" t="s">
        <v>5195</v>
      </c>
      <c r="K217" s="5" t="s">
        <v>677</v>
      </c>
      <c r="L217" s="22"/>
      <c r="M217" s="8" t="str">
        <f t="shared" si="30"/>
        <v>Ok</v>
      </c>
      <c r="N217" s="9" t="b">
        <f t="shared" si="31"/>
        <v>1</v>
      </c>
      <c r="O217" s="9" t="b">
        <f t="shared" si="32"/>
        <v>1</v>
      </c>
      <c r="P217" s="8" t="str">
        <f t="shared" si="33"/>
        <v>FALSE</v>
      </c>
      <c r="Q217" s="8" t="str">
        <f t="shared" si="34"/>
        <v>FALSE</v>
      </c>
      <c r="R217" s="9" t="b">
        <f t="shared" si="35"/>
        <v>1</v>
      </c>
      <c r="S217" s="8" t="b">
        <f t="shared" si="36"/>
        <v>0</v>
      </c>
      <c r="T217" s="10" t="b">
        <f t="shared" si="37"/>
        <v>0</v>
      </c>
      <c r="U217" s="8" t="str">
        <f t="shared" si="38"/>
        <v>TRUE</v>
      </c>
      <c r="V217" s="11" t="str">
        <f t="shared" si="39"/>
        <v>TRUE</v>
      </c>
    </row>
    <row r="218" spans="1:22" ht="15.75">
      <c r="A218" s="21">
        <v>216</v>
      </c>
      <c r="B218" s="5" t="s">
        <v>678</v>
      </c>
      <c r="C218" s="23" t="s">
        <v>2997</v>
      </c>
      <c r="D218" s="23" t="s">
        <v>34</v>
      </c>
      <c r="E218" s="5" t="s">
        <v>679</v>
      </c>
      <c r="F218" s="71" t="s">
        <v>6102</v>
      </c>
      <c r="G218" s="22" t="s">
        <v>40</v>
      </c>
      <c r="H218" s="5" t="s">
        <v>71</v>
      </c>
      <c r="I218" s="5" t="s">
        <v>14</v>
      </c>
      <c r="J218" s="5" t="s">
        <v>5210</v>
      </c>
      <c r="K218" s="5" t="s">
        <v>680</v>
      </c>
      <c r="L218" s="22"/>
      <c r="M218" s="8" t="str">
        <f t="shared" si="30"/>
        <v>Ok</v>
      </c>
      <c r="N218" s="9" t="b">
        <f t="shared" si="31"/>
        <v>0</v>
      </c>
      <c r="O218" s="9" t="b">
        <f t="shared" si="32"/>
        <v>0</v>
      </c>
      <c r="P218" s="8" t="str">
        <f t="shared" si="33"/>
        <v>FALSE</v>
      </c>
      <c r="Q218" s="8" t="str">
        <f t="shared" si="34"/>
        <v>FALSE</v>
      </c>
      <c r="R218" s="9" t="b">
        <f t="shared" si="35"/>
        <v>1</v>
      </c>
      <c r="S218" s="8" t="b">
        <f t="shared" si="36"/>
        <v>1</v>
      </c>
      <c r="T218" s="10" t="b">
        <f t="shared" si="37"/>
        <v>1</v>
      </c>
      <c r="U218" s="8" t="str">
        <f t="shared" si="38"/>
        <v>TRUE</v>
      </c>
      <c r="V218" s="11" t="str">
        <f t="shared" si="39"/>
        <v>TRUE</v>
      </c>
    </row>
    <row r="219" spans="1:22" ht="15.75">
      <c r="A219" s="21">
        <v>217</v>
      </c>
      <c r="B219" s="5" t="s">
        <v>681</v>
      </c>
      <c r="C219" s="23" t="s">
        <v>3679</v>
      </c>
      <c r="D219" s="23" t="s">
        <v>59</v>
      </c>
      <c r="E219" s="5" t="s">
        <v>682</v>
      </c>
      <c r="F219" s="71" t="s">
        <v>6102</v>
      </c>
      <c r="G219" s="22" t="s">
        <v>3934</v>
      </c>
      <c r="H219" s="5" t="s">
        <v>13</v>
      </c>
      <c r="I219" s="5" t="s">
        <v>26</v>
      </c>
      <c r="J219" s="5" t="s">
        <v>5373</v>
      </c>
      <c r="K219" s="5" t="s">
        <v>683</v>
      </c>
      <c r="L219" s="22"/>
      <c r="M219" s="8" t="str">
        <f t="shared" si="30"/>
        <v>Ok</v>
      </c>
      <c r="N219" s="9" t="b">
        <f t="shared" si="31"/>
        <v>1</v>
      </c>
      <c r="O219" s="9" t="b">
        <f t="shared" si="32"/>
        <v>1</v>
      </c>
      <c r="P219" s="8" t="str">
        <f t="shared" si="33"/>
        <v>FALSE</v>
      </c>
      <c r="Q219" s="8" t="str">
        <f t="shared" si="34"/>
        <v>FALSE</v>
      </c>
      <c r="R219" s="9" t="b">
        <f t="shared" si="35"/>
        <v>0</v>
      </c>
      <c r="S219" s="8" t="b">
        <f t="shared" si="36"/>
        <v>0</v>
      </c>
      <c r="T219" s="10" t="b">
        <f t="shared" si="37"/>
        <v>0</v>
      </c>
      <c r="U219" s="8" t="str">
        <f t="shared" si="38"/>
        <v>TRUE</v>
      </c>
      <c r="V219" s="11" t="str">
        <f t="shared" si="39"/>
        <v>TRUE</v>
      </c>
    </row>
    <row r="220" spans="1:22" ht="15.75">
      <c r="A220" s="21">
        <v>218</v>
      </c>
      <c r="B220" s="5" t="s">
        <v>684</v>
      </c>
      <c r="C220" s="23" t="s">
        <v>3602</v>
      </c>
      <c r="D220" s="23" t="s">
        <v>59</v>
      </c>
      <c r="E220" s="5" t="s">
        <v>685</v>
      </c>
      <c r="F220" s="71" t="s">
        <v>6102</v>
      </c>
      <c r="G220" s="22" t="s">
        <v>160</v>
      </c>
      <c r="H220" s="5" t="s">
        <v>36</v>
      </c>
      <c r="I220" s="5" t="s">
        <v>14</v>
      </c>
      <c r="J220" s="5" t="s">
        <v>5185</v>
      </c>
      <c r="K220" s="5" t="s">
        <v>686</v>
      </c>
      <c r="L220" s="22"/>
      <c r="M220" s="8" t="str">
        <f t="shared" si="30"/>
        <v>Ok</v>
      </c>
      <c r="N220" s="9" t="b">
        <f t="shared" si="31"/>
        <v>1</v>
      </c>
      <c r="O220" s="9" t="b">
        <f t="shared" si="32"/>
        <v>1</v>
      </c>
      <c r="P220" s="8" t="str">
        <f t="shared" si="33"/>
        <v>FALSE</v>
      </c>
      <c r="Q220" s="8" t="str">
        <f t="shared" si="34"/>
        <v>FALSE</v>
      </c>
      <c r="R220" s="9" t="b">
        <f t="shared" si="35"/>
        <v>0</v>
      </c>
      <c r="S220" s="8" t="b">
        <f t="shared" si="36"/>
        <v>1</v>
      </c>
      <c r="T220" s="10" t="b">
        <f t="shared" si="37"/>
        <v>1</v>
      </c>
      <c r="U220" s="8" t="str">
        <f t="shared" si="38"/>
        <v>TRUE</v>
      </c>
      <c r="V220" s="11" t="str">
        <f t="shared" si="39"/>
        <v>TRUE</v>
      </c>
    </row>
    <row r="221" spans="1:22" ht="15.75">
      <c r="A221" s="21">
        <v>219</v>
      </c>
      <c r="B221" s="5" t="s">
        <v>687</v>
      </c>
      <c r="C221" s="23" t="s">
        <v>3772</v>
      </c>
      <c r="D221" s="23" t="s">
        <v>17</v>
      </c>
      <c r="E221" s="5" t="s">
        <v>688</v>
      </c>
      <c r="F221" s="71" t="s">
        <v>6102</v>
      </c>
      <c r="G221" s="22" t="s">
        <v>24</v>
      </c>
      <c r="H221" s="5" t="s">
        <v>46</v>
      </c>
      <c r="I221" s="5" t="s">
        <v>26</v>
      </c>
      <c r="J221" s="5" t="s">
        <v>5020</v>
      </c>
      <c r="K221" s="5" t="s">
        <v>689</v>
      </c>
      <c r="L221" s="22"/>
      <c r="M221" s="8" t="str">
        <f t="shared" si="30"/>
        <v>Ok</v>
      </c>
      <c r="N221" s="9" t="b">
        <f t="shared" si="31"/>
        <v>0</v>
      </c>
      <c r="O221" s="9" t="b">
        <f t="shared" si="32"/>
        <v>1</v>
      </c>
      <c r="P221" s="8" t="str">
        <f t="shared" si="33"/>
        <v>FALSE</v>
      </c>
      <c r="Q221" s="8" t="str">
        <f t="shared" si="34"/>
        <v>FALSE</v>
      </c>
      <c r="R221" s="9" t="b">
        <f t="shared" si="35"/>
        <v>0</v>
      </c>
      <c r="S221" s="8" t="b">
        <f t="shared" si="36"/>
        <v>0</v>
      </c>
      <c r="T221" s="10" t="b">
        <f t="shared" si="37"/>
        <v>0</v>
      </c>
      <c r="U221" s="8" t="str">
        <f t="shared" si="38"/>
        <v>TRUE</v>
      </c>
      <c r="V221" s="11" t="str">
        <f t="shared" si="39"/>
        <v>TRUE</v>
      </c>
    </row>
    <row r="222" spans="1:22" ht="15.75">
      <c r="A222" s="21">
        <v>220</v>
      </c>
      <c r="B222" s="5" t="s">
        <v>690</v>
      </c>
      <c r="C222" s="23" t="s">
        <v>3216</v>
      </c>
      <c r="D222" s="23" t="s">
        <v>34</v>
      </c>
      <c r="E222" s="5" t="s">
        <v>691</v>
      </c>
      <c r="F222" s="71" t="s">
        <v>6102</v>
      </c>
      <c r="G222" s="22" t="s">
        <v>172</v>
      </c>
      <c r="H222" s="5" t="s">
        <v>98</v>
      </c>
      <c r="I222" s="5" t="s">
        <v>42</v>
      </c>
      <c r="J222" s="5" t="s">
        <v>5199</v>
      </c>
      <c r="K222" s="5" t="s">
        <v>692</v>
      </c>
      <c r="L222" s="22"/>
      <c r="M222" s="8" t="str">
        <f t="shared" si="30"/>
        <v>Ok</v>
      </c>
      <c r="N222" s="9" t="b">
        <f t="shared" si="31"/>
        <v>1</v>
      </c>
      <c r="O222" s="9" t="b">
        <f t="shared" si="32"/>
        <v>0</v>
      </c>
      <c r="P222" s="8" t="str">
        <f t="shared" si="33"/>
        <v>FALSE</v>
      </c>
      <c r="Q222" s="8" t="str">
        <f t="shared" si="34"/>
        <v>FALSE</v>
      </c>
      <c r="R222" s="9" t="b">
        <f t="shared" si="35"/>
        <v>0</v>
      </c>
      <c r="S222" s="8" t="b">
        <f t="shared" si="36"/>
        <v>0</v>
      </c>
      <c r="T222" s="10" t="b">
        <f t="shared" si="37"/>
        <v>1</v>
      </c>
      <c r="U222" s="8" t="str">
        <f t="shared" si="38"/>
        <v>TRUE</v>
      </c>
      <c r="V222" s="11" t="str">
        <f t="shared" si="39"/>
        <v>TRUE</v>
      </c>
    </row>
    <row r="223" spans="1:22" ht="15.75">
      <c r="A223" s="21">
        <v>221</v>
      </c>
      <c r="B223" s="5" t="s">
        <v>693</v>
      </c>
      <c r="C223" s="23" t="s">
        <v>2998</v>
      </c>
      <c r="D223" s="23" t="s">
        <v>34</v>
      </c>
      <c r="E223" s="5" t="s">
        <v>694</v>
      </c>
      <c r="F223" s="71" t="s">
        <v>6102</v>
      </c>
      <c r="G223" s="22" t="s">
        <v>179</v>
      </c>
      <c r="H223" s="5" t="s">
        <v>3932</v>
      </c>
      <c r="I223" s="5" t="s">
        <v>56</v>
      </c>
      <c r="J223" s="5" t="s">
        <v>5351</v>
      </c>
      <c r="K223" s="5" t="s">
        <v>695</v>
      </c>
      <c r="L223" s="22"/>
      <c r="M223" s="8" t="str">
        <f t="shared" si="30"/>
        <v>Ok</v>
      </c>
      <c r="N223" s="9" t="b">
        <f t="shared" si="31"/>
        <v>0</v>
      </c>
      <c r="O223" s="9" t="b">
        <f t="shared" si="32"/>
        <v>0</v>
      </c>
      <c r="P223" s="8" t="str">
        <f t="shared" si="33"/>
        <v>FALSE</v>
      </c>
      <c r="Q223" s="8" t="str">
        <f t="shared" si="34"/>
        <v>FALSE</v>
      </c>
      <c r="R223" s="9" t="b">
        <f t="shared" si="35"/>
        <v>1</v>
      </c>
      <c r="S223" s="8" t="b">
        <f t="shared" si="36"/>
        <v>0</v>
      </c>
      <c r="T223" s="10" t="b">
        <f t="shared" si="37"/>
        <v>1</v>
      </c>
      <c r="U223" s="8" t="str">
        <f t="shared" si="38"/>
        <v>TRUE</v>
      </c>
      <c r="V223" s="11" t="str">
        <f t="shared" si="39"/>
        <v>TRUE</v>
      </c>
    </row>
    <row r="224" spans="1:22" ht="15.75">
      <c r="A224" s="21">
        <v>222</v>
      </c>
      <c r="B224" s="5" t="s">
        <v>3943</v>
      </c>
      <c r="C224" s="23" t="s">
        <v>3292</v>
      </c>
      <c r="D224" s="23" t="s">
        <v>77</v>
      </c>
      <c r="E224" s="5" t="s">
        <v>696</v>
      </c>
      <c r="F224" s="71" t="s">
        <v>6102</v>
      </c>
      <c r="G224" s="22" t="s">
        <v>179</v>
      </c>
      <c r="H224" s="5" t="s">
        <v>3932</v>
      </c>
      <c r="I224" s="5" t="s">
        <v>14</v>
      </c>
      <c r="J224" s="5" t="s">
        <v>5554</v>
      </c>
      <c r="K224" s="5" t="s">
        <v>697</v>
      </c>
      <c r="L224" s="22"/>
      <c r="M224" s="8" t="str">
        <f t="shared" si="30"/>
        <v>Ok</v>
      </c>
      <c r="N224" s="9" t="b">
        <f t="shared" si="31"/>
        <v>1</v>
      </c>
      <c r="O224" s="9" t="b">
        <f t="shared" si="32"/>
        <v>0</v>
      </c>
      <c r="P224" s="8" t="str">
        <f t="shared" si="33"/>
        <v>FALSE</v>
      </c>
      <c r="Q224" s="8" t="str">
        <f t="shared" si="34"/>
        <v>FALSE</v>
      </c>
      <c r="R224" s="9" t="b">
        <f t="shared" si="35"/>
        <v>1</v>
      </c>
      <c r="S224" s="8" t="b">
        <f t="shared" si="36"/>
        <v>0</v>
      </c>
      <c r="T224" s="10" t="b">
        <f t="shared" si="37"/>
        <v>1</v>
      </c>
      <c r="U224" s="8" t="str">
        <f t="shared" si="38"/>
        <v>FALSE</v>
      </c>
      <c r="V224" s="11" t="str">
        <f t="shared" si="39"/>
        <v>TRUE</v>
      </c>
    </row>
    <row r="225" spans="1:22" ht="15.75">
      <c r="A225" s="21">
        <v>223</v>
      </c>
      <c r="B225" s="5" t="s">
        <v>698</v>
      </c>
      <c r="C225" s="23" t="s">
        <v>3127</v>
      </c>
      <c r="D225" s="23" t="s">
        <v>77</v>
      </c>
      <c r="E225" s="5" t="s">
        <v>699</v>
      </c>
      <c r="F225" s="71" t="s">
        <v>6102</v>
      </c>
      <c r="G225" s="22" t="s">
        <v>179</v>
      </c>
      <c r="H225" s="22" t="s">
        <v>3932</v>
      </c>
      <c r="I225" s="5" t="s">
        <v>67</v>
      </c>
      <c r="J225" s="5" t="s">
        <v>5762</v>
      </c>
      <c r="K225" s="5" t="s">
        <v>700</v>
      </c>
      <c r="L225" s="22"/>
      <c r="M225" s="8" t="str">
        <f t="shared" si="30"/>
        <v>Ok</v>
      </c>
      <c r="N225" s="9" t="b">
        <f t="shared" si="31"/>
        <v>0</v>
      </c>
      <c r="O225" s="9" t="b">
        <f t="shared" si="32"/>
        <v>0</v>
      </c>
      <c r="P225" s="8" t="str">
        <f t="shared" si="33"/>
        <v>FALSE</v>
      </c>
      <c r="Q225" s="8" t="str">
        <f t="shared" si="34"/>
        <v>FALSE</v>
      </c>
      <c r="R225" s="9" t="b">
        <f t="shared" si="35"/>
        <v>1</v>
      </c>
      <c r="S225" s="8" t="b">
        <f t="shared" si="36"/>
        <v>0</v>
      </c>
      <c r="T225" s="10" t="b">
        <f t="shared" si="37"/>
        <v>0</v>
      </c>
      <c r="U225" s="8" t="str">
        <f t="shared" si="38"/>
        <v>FALSE</v>
      </c>
      <c r="V225" s="11" t="str">
        <f t="shared" si="39"/>
        <v>TRUE</v>
      </c>
    </row>
    <row r="226" spans="1:22" ht="15.75">
      <c r="A226" s="21">
        <v>224</v>
      </c>
      <c r="B226" s="5" t="s">
        <v>701</v>
      </c>
      <c r="C226" s="23" t="s">
        <v>3453</v>
      </c>
      <c r="D226" s="23" t="s">
        <v>17</v>
      </c>
      <c r="E226" s="5" t="s">
        <v>702</v>
      </c>
      <c r="F226" s="71" t="s">
        <v>6102</v>
      </c>
      <c r="G226" s="22" t="s">
        <v>160</v>
      </c>
      <c r="H226" s="5" t="s">
        <v>3932</v>
      </c>
      <c r="I226" s="5" t="s">
        <v>26</v>
      </c>
      <c r="J226" s="5" t="s">
        <v>5399</v>
      </c>
      <c r="K226" s="5" t="s">
        <v>703</v>
      </c>
      <c r="L226" s="22"/>
      <c r="M226" s="8" t="str">
        <f t="shared" si="30"/>
        <v>Ok</v>
      </c>
      <c r="N226" s="9" t="b">
        <f t="shared" si="31"/>
        <v>1</v>
      </c>
      <c r="O226" s="9" t="b">
        <f t="shared" si="32"/>
        <v>1</v>
      </c>
      <c r="P226" s="8" t="str">
        <f t="shared" si="33"/>
        <v>FALSE</v>
      </c>
      <c r="Q226" s="8" t="str">
        <f t="shared" si="34"/>
        <v>FALSE</v>
      </c>
      <c r="R226" s="9" t="b">
        <f t="shared" si="35"/>
        <v>0</v>
      </c>
      <c r="S226" s="8" t="b">
        <f t="shared" si="36"/>
        <v>0</v>
      </c>
      <c r="T226" s="10" t="b">
        <f t="shared" si="37"/>
        <v>0</v>
      </c>
      <c r="U226" s="8" t="str">
        <f t="shared" si="38"/>
        <v>TRUE</v>
      </c>
      <c r="V226" s="11" t="str">
        <f t="shared" si="39"/>
        <v>TRUE</v>
      </c>
    </row>
    <row r="227" spans="1:22" ht="15.75">
      <c r="A227" s="21">
        <v>225</v>
      </c>
      <c r="B227" s="5" t="s">
        <v>704</v>
      </c>
      <c r="C227" s="23" t="s">
        <v>3773</v>
      </c>
      <c r="D227" s="23" t="s">
        <v>59</v>
      </c>
      <c r="E227" s="5" t="s">
        <v>705</v>
      </c>
      <c r="F227" s="71" t="s">
        <v>6102</v>
      </c>
      <c r="G227" s="22" t="s">
        <v>24</v>
      </c>
      <c r="H227" s="5" t="s">
        <v>25</v>
      </c>
      <c r="I227" s="5" t="s">
        <v>26</v>
      </c>
      <c r="J227" s="5" t="s">
        <v>5583</v>
      </c>
      <c r="K227" s="5" t="s">
        <v>706</v>
      </c>
      <c r="L227" s="22"/>
      <c r="M227" s="8" t="str">
        <f t="shared" si="30"/>
        <v>Ok</v>
      </c>
      <c r="N227" s="9" t="b">
        <f t="shared" si="31"/>
        <v>0</v>
      </c>
      <c r="O227" s="9" t="b">
        <f t="shared" si="32"/>
        <v>1</v>
      </c>
      <c r="P227" s="8" t="str">
        <f t="shared" si="33"/>
        <v>FALSE</v>
      </c>
      <c r="Q227" s="8" t="str">
        <f t="shared" si="34"/>
        <v>FALSE</v>
      </c>
      <c r="R227" s="9" t="b">
        <f t="shared" si="35"/>
        <v>0</v>
      </c>
      <c r="S227" s="8" t="b">
        <f t="shared" si="36"/>
        <v>0</v>
      </c>
      <c r="T227" s="10" t="b">
        <f t="shared" si="37"/>
        <v>0</v>
      </c>
      <c r="U227" s="8" t="str">
        <f t="shared" si="38"/>
        <v>FALSE</v>
      </c>
      <c r="V227" s="11" t="str">
        <f t="shared" si="39"/>
        <v>TRUE</v>
      </c>
    </row>
    <row r="228" spans="1:22" ht="15.75">
      <c r="A228" s="21">
        <v>226</v>
      </c>
      <c r="B228" s="5" t="s">
        <v>707</v>
      </c>
      <c r="C228" s="23" t="s">
        <v>3348</v>
      </c>
      <c r="D228" s="23" t="s">
        <v>34</v>
      </c>
      <c r="E228" s="5" t="s">
        <v>708</v>
      </c>
      <c r="F228" s="71" t="s">
        <v>6102</v>
      </c>
      <c r="G228" s="22" t="s">
        <v>3933</v>
      </c>
      <c r="H228" s="5" t="s">
        <v>3932</v>
      </c>
      <c r="I228" s="5" t="s">
        <v>67</v>
      </c>
      <c r="J228" s="5" t="s">
        <v>5223</v>
      </c>
      <c r="K228" s="5" t="s">
        <v>709</v>
      </c>
      <c r="L228" s="22"/>
      <c r="M228" s="8" t="str">
        <f t="shared" si="30"/>
        <v>Ok</v>
      </c>
      <c r="N228" s="9" t="b">
        <f t="shared" si="31"/>
        <v>1</v>
      </c>
      <c r="O228" s="9" t="b">
        <f t="shared" si="32"/>
        <v>0</v>
      </c>
      <c r="P228" s="8" t="str">
        <f t="shared" si="33"/>
        <v>FALSE</v>
      </c>
      <c r="Q228" s="8" t="str">
        <f t="shared" si="34"/>
        <v>FALSE</v>
      </c>
      <c r="R228" s="9" t="b">
        <f t="shared" si="35"/>
        <v>0</v>
      </c>
      <c r="S228" s="8" t="b">
        <f t="shared" si="36"/>
        <v>0</v>
      </c>
      <c r="T228" s="10" t="b">
        <f t="shared" si="37"/>
        <v>0</v>
      </c>
      <c r="U228" s="8" t="str">
        <f t="shared" si="38"/>
        <v>TRUE</v>
      </c>
      <c r="V228" s="11" t="str">
        <f t="shared" si="39"/>
        <v>TRUE</v>
      </c>
    </row>
    <row r="229" spans="1:22" ht="15.75">
      <c r="A229" s="21">
        <v>227</v>
      </c>
      <c r="B229" s="5" t="s">
        <v>710</v>
      </c>
      <c r="C229" s="23" t="s">
        <v>3293</v>
      </c>
      <c r="D229" s="23" t="s">
        <v>34</v>
      </c>
      <c r="E229" s="5" t="s">
        <v>711</v>
      </c>
      <c r="F229" s="71" t="s">
        <v>6102</v>
      </c>
      <c r="G229" s="22" t="s">
        <v>179</v>
      </c>
      <c r="H229" s="5" t="s">
        <v>3932</v>
      </c>
      <c r="I229" s="5" t="s">
        <v>14</v>
      </c>
      <c r="J229" s="5" t="s">
        <v>5303</v>
      </c>
      <c r="K229" s="5" t="s">
        <v>712</v>
      </c>
      <c r="L229" s="22"/>
      <c r="M229" s="8" t="str">
        <f t="shared" si="30"/>
        <v>Ok</v>
      </c>
      <c r="N229" s="9" t="b">
        <f t="shared" si="31"/>
        <v>1</v>
      </c>
      <c r="O229" s="9" t="b">
        <f t="shared" si="32"/>
        <v>0</v>
      </c>
      <c r="P229" s="8" t="str">
        <f t="shared" si="33"/>
        <v>FALSE</v>
      </c>
      <c r="Q229" s="8" t="str">
        <f t="shared" si="34"/>
        <v>FALSE</v>
      </c>
      <c r="R229" s="9" t="b">
        <f t="shared" si="35"/>
        <v>1</v>
      </c>
      <c r="S229" s="8" t="b">
        <f t="shared" si="36"/>
        <v>0</v>
      </c>
      <c r="T229" s="10" t="b">
        <f t="shared" si="37"/>
        <v>1</v>
      </c>
      <c r="U229" s="8" t="str">
        <f t="shared" si="38"/>
        <v>TRUE</v>
      </c>
      <c r="V229" s="11" t="str">
        <f t="shared" si="39"/>
        <v>TRUE</v>
      </c>
    </row>
    <row r="230" spans="1:22" ht="15.75">
      <c r="A230" s="21">
        <v>228</v>
      </c>
      <c r="B230" s="5" t="s">
        <v>713</v>
      </c>
      <c r="C230" s="23" t="s">
        <v>3084</v>
      </c>
      <c r="D230" s="23" t="s">
        <v>77</v>
      </c>
      <c r="E230" s="5" t="s">
        <v>714</v>
      </c>
      <c r="F230" s="71" t="s">
        <v>6102</v>
      </c>
      <c r="G230" s="22" t="s">
        <v>179</v>
      </c>
      <c r="H230" s="5" t="s">
        <v>3932</v>
      </c>
      <c r="I230" s="5" t="s">
        <v>21</v>
      </c>
      <c r="J230" s="5" t="s">
        <v>5699</v>
      </c>
      <c r="K230" s="5">
        <v>89756465522</v>
      </c>
      <c r="L230" s="22"/>
      <c r="M230" s="8" t="str">
        <f t="shared" si="30"/>
        <v>Ok</v>
      </c>
      <c r="N230" s="9" t="b">
        <f t="shared" si="31"/>
        <v>0</v>
      </c>
      <c r="O230" s="9" t="b">
        <f t="shared" si="32"/>
        <v>0</v>
      </c>
      <c r="P230" s="8" t="str">
        <f t="shared" si="33"/>
        <v>FALSE</v>
      </c>
      <c r="Q230" s="8" t="str">
        <f t="shared" si="34"/>
        <v>FALSE</v>
      </c>
      <c r="R230" s="9" t="b">
        <f t="shared" si="35"/>
        <v>1</v>
      </c>
      <c r="S230" s="8" t="b">
        <f t="shared" si="36"/>
        <v>0</v>
      </c>
      <c r="T230" s="10" t="b">
        <f t="shared" si="37"/>
        <v>0</v>
      </c>
      <c r="U230" s="8" t="str">
        <f t="shared" si="38"/>
        <v>FALSE</v>
      </c>
      <c r="V230" s="11" t="str">
        <f t="shared" si="39"/>
        <v>FALSE</v>
      </c>
    </row>
    <row r="231" spans="1:22" ht="15.75">
      <c r="A231" s="21">
        <v>229</v>
      </c>
      <c r="B231" s="5" t="s">
        <v>715</v>
      </c>
      <c r="C231" s="23" t="s">
        <v>3349</v>
      </c>
      <c r="D231" s="23" t="s">
        <v>34</v>
      </c>
      <c r="E231" s="5" t="s">
        <v>716</v>
      </c>
      <c r="F231" s="71" t="s">
        <v>6102</v>
      </c>
      <c r="G231" s="22" t="s">
        <v>3933</v>
      </c>
      <c r="H231" s="5" t="s">
        <v>3932</v>
      </c>
      <c r="I231" s="5" t="s">
        <v>67</v>
      </c>
      <c r="J231" s="5" t="s">
        <v>5212</v>
      </c>
      <c r="K231" s="5" t="s">
        <v>717</v>
      </c>
      <c r="L231" s="22"/>
      <c r="M231" s="8" t="str">
        <f t="shared" si="30"/>
        <v>Ok</v>
      </c>
      <c r="N231" s="9" t="b">
        <f t="shared" si="31"/>
        <v>1</v>
      </c>
      <c r="O231" s="9" t="b">
        <f t="shared" si="32"/>
        <v>0</v>
      </c>
      <c r="P231" s="8" t="str">
        <f t="shared" si="33"/>
        <v>FALSE</v>
      </c>
      <c r="Q231" s="8" t="str">
        <f t="shared" si="34"/>
        <v>FALSE</v>
      </c>
      <c r="R231" s="9" t="b">
        <f t="shared" si="35"/>
        <v>0</v>
      </c>
      <c r="S231" s="8" t="b">
        <f t="shared" si="36"/>
        <v>0</v>
      </c>
      <c r="T231" s="10" t="b">
        <f t="shared" si="37"/>
        <v>0</v>
      </c>
      <c r="U231" s="8" t="str">
        <f t="shared" si="38"/>
        <v>TRUE</v>
      </c>
      <c r="V231" s="11" t="str">
        <f t="shared" si="39"/>
        <v>TRUE</v>
      </c>
    </row>
    <row r="232" spans="1:22" ht="15.75">
      <c r="A232" s="21">
        <v>230</v>
      </c>
      <c r="B232" s="5" t="s">
        <v>718</v>
      </c>
      <c r="C232" s="23" t="s">
        <v>3128</v>
      </c>
      <c r="D232" s="23" t="s">
        <v>77</v>
      </c>
      <c r="E232" s="5" t="s">
        <v>719</v>
      </c>
      <c r="F232" s="71" t="s">
        <v>6102</v>
      </c>
      <c r="G232" s="22" t="s">
        <v>179</v>
      </c>
      <c r="H232" s="22" t="s">
        <v>179</v>
      </c>
      <c r="I232" s="5" t="s">
        <v>14</v>
      </c>
      <c r="J232" s="5" t="s">
        <v>5106</v>
      </c>
      <c r="K232" s="5" t="s">
        <v>720</v>
      </c>
      <c r="L232" s="22"/>
      <c r="M232" s="8" t="str">
        <f t="shared" si="30"/>
        <v>Ok</v>
      </c>
      <c r="N232" s="9" t="b">
        <f t="shared" si="31"/>
        <v>0</v>
      </c>
      <c r="O232" s="9" t="b">
        <f t="shared" si="32"/>
        <v>0</v>
      </c>
      <c r="P232" s="8" t="str">
        <f t="shared" si="33"/>
        <v>FALSE</v>
      </c>
      <c r="Q232" s="8" t="str">
        <f t="shared" si="34"/>
        <v>FALSE</v>
      </c>
      <c r="R232" s="9" t="b">
        <f t="shared" si="35"/>
        <v>1</v>
      </c>
      <c r="S232" s="8" t="b">
        <f t="shared" si="36"/>
        <v>1</v>
      </c>
      <c r="T232" s="10" t="b">
        <f t="shared" si="37"/>
        <v>1</v>
      </c>
      <c r="U232" s="8" t="str">
        <f t="shared" si="38"/>
        <v>TRUE</v>
      </c>
      <c r="V232" s="11" t="str">
        <f t="shared" si="39"/>
        <v>TRUE</v>
      </c>
    </row>
    <row r="233" spans="1:22" ht="15.75">
      <c r="A233" s="21">
        <v>231</v>
      </c>
      <c r="B233" s="5" t="s">
        <v>721</v>
      </c>
      <c r="C233" s="23" t="s">
        <v>3129</v>
      </c>
      <c r="D233" s="23" t="s">
        <v>77</v>
      </c>
      <c r="E233" s="5" t="s">
        <v>722</v>
      </c>
      <c r="F233" s="71" t="s">
        <v>6102</v>
      </c>
      <c r="G233" s="22" t="s">
        <v>179</v>
      </c>
      <c r="H233" s="22" t="s">
        <v>3932</v>
      </c>
      <c r="I233" s="5" t="s">
        <v>67</v>
      </c>
      <c r="J233" s="5" t="s">
        <v>4790</v>
      </c>
      <c r="K233" s="5">
        <v>89756465533</v>
      </c>
      <c r="L233" s="22"/>
      <c r="M233" s="8" t="str">
        <f t="shared" si="30"/>
        <v>Ok</v>
      </c>
      <c r="N233" s="9" t="b">
        <f t="shared" si="31"/>
        <v>0</v>
      </c>
      <c r="O233" s="9" t="b">
        <f t="shared" si="32"/>
        <v>0</v>
      </c>
      <c r="P233" s="8" t="str">
        <f t="shared" si="33"/>
        <v>FALSE</v>
      </c>
      <c r="Q233" s="8" t="str">
        <f t="shared" si="34"/>
        <v>FALSE</v>
      </c>
      <c r="R233" s="9" t="b">
        <f t="shared" si="35"/>
        <v>1</v>
      </c>
      <c r="S233" s="8" t="b">
        <f t="shared" si="36"/>
        <v>0</v>
      </c>
      <c r="T233" s="10" t="b">
        <f t="shared" si="37"/>
        <v>0</v>
      </c>
      <c r="U233" s="8" t="str">
        <f t="shared" si="38"/>
        <v>TRUE</v>
      </c>
      <c r="V233" s="11" t="str">
        <f t="shared" si="39"/>
        <v>FALSE</v>
      </c>
    </row>
    <row r="234" spans="1:22" ht="15.75">
      <c r="A234" s="21">
        <v>232</v>
      </c>
      <c r="B234" s="5" t="s">
        <v>723</v>
      </c>
      <c r="C234" s="23" t="s">
        <v>2999</v>
      </c>
      <c r="D234" s="23" t="s">
        <v>34</v>
      </c>
      <c r="E234" s="5" t="s">
        <v>724</v>
      </c>
      <c r="F234" s="71" t="s">
        <v>6102</v>
      </c>
      <c r="G234" s="22" t="s">
        <v>40</v>
      </c>
      <c r="H234" s="5" t="s">
        <v>71</v>
      </c>
      <c r="I234" s="5" t="s">
        <v>21</v>
      </c>
      <c r="J234" s="5" t="s">
        <v>4989</v>
      </c>
      <c r="K234" s="5" t="s">
        <v>725</v>
      </c>
      <c r="L234" s="22"/>
      <c r="M234" s="8" t="str">
        <f t="shared" si="30"/>
        <v>Ok</v>
      </c>
      <c r="N234" s="9" t="b">
        <f t="shared" si="31"/>
        <v>0</v>
      </c>
      <c r="O234" s="9" t="b">
        <f t="shared" si="32"/>
        <v>0</v>
      </c>
      <c r="P234" s="8" t="str">
        <f t="shared" si="33"/>
        <v>FALSE</v>
      </c>
      <c r="Q234" s="8" t="str">
        <f t="shared" si="34"/>
        <v>FALSE</v>
      </c>
      <c r="R234" s="9" t="b">
        <f t="shared" si="35"/>
        <v>1</v>
      </c>
      <c r="S234" s="8" t="b">
        <f t="shared" si="36"/>
        <v>1</v>
      </c>
      <c r="T234" s="10" t="b">
        <f t="shared" si="37"/>
        <v>0</v>
      </c>
      <c r="U234" s="8" t="str">
        <f t="shared" si="38"/>
        <v>TRUE</v>
      </c>
      <c r="V234" s="11" t="str">
        <f t="shared" si="39"/>
        <v>TRUE</v>
      </c>
    </row>
    <row r="235" spans="1:22" ht="15.75">
      <c r="A235" s="21">
        <v>233</v>
      </c>
      <c r="B235" s="5" t="s">
        <v>726</v>
      </c>
      <c r="C235" s="23" t="s">
        <v>3130</v>
      </c>
      <c r="D235" s="23" t="s">
        <v>77</v>
      </c>
      <c r="E235" s="5" t="s">
        <v>727</v>
      </c>
      <c r="F235" s="71" t="s">
        <v>6102</v>
      </c>
      <c r="G235" s="22" t="s">
        <v>179</v>
      </c>
      <c r="H235" s="22" t="s">
        <v>179</v>
      </c>
      <c r="I235" s="5" t="s">
        <v>14</v>
      </c>
      <c r="J235" s="5" t="s">
        <v>5236</v>
      </c>
      <c r="K235" s="5" t="s">
        <v>728</v>
      </c>
      <c r="L235" s="22"/>
      <c r="M235" s="8" t="str">
        <f t="shared" si="30"/>
        <v>Ok</v>
      </c>
      <c r="N235" s="9" t="b">
        <f t="shared" si="31"/>
        <v>0</v>
      </c>
      <c r="O235" s="9" t="b">
        <f t="shared" si="32"/>
        <v>0</v>
      </c>
      <c r="P235" s="8" t="str">
        <f t="shared" si="33"/>
        <v>FALSE</v>
      </c>
      <c r="Q235" s="8" t="str">
        <f t="shared" si="34"/>
        <v>FALSE</v>
      </c>
      <c r="R235" s="9" t="b">
        <f t="shared" si="35"/>
        <v>1</v>
      </c>
      <c r="S235" s="8" t="b">
        <f t="shared" si="36"/>
        <v>1</v>
      </c>
      <c r="T235" s="10" t="b">
        <f t="shared" si="37"/>
        <v>1</v>
      </c>
      <c r="U235" s="8" t="str">
        <f t="shared" si="38"/>
        <v>TRUE</v>
      </c>
      <c r="V235" s="11" t="str">
        <f t="shared" si="39"/>
        <v>TRUE</v>
      </c>
    </row>
    <row r="236" spans="1:22" ht="15.75">
      <c r="A236" s="21">
        <v>234</v>
      </c>
      <c r="B236" s="5" t="s">
        <v>729</v>
      </c>
      <c r="C236" s="23" t="s">
        <v>3880</v>
      </c>
      <c r="D236" s="23" t="s">
        <v>17</v>
      </c>
      <c r="E236" s="5" t="s">
        <v>730</v>
      </c>
      <c r="F236" s="71" t="s">
        <v>6102</v>
      </c>
      <c r="G236" s="22" t="s">
        <v>119</v>
      </c>
      <c r="H236" s="5" t="s">
        <v>120</v>
      </c>
      <c r="I236" s="5" t="s">
        <v>14</v>
      </c>
      <c r="J236" s="5" t="s">
        <v>5464</v>
      </c>
      <c r="K236" s="5" t="s">
        <v>731</v>
      </c>
      <c r="L236" s="22"/>
      <c r="M236" s="8" t="str">
        <f t="shared" si="30"/>
        <v>Ok</v>
      </c>
      <c r="N236" s="9" t="b">
        <f t="shared" si="31"/>
        <v>0</v>
      </c>
      <c r="O236" s="9" t="b">
        <f t="shared" si="32"/>
        <v>1</v>
      </c>
      <c r="P236" s="8" t="str">
        <f t="shared" si="33"/>
        <v>FALSE</v>
      </c>
      <c r="Q236" s="8" t="str">
        <f t="shared" si="34"/>
        <v>FALSE</v>
      </c>
      <c r="R236" s="9" t="b">
        <f t="shared" si="35"/>
        <v>0</v>
      </c>
      <c r="S236" s="8" t="b">
        <f t="shared" si="36"/>
        <v>1</v>
      </c>
      <c r="T236" s="10" t="b">
        <f t="shared" si="37"/>
        <v>1</v>
      </c>
      <c r="U236" s="8" t="str">
        <f t="shared" si="38"/>
        <v>FALSE</v>
      </c>
      <c r="V236" s="11" t="str">
        <f t="shared" si="39"/>
        <v>TRUE</v>
      </c>
    </row>
    <row r="237" spans="1:22" ht="15.75">
      <c r="A237" s="21">
        <v>235</v>
      </c>
      <c r="B237" s="5" t="s">
        <v>732</v>
      </c>
      <c r="C237" s="23" t="s">
        <v>3454</v>
      </c>
      <c r="D237" s="23" t="s">
        <v>77</v>
      </c>
      <c r="E237" s="5" t="s">
        <v>733</v>
      </c>
      <c r="F237" s="71" t="s">
        <v>6102</v>
      </c>
      <c r="G237" s="22" t="s">
        <v>54</v>
      </c>
      <c r="H237" s="5" t="s">
        <v>140</v>
      </c>
      <c r="I237" s="5" t="s">
        <v>14</v>
      </c>
      <c r="J237" s="5" t="s">
        <v>4815</v>
      </c>
      <c r="K237" s="5" t="s">
        <v>734</v>
      </c>
      <c r="L237" s="22"/>
      <c r="M237" s="8" t="str">
        <f t="shared" si="30"/>
        <v>Ok</v>
      </c>
      <c r="N237" s="9" t="b">
        <f t="shared" si="31"/>
        <v>1</v>
      </c>
      <c r="O237" s="9" t="b">
        <f t="shared" si="32"/>
        <v>0</v>
      </c>
      <c r="P237" s="8" t="str">
        <f t="shared" si="33"/>
        <v>FALSE</v>
      </c>
      <c r="Q237" s="8" t="str">
        <f t="shared" si="34"/>
        <v>FALSE</v>
      </c>
      <c r="R237" s="9" t="b">
        <f t="shared" si="35"/>
        <v>1</v>
      </c>
      <c r="S237" s="8" t="b">
        <f t="shared" si="36"/>
        <v>1</v>
      </c>
      <c r="T237" s="10" t="b">
        <f t="shared" si="37"/>
        <v>1</v>
      </c>
      <c r="U237" s="8" t="str">
        <f t="shared" si="38"/>
        <v>TRUE</v>
      </c>
      <c r="V237" s="11" t="str">
        <f t="shared" si="39"/>
        <v>TRUE</v>
      </c>
    </row>
    <row r="238" spans="1:22" ht="15.75">
      <c r="A238" s="21">
        <v>236</v>
      </c>
      <c r="B238" s="5" t="s">
        <v>735</v>
      </c>
      <c r="C238" s="23" t="s">
        <v>3881</v>
      </c>
      <c r="D238" s="23" t="s">
        <v>17</v>
      </c>
      <c r="E238" s="5" t="s">
        <v>736</v>
      </c>
      <c r="F238" s="71" t="s">
        <v>6102</v>
      </c>
      <c r="G238" s="22" t="s">
        <v>85</v>
      </c>
      <c r="H238" s="5" t="s">
        <v>120</v>
      </c>
      <c r="I238" s="5" t="s">
        <v>67</v>
      </c>
      <c r="J238" s="5" t="s">
        <v>4970</v>
      </c>
      <c r="K238" s="5" t="s">
        <v>737</v>
      </c>
      <c r="L238" s="22"/>
      <c r="M238" s="8" t="str">
        <f t="shared" si="30"/>
        <v>Ok</v>
      </c>
      <c r="N238" s="9" t="b">
        <f t="shared" si="31"/>
        <v>0</v>
      </c>
      <c r="O238" s="9" t="b">
        <f t="shared" si="32"/>
        <v>1</v>
      </c>
      <c r="P238" s="8" t="str">
        <f t="shared" si="33"/>
        <v>FALSE</v>
      </c>
      <c r="Q238" s="8" t="str">
        <f t="shared" si="34"/>
        <v>FALSE</v>
      </c>
      <c r="R238" s="9" t="b">
        <f t="shared" si="35"/>
        <v>1</v>
      </c>
      <c r="S238" s="8" t="b">
        <f t="shared" si="36"/>
        <v>1</v>
      </c>
      <c r="T238" s="10" t="b">
        <f t="shared" si="37"/>
        <v>0</v>
      </c>
      <c r="U238" s="8" t="str">
        <f t="shared" si="38"/>
        <v>TRUE</v>
      </c>
      <c r="V238" s="11" t="str">
        <f t="shared" si="39"/>
        <v>TRUE</v>
      </c>
    </row>
    <row r="239" spans="1:22" ht="15.75">
      <c r="A239" s="21">
        <v>237</v>
      </c>
      <c r="B239" s="5" t="s">
        <v>738</v>
      </c>
      <c r="C239" s="23" t="s">
        <v>3603</v>
      </c>
      <c r="D239" s="23" t="s">
        <v>59</v>
      </c>
      <c r="E239" s="5" t="s">
        <v>739</v>
      </c>
      <c r="F239" s="71" t="s">
        <v>6102</v>
      </c>
      <c r="G239" s="22" t="s">
        <v>179</v>
      </c>
      <c r="H239" s="5" t="s">
        <v>13</v>
      </c>
      <c r="I239" s="5" t="s">
        <v>67</v>
      </c>
      <c r="J239" s="5" t="s">
        <v>5771</v>
      </c>
      <c r="K239" s="5" t="s">
        <v>740</v>
      </c>
      <c r="L239" s="22"/>
      <c r="M239" s="8" t="str">
        <f t="shared" si="30"/>
        <v>Ok</v>
      </c>
      <c r="N239" s="9" t="b">
        <f t="shared" si="31"/>
        <v>1</v>
      </c>
      <c r="O239" s="9" t="b">
        <f t="shared" si="32"/>
        <v>1</v>
      </c>
      <c r="P239" s="8" t="str">
        <f t="shared" si="33"/>
        <v>FALSE</v>
      </c>
      <c r="Q239" s="8" t="str">
        <f t="shared" si="34"/>
        <v>FALSE</v>
      </c>
      <c r="R239" s="9" t="b">
        <f t="shared" si="35"/>
        <v>1</v>
      </c>
      <c r="S239" s="8" t="b">
        <f t="shared" si="36"/>
        <v>0</v>
      </c>
      <c r="T239" s="10" t="b">
        <f t="shared" si="37"/>
        <v>0</v>
      </c>
      <c r="U239" s="8" t="str">
        <f t="shared" si="38"/>
        <v>FALSE</v>
      </c>
      <c r="V239" s="11" t="str">
        <f t="shared" si="39"/>
        <v>TRUE</v>
      </c>
    </row>
    <row r="240" spans="1:22" ht="15.75">
      <c r="A240" s="21">
        <v>238</v>
      </c>
      <c r="B240" s="5" t="s">
        <v>741</v>
      </c>
      <c r="C240" s="23" t="s">
        <v>2971</v>
      </c>
      <c r="D240" s="23" t="s">
        <v>34</v>
      </c>
      <c r="E240" s="5" t="s">
        <v>742</v>
      </c>
      <c r="F240" s="71" t="s">
        <v>6102</v>
      </c>
      <c r="G240" s="22" t="s">
        <v>93</v>
      </c>
      <c r="H240" s="5" t="s">
        <v>94</v>
      </c>
      <c r="I240" s="5" t="s">
        <v>50</v>
      </c>
      <c r="J240" s="5" t="s">
        <v>5493</v>
      </c>
      <c r="K240" s="5" t="s">
        <v>743</v>
      </c>
      <c r="L240" s="22"/>
      <c r="M240" s="8" t="str">
        <f t="shared" si="30"/>
        <v>Ok</v>
      </c>
      <c r="N240" s="9" t="b">
        <f t="shared" si="31"/>
        <v>0</v>
      </c>
      <c r="O240" s="9" t="b">
        <f t="shared" si="32"/>
        <v>0</v>
      </c>
      <c r="P240" s="8" t="str">
        <f t="shared" si="33"/>
        <v>FALSE</v>
      </c>
      <c r="Q240" s="8" t="str">
        <f t="shared" si="34"/>
        <v>FALSE</v>
      </c>
      <c r="R240" s="9" t="b">
        <f t="shared" si="35"/>
        <v>0</v>
      </c>
      <c r="S240" s="8" t="b">
        <f t="shared" si="36"/>
        <v>0</v>
      </c>
      <c r="T240" s="10" t="b">
        <f t="shared" si="37"/>
        <v>0</v>
      </c>
      <c r="U240" s="8" t="str">
        <f t="shared" si="38"/>
        <v>FALSE</v>
      </c>
      <c r="V240" s="11" t="str">
        <f t="shared" si="39"/>
        <v>TRUE</v>
      </c>
    </row>
    <row r="241" spans="1:22" ht="15.75">
      <c r="A241" s="21">
        <v>239</v>
      </c>
      <c r="B241" s="5" t="s">
        <v>744</v>
      </c>
      <c r="C241" s="23" t="s">
        <v>3680</v>
      </c>
      <c r="D241" s="23" t="s">
        <v>59</v>
      </c>
      <c r="E241" s="5" t="s">
        <v>745</v>
      </c>
      <c r="F241" s="71" t="s">
        <v>6102</v>
      </c>
      <c r="G241" s="22" t="s">
        <v>3934</v>
      </c>
      <c r="H241" s="5" t="s">
        <v>13</v>
      </c>
      <c r="I241" s="5" t="s">
        <v>50</v>
      </c>
      <c r="J241" s="5" t="s">
        <v>5353</v>
      </c>
      <c r="K241" s="5" t="s">
        <v>746</v>
      </c>
      <c r="L241" s="22"/>
      <c r="M241" s="8" t="str">
        <f t="shared" si="30"/>
        <v>Ok</v>
      </c>
      <c r="N241" s="9" t="b">
        <f t="shared" si="31"/>
        <v>1</v>
      </c>
      <c r="O241" s="9" t="b">
        <f t="shared" si="32"/>
        <v>1</v>
      </c>
      <c r="P241" s="8" t="str">
        <f t="shared" si="33"/>
        <v>FALSE</v>
      </c>
      <c r="Q241" s="8" t="str">
        <f t="shared" si="34"/>
        <v>FALSE</v>
      </c>
      <c r="R241" s="9" t="b">
        <f t="shared" si="35"/>
        <v>0</v>
      </c>
      <c r="S241" s="8" t="b">
        <f t="shared" si="36"/>
        <v>0</v>
      </c>
      <c r="T241" s="10" t="b">
        <f t="shared" si="37"/>
        <v>0</v>
      </c>
      <c r="U241" s="8" t="str">
        <f t="shared" si="38"/>
        <v>TRUE</v>
      </c>
      <c r="V241" s="11" t="str">
        <f t="shared" si="39"/>
        <v>TRUE</v>
      </c>
    </row>
    <row r="242" spans="1:22" ht="15.75">
      <c r="A242" s="21">
        <v>240</v>
      </c>
      <c r="B242" s="5" t="s">
        <v>3944</v>
      </c>
      <c r="C242" s="23" t="s">
        <v>3217</v>
      </c>
      <c r="D242" s="23" t="s">
        <v>77</v>
      </c>
      <c r="E242" s="5" t="s">
        <v>747</v>
      </c>
      <c r="F242" s="71" t="s">
        <v>6102</v>
      </c>
      <c r="G242" s="22" t="s">
        <v>82</v>
      </c>
      <c r="H242" s="5" t="s">
        <v>98</v>
      </c>
      <c r="I242" s="5" t="s">
        <v>42</v>
      </c>
      <c r="J242" s="5" t="s">
        <v>5415</v>
      </c>
      <c r="K242" s="5" t="s">
        <v>748</v>
      </c>
      <c r="L242" s="22"/>
      <c r="M242" s="8" t="str">
        <f t="shared" si="30"/>
        <v>Ok</v>
      </c>
      <c r="N242" s="9" t="b">
        <f t="shared" si="31"/>
        <v>1</v>
      </c>
      <c r="O242" s="9" t="b">
        <f t="shared" si="32"/>
        <v>0</v>
      </c>
      <c r="P242" s="8" t="str">
        <f t="shared" si="33"/>
        <v>FALSE</v>
      </c>
      <c r="Q242" s="8" t="str">
        <f t="shared" si="34"/>
        <v>FALSE</v>
      </c>
      <c r="R242" s="9" t="b">
        <f t="shared" si="35"/>
        <v>0</v>
      </c>
      <c r="S242" s="8" t="b">
        <f t="shared" si="36"/>
        <v>0</v>
      </c>
      <c r="T242" s="10" t="b">
        <f t="shared" si="37"/>
        <v>1</v>
      </c>
      <c r="U242" s="8" t="str">
        <f t="shared" si="38"/>
        <v>TRUE</v>
      </c>
      <c r="V242" s="11" t="str">
        <f t="shared" si="39"/>
        <v>TRUE</v>
      </c>
    </row>
    <row r="243" spans="1:22" ht="15.75">
      <c r="A243" s="21">
        <v>241</v>
      </c>
      <c r="B243" s="5" t="s">
        <v>749</v>
      </c>
      <c r="C243" s="23" t="s">
        <v>3455</v>
      </c>
      <c r="D243" s="23" t="s">
        <v>17</v>
      </c>
      <c r="E243" s="5" t="s">
        <v>750</v>
      </c>
      <c r="F243" s="71" t="s">
        <v>6102</v>
      </c>
      <c r="G243" s="22" t="s">
        <v>160</v>
      </c>
      <c r="H243" s="5" t="s">
        <v>3932</v>
      </c>
      <c r="I243" s="5" t="s">
        <v>67</v>
      </c>
      <c r="J243" s="5" t="s">
        <v>5003</v>
      </c>
      <c r="K243" s="5">
        <v>898360387</v>
      </c>
      <c r="L243" s="22"/>
      <c r="M243" s="8" t="str">
        <f t="shared" si="30"/>
        <v>Ok</v>
      </c>
      <c r="N243" s="9" t="b">
        <f t="shared" si="31"/>
        <v>1</v>
      </c>
      <c r="O243" s="9" t="b">
        <f t="shared" si="32"/>
        <v>1</v>
      </c>
      <c r="P243" s="8" t="str">
        <f t="shared" si="33"/>
        <v>FALSE</v>
      </c>
      <c r="Q243" s="8" t="str">
        <f t="shared" si="34"/>
        <v>FALSE</v>
      </c>
      <c r="R243" s="9" t="b">
        <f t="shared" si="35"/>
        <v>0</v>
      </c>
      <c r="S243" s="8" t="b">
        <f t="shared" si="36"/>
        <v>0</v>
      </c>
      <c r="T243" s="10" t="b">
        <f t="shared" si="37"/>
        <v>0</v>
      </c>
      <c r="U243" s="8" t="str">
        <f t="shared" si="38"/>
        <v>TRUE</v>
      </c>
      <c r="V243" s="11" t="str">
        <f t="shared" si="39"/>
        <v>FALSE</v>
      </c>
    </row>
    <row r="244" spans="1:22" ht="15.75">
      <c r="A244" s="21">
        <v>242</v>
      </c>
      <c r="B244" s="5" t="s">
        <v>751</v>
      </c>
      <c r="C244" s="23" t="s">
        <v>3604</v>
      </c>
      <c r="D244" s="23" t="s">
        <v>59</v>
      </c>
      <c r="E244" s="5" t="s">
        <v>752</v>
      </c>
      <c r="F244" s="71" t="s">
        <v>6102</v>
      </c>
      <c r="G244" s="22" t="s">
        <v>179</v>
      </c>
      <c r="H244" s="5" t="s">
        <v>36</v>
      </c>
      <c r="I244" s="5" t="s">
        <v>67</v>
      </c>
      <c r="J244" s="5" t="s">
        <v>5772</v>
      </c>
      <c r="K244" s="5" t="s">
        <v>753</v>
      </c>
      <c r="L244" s="22"/>
      <c r="M244" s="8" t="str">
        <f t="shared" si="30"/>
        <v>Ok</v>
      </c>
      <c r="N244" s="9" t="b">
        <f t="shared" si="31"/>
        <v>1</v>
      </c>
      <c r="O244" s="9" t="b">
        <f t="shared" si="32"/>
        <v>1</v>
      </c>
      <c r="P244" s="8" t="str">
        <f t="shared" si="33"/>
        <v>FALSE</v>
      </c>
      <c r="Q244" s="8" t="str">
        <f t="shared" si="34"/>
        <v>FALSE</v>
      </c>
      <c r="R244" s="9" t="b">
        <f t="shared" si="35"/>
        <v>1</v>
      </c>
      <c r="S244" s="8" t="b">
        <f t="shared" si="36"/>
        <v>1</v>
      </c>
      <c r="T244" s="10" t="b">
        <f t="shared" si="37"/>
        <v>0</v>
      </c>
      <c r="U244" s="8" t="str">
        <f t="shared" si="38"/>
        <v>FALSE</v>
      </c>
      <c r="V244" s="11" t="str">
        <f t="shared" si="39"/>
        <v>TRUE</v>
      </c>
    </row>
    <row r="245" spans="1:22" ht="15.75">
      <c r="A245" s="21">
        <v>243</v>
      </c>
      <c r="B245" s="5" t="s">
        <v>754</v>
      </c>
      <c r="C245" s="23" t="s">
        <v>3456</v>
      </c>
      <c r="D245" s="23" t="s">
        <v>77</v>
      </c>
      <c r="E245" s="5" t="s">
        <v>755</v>
      </c>
      <c r="F245" s="71" t="s">
        <v>6102</v>
      </c>
      <c r="G245" s="22" t="s">
        <v>160</v>
      </c>
      <c r="H245" s="5" t="s">
        <v>3932</v>
      </c>
      <c r="I245" s="5" t="s">
        <v>26</v>
      </c>
      <c r="J245" s="5" t="s">
        <v>4887</v>
      </c>
      <c r="K245" s="5" t="s">
        <v>756</v>
      </c>
      <c r="L245" s="22"/>
      <c r="M245" s="8" t="str">
        <f t="shared" si="30"/>
        <v>Ok</v>
      </c>
      <c r="N245" s="9" t="b">
        <f t="shared" si="31"/>
        <v>1</v>
      </c>
      <c r="O245" s="9" t="b">
        <f t="shared" si="32"/>
        <v>0</v>
      </c>
      <c r="P245" s="8" t="str">
        <f t="shared" si="33"/>
        <v>FALSE</v>
      </c>
      <c r="Q245" s="8" t="str">
        <f t="shared" si="34"/>
        <v>FALSE</v>
      </c>
      <c r="R245" s="9" t="b">
        <f t="shared" si="35"/>
        <v>0</v>
      </c>
      <c r="S245" s="8" t="b">
        <f t="shared" si="36"/>
        <v>0</v>
      </c>
      <c r="T245" s="10" t="b">
        <f t="shared" si="37"/>
        <v>0</v>
      </c>
      <c r="U245" s="8" t="str">
        <f t="shared" si="38"/>
        <v>TRUE</v>
      </c>
      <c r="V245" s="11" t="str">
        <f t="shared" si="39"/>
        <v>TRUE</v>
      </c>
    </row>
    <row r="246" spans="1:22" ht="15.75">
      <c r="A246" s="21">
        <v>244</v>
      </c>
      <c r="B246" s="5" t="s">
        <v>757</v>
      </c>
      <c r="C246" s="23" t="s">
        <v>3774</v>
      </c>
      <c r="D246" s="23" t="s">
        <v>59</v>
      </c>
      <c r="E246" s="5" t="s">
        <v>758</v>
      </c>
      <c r="F246" s="71" t="s">
        <v>6102</v>
      </c>
      <c r="G246" s="22" t="s">
        <v>24</v>
      </c>
      <c r="H246" s="5" t="s">
        <v>25</v>
      </c>
      <c r="I246" s="5" t="s">
        <v>56</v>
      </c>
      <c r="J246" s="5" t="s">
        <v>4890</v>
      </c>
      <c r="K246" s="5">
        <v>816468879</v>
      </c>
      <c r="L246" s="22"/>
      <c r="M246" s="8" t="str">
        <f t="shared" si="30"/>
        <v>Ok</v>
      </c>
      <c r="N246" s="9" t="b">
        <f t="shared" si="31"/>
        <v>0</v>
      </c>
      <c r="O246" s="9" t="b">
        <f t="shared" si="32"/>
        <v>1</v>
      </c>
      <c r="P246" s="8" t="str">
        <f t="shared" si="33"/>
        <v>FALSE</v>
      </c>
      <c r="Q246" s="8" t="str">
        <f t="shared" si="34"/>
        <v>FALSE</v>
      </c>
      <c r="R246" s="9" t="b">
        <f t="shared" si="35"/>
        <v>0</v>
      </c>
      <c r="S246" s="8" t="b">
        <f t="shared" si="36"/>
        <v>0</v>
      </c>
      <c r="T246" s="10" t="b">
        <f t="shared" si="37"/>
        <v>1</v>
      </c>
      <c r="U246" s="8" t="str">
        <f t="shared" si="38"/>
        <v>TRUE</v>
      </c>
      <c r="V246" s="11" t="str">
        <f t="shared" si="39"/>
        <v>FALSE</v>
      </c>
    </row>
    <row r="247" spans="1:22" ht="15.75">
      <c r="A247" s="21">
        <v>245</v>
      </c>
      <c r="B247" s="5" t="s">
        <v>759</v>
      </c>
      <c r="C247" s="23" t="s">
        <v>3294</v>
      </c>
      <c r="D247" s="23" t="s">
        <v>77</v>
      </c>
      <c r="E247" s="5" t="s">
        <v>760</v>
      </c>
      <c r="F247" s="71" t="s">
        <v>6102</v>
      </c>
      <c r="G247" s="22" t="s">
        <v>179</v>
      </c>
      <c r="H247" s="5" t="s">
        <v>3932</v>
      </c>
      <c r="I247" s="5" t="s">
        <v>50</v>
      </c>
      <c r="J247" s="5" t="s">
        <v>5477</v>
      </c>
      <c r="K247" s="5">
        <v>89756465544</v>
      </c>
      <c r="L247" s="22"/>
      <c r="M247" s="8" t="str">
        <f t="shared" si="30"/>
        <v>Ok</v>
      </c>
      <c r="N247" s="9" t="b">
        <f t="shared" si="31"/>
        <v>1</v>
      </c>
      <c r="O247" s="9" t="b">
        <f t="shared" si="32"/>
        <v>0</v>
      </c>
      <c r="P247" s="8" t="str">
        <f t="shared" si="33"/>
        <v>FALSE</v>
      </c>
      <c r="Q247" s="8" t="str">
        <f t="shared" si="34"/>
        <v>FALSE</v>
      </c>
      <c r="R247" s="9" t="b">
        <f t="shared" si="35"/>
        <v>1</v>
      </c>
      <c r="S247" s="8" t="b">
        <f t="shared" si="36"/>
        <v>0</v>
      </c>
      <c r="T247" s="10" t="b">
        <f t="shared" si="37"/>
        <v>0</v>
      </c>
      <c r="U247" s="8" t="str">
        <f t="shared" si="38"/>
        <v>FALSE</v>
      </c>
      <c r="V247" s="11" t="str">
        <f t="shared" si="39"/>
        <v>FALSE</v>
      </c>
    </row>
    <row r="248" spans="1:22" ht="15.75">
      <c r="A248" s="21">
        <v>246</v>
      </c>
      <c r="B248" s="5" t="s">
        <v>761</v>
      </c>
      <c r="C248" s="23" t="s">
        <v>3819</v>
      </c>
      <c r="D248" s="23" t="s">
        <v>59</v>
      </c>
      <c r="E248" s="5" t="s">
        <v>762</v>
      </c>
      <c r="F248" s="71" t="s">
        <v>6102</v>
      </c>
      <c r="G248" s="22" t="s">
        <v>144</v>
      </c>
      <c r="H248" s="5" t="s">
        <v>46</v>
      </c>
      <c r="I248" s="5" t="s">
        <v>56</v>
      </c>
      <c r="J248" s="5" t="s">
        <v>4782</v>
      </c>
      <c r="K248" s="5" t="s">
        <v>763</v>
      </c>
      <c r="L248" s="22"/>
      <c r="M248" s="8" t="str">
        <f t="shared" si="30"/>
        <v>Ok</v>
      </c>
      <c r="N248" s="9" t="b">
        <f t="shared" si="31"/>
        <v>0</v>
      </c>
      <c r="O248" s="9" t="b">
        <f t="shared" si="32"/>
        <v>1</v>
      </c>
      <c r="P248" s="8" t="str">
        <f t="shared" si="33"/>
        <v>FALSE</v>
      </c>
      <c r="Q248" s="8" t="str">
        <f t="shared" si="34"/>
        <v>FALSE</v>
      </c>
      <c r="R248" s="9" t="b">
        <f t="shared" si="35"/>
        <v>1</v>
      </c>
      <c r="S248" s="8" t="b">
        <f t="shared" si="36"/>
        <v>0</v>
      </c>
      <c r="T248" s="10" t="b">
        <f t="shared" si="37"/>
        <v>1</v>
      </c>
      <c r="U248" s="8" t="str">
        <f t="shared" si="38"/>
        <v>TRUE</v>
      </c>
      <c r="V248" s="11" t="str">
        <f t="shared" si="39"/>
        <v>TRUE</v>
      </c>
    </row>
    <row r="249" spans="1:22" ht="15.75">
      <c r="A249" s="21">
        <v>247</v>
      </c>
      <c r="B249" s="5" t="s">
        <v>764</v>
      </c>
      <c r="C249" s="23" t="s">
        <v>3131</v>
      </c>
      <c r="D249" s="23" t="s">
        <v>77</v>
      </c>
      <c r="E249" s="5" t="s">
        <v>765</v>
      </c>
      <c r="F249" s="71" t="s">
        <v>6102</v>
      </c>
      <c r="G249" s="22" t="s">
        <v>179</v>
      </c>
      <c r="H249" s="5" t="s">
        <v>3932</v>
      </c>
      <c r="I249" s="5" t="s">
        <v>21</v>
      </c>
      <c r="J249" s="5" t="s">
        <v>5085</v>
      </c>
      <c r="K249" s="5" t="s">
        <v>766</v>
      </c>
      <c r="L249" s="22"/>
      <c r="M249" s="8" t="str">
        <f t="shared" si="30"/>
        <v>Ok</v>
      </c>
      <c r="N249" s="9" t="b">
        <f t="shared" si="31"/>
        <v>0</v>
      </c>
      <c r="O249" s="9" t="b">
        <f t="shared" si="32"/>
        <v>0</v>
      </c>
      <c r="P249" s="8" t="str">
        <f t="shared" si="33"/>
        <v>FALSE</v>
      </c>
      <c r="Q249" s="8" t="str">
        <f t="shared" si="34"/>
        <v>FALSE</v>
      </c>
      <c r="R249" s="9" t="b">
        <f t="shared" si="35"/>
        <v>1</v>
      </c>
      <c r="S249" s="8" t="b">
        <f t="shared" si="36"/>
        <v>0</v>
      </c>
      <c r="T249" s="10" t="b">
        <f t="shared" si="37"/>
        <v>0</v>
      </c>
      <c r="U249" s="8" t="str">
        <f t="shared" si="38"/>
        <v>TRUE</v>
      </c>
      <c r="V249" s="11" t="str">
        <f t="shared" si="39"/>
        <v>TRUE</v>
      </c>
    </row>
    <row r="250" spans="1:22" ht="15.75">
      <c r="A250" s="21">
        <v>248</v>
      </c>
      <c r="B250" s="5" t="s">
        <v>767</v>
      </c>
      <c r="C250" s="23" t="s">
        <v>3350</v>
      </c>
      <c r="D250" s="23" t="s">
        <v>34</v>
      </c>
      <c r="E250" s="5" t="s">
        <v>768</v>
      </c>
      <c r="F250" s="71" t="s">
        <v>6102</v>
      </c>
      <c r="G250" s="22" t="s">
        <v>3933</v>
      </c>
      <c r="H250" s="5" t="s">
        <v>3932</v>
      </c>
      <c r="I250" s="5" t="s">
        <v>67</v>
      </c>
      <c r="J250" s="5" t="s">
        <v>5338</v>
      </c>
      <c r="K250" s="5" t="s">
        <v>769</v>
      </c>
      <c r="L250" s="22"/>
      <c r="M250" s="8" t="str">
        <f t="shared" si="30"/>
        <v>Ok</v>
      </c>
      <c r="N250" s="9" t="b">
        <f t="shared" si="31"/>
        <v>1</v>
      </c>
      <c r="O250" s="9" t="b">
        <f t="shared" si="32"/>
        <v>0</v>
      </c>
      <c r="P250" s="8" t="str">
        <f t="shared" si="33"/>
        <v>FALSE</v>
      </c>
      <c r="Q250" s="8" t="str">
        <f t="shared" si="34"/>
        <v>FALSE</v>
      </c>
      <c r="R250" s="9" t="b">
        <f t="shared" si="35"/>
        <v>0</v>
      </c>
      <c r="S250" s="8" t="b">
        <f t="shared" si="36"/>
        <v>0</v>
      </c>
      <c r="T250" s="10" t="b">
        <f t="shared" si="37"/>
        <v>0</v>
      </c>
      <c r="U250" s="8" t="str">
        <f t="shared" si="38"/>
        <v>TRUE</v>
      </c>
      <c r="V250" s="11" t="str">
        <f t="shared" si="39"/>
        <v>TRUE</v>
      </c>
    </row>
    <row r="251" spans="1:22" ht="15.75">
      <c r="A251" s="21">
        <v>249</v>
      </c>
      <c r="B251" s="5" t="s">
        <v>770</v>
      </c>
      <c r="C251" s="23" t="s">
        <v>3132</v>
      </c>
      <c r="D251" s="23" t="s">
        <v>77</v>
      </c>
      <c r="E251" s="5" t="s">
        <v>771</v>
      </c>
      <c r="F251" s="71" t="s">
        <v>6102</v>
      </c>
      <c r="G251" s="22" t="s">
        <v>179</v>
      </c>
      <c r="H251" s="22" t="s">
        <v>179</v>
      </c>
      <c r="I251" s="5" t="s">
        <v>14</v>
      </c>
      <c r="J251" s="5" t="s">
        <v>5102</v>
      </c>
      <c r="K251" s="5" t="s">
        <v>772</v>
      </c>
      <c r="L251" s="22"/>
      <c r="M251" s="8" t="str">
        <f t="shared" si="30"/>
        <v>Ok</v>
      </c>
      <c r="N251" s="9" t="b">
        <f t="shared" si="31"/>
        <v>0</v>
      </c>
      <c r="O251" s="9" t="b">
        <f t="shared" si="32"/>
        <v>0</v>
      </c>
      <c r="P251" s="8" t="str">
        <f t="shared" si="33"/>
        <v>FALSE</v>
      </c>
      <c r="Q251" s="8" t="str">
        <f t="shared" si="34"/>
        <v>FALSE</v>
      </c>
      <c r="R251" s="9" t="b">
        <f t="shared" si="35"/>
        <v>1</v>
      </c>
      <c r="S251" s="8" t="b">
        <f t="shared" si="36"/>
        <v>1</v>
      </c>
      <c r="T251" s="10" t="b">
        <f t="shared" si="37"/>
        <v>1</v>
      </c>
      <c r="U251" s="8" t="str">
        <f t="shared" si="38"/>
        <v>TRUE</v>
      </c>
      <c r="V251" s="11" t="str">
        <f t="shared" si="39"/>
        <v>TRUE</v>
      </c>
    </row>
    <row r="252" spans="1:22" ht="15.75">
      <c r="A252" s="21">
        <v>250</v>
      </c>
      <c r="B252" s="5" t="s">
        <v>2307</v>
      </c>
      <c r="C252" s="23" t="s">
        <v>3882</v>
      </c>
      <c r="D252" s="23" t="s">
        <v>17</v>
      </c>
      <c r="E252" s="5" t="s">
        <v>773</v>
      </c>
      <c r="F252" s="71" t="s">
        <v>6102</v>
      </c>
      <c r="G252" s="22" t="s">
        <v>119</v>
      </c>
      <c r="H252" s="5" t="s">
        <v>120</v>
      </c>
      <c r="I252" s="5" t="s">
        <v>26</v>
      </c>
      <c r="J252" s="5" t="s">
        <v>4990</v>
      </c>
      <c r="K252" s="5" t="s">
        <v>774</v>
      </c>
      <c r="L252" s="22"/>
      <c r="M252" s="8" t="str">
        <f t="shared" si="30"/>
        <v>Ok</v>
      </c>
      <c r="N252" s="9" t="b">
        <f t="shared" si="31"/>
        <v>0</v>
      </c>
      <c r="O252" s="9" t="b">
        <f t="shared" si="32"/>
        <v>1</v>
      </c>
      <c r="P252" s="8" t="str">
        <f t="shared" si="33"/>
        <v>FALSE</v>
      </c>
      <c r="Q252" s="8" t="str">
        <f t="shared" si="34"/>
        <v>FALSE</v>
      </c>
      <c r="R252" s="9" t="b">
        <f t="shared" si="35"/>
        <v>0</v>
      </c>
      <c r="S252" s="8" t="b">
        <f t="shared" si="36"/>
        <v>1</v>
      </c>
      <c r="T252" s="10" t="b">
        <f t="shared" si="37"/>
        <v>0</v>
      </c>
      <c r="U252" s="8" t="str">
        <f t="shared" si="38"/>
        <v>TRUE</v>
      </c>
      <c r="V252" s="11" t="str">
        <f t="shared" si="39"/>
        <v>FALSE</v>
      </c>
    </row>
    <row r="253" spans="1:22" ht="15.75">
      <c r="A253" s="21">
        <v>251</v>
      </c>
      <c r="B253" s="5" t="s">
        <v>775</v>
      </c>
      <c r="C253" s="23" t="s">
        <v>3681</v>
      </c>
      <c r="D253" s="23" t="s">
        <v>59</v>
      </c>
      <c r="E253" s="5" t="s">
        <v>776</v>
      </c>
      <c r="F253" s="71" t="s">
        <v>6102</v>
      </c>
      <c r="G253" s="22" t="s">
        <v>3934</v>
      </c>
      <c r="H253" s="5" t="s">
        <v>13</v>
      </c>
      <c r="I253" s="5" t="s">
        <v>14</v>
      </c>
      <c r="J253" s="5" t="s">
        <v>5044</v>
      </c>
      <c r="K253" s="5" t="s">
        <v>777</v>
      </c>
      <c r="L253" s="22"/>
      <c r="M253" s="8" t="str">
        <f t="shared" si="30"/>
        <v>Ok</v>
      </c>
      <c r="N253" s="9" t="b">
        <f t="shared" si="31"/>
        <v>0</v>
      </c>
      <c r="O253" s="9" t="b">
        <f t="shared" si="32"/>
        <v>1</v>
      </c>
      <c r="P253" s="8" t="str">
        <f t="shared" si="33"/>
        <v>FALSE</v>
      </c>
      <c r="Q253" s="8" t="str">
        <f t="shared" si="34"/>
        <v>FALSE</v>
      </c>
      <c r="R253" s="9" t="b">
        <f t="shared" si="35"/>
        <v>0</v>
      </c>
      <c r="S253" s="8" t="b">
        <f t="shared" si="36"/>
        <v>0</v>
      </c>
      <c r="T253" s="10" t="b">
        <f t="shared" si="37"/>
        <v>1</v>
      </c>
      <c r="U253" s="8" t="str">
        <f t="shared" si="38"/>
        <v>TRUE</v>
      </c>
      <c r="V253" s="11" t="str">
        <f t="shared" si="39"/>
        <v>TRUE</v>
      </c>
    </row>
    <row r="254" spans="1:22" ht="15.75">
      <c r="A254" s="21">
        <v>252</v>
      </c>
      <c r="B254" s="5" t="s">
        <v>778</v>
      </c>
      <c r="C254" s="23" t="s">
        <v>3000</v>
      </c>
      <c r="D254" s="23" t="s">
        <v>34</v>
      </c>
      <c r="E254" s="5" t="s">
        <v>779</v>
      </c>
      <c r="F254" s="71" t="s">
        <v>6102</v>
      </c>
      <c r="G254" s="22" t="s">
        <v>40</v>
      </c>
      <c r="H254" s="5" t="s">
        <v>71</v>
      </c>
      <c r="I254" s="5" t="s">
        <v>14</v>
      </c>
      <c r="J254" s="5" t="s">
        <v>4930</v>
      </c>
      <c r="K254" s="5" t="s">
        <v>780</v>
      </c>
      <c r="L254" s="22"/>
      <c r="M254" s="8" t="str">
        <f t="shared" si="30"/>
        <v>Ok</v>
      </c>
      <c r="N254" s="9" t="b">
        <f t="shared" si="31"/>
        <v>0</v>
      </c>
      <c r="O254" s="9" t="b">
        <f t="shared" si="32"/>
        <v>0</v>
      </c>
      <c r="P254" s="8" t="str">
        <f t="shared" si="33"/>
        <v>FALSE</v>
      </c>
      <c r="Q254" s="8" t="str">
        <f t="shared" si="34"/>
        <v>FALSE</v>
      </c>
      <c r="R254" s="9" t="b">
        <f t="shared" si="35"/>
        <v>1</v>
      </c>
      <c r="S254" s="8" t="b">
        <f t="shared" si="36"/>
        <v>1</v>
      </c>
      <c r="T254" s="10" t="b">
        <f t="shared" si="37"/>
        <v>1</v>
      </c>
      <c r="U254" s="8" t="str">
        <f t="shared" si="38"/>
        <v>TRUE</v>
      </c>
      <c r="V254" s="11" t="str">
        <f t="shared" si="39"/>
        <v>FALSE</v>
      </c>
    </row>
    <row r="255" spans="1:22" ht="15.75">
      <c r="A255" s="21">
        <v>253</v>
      </c>
      <c r="B255" s="5" t="s">
        <v>3945</v>
      </c>
      <c r="C255" s="23" t="s">
        <v>3218</v>
      </c>
      <c r="D255" s="23" t="s">
        <v>77</v>
      </c>
      <c r="E255" s="5" t="s">
        <v>781</v>
      </c>
      <c r="F255" s="71" t="s">
        <v>6102</v>
      </c>
      <c r="G255" s="22" t="s">
        <v>179</v>
      </c>
      <c r="H255" s="5" t="s">
        <v>3932</v>
      </c>
      <c r="I255" s="5" t="s">
        <v>21</v>
      </c>
      <c r="J255" s="5" t="s">
        <v>5084</v>
      </c>
      <c r="K255" s="5" t="s">
        <v>782</v>
      </c>
      <c r="L255" s="22"/>
      <c r="M255" s="8" t="str">
        <f t="shared" si="30"/>
        <v>Ok</v>
      </c>
      <c r="N255" s="9" t="b">
        <f t="shared" si="31"/>
        <v>1</v>
      </c>
      <c r="O255" s="9" t="b">
        <f t="shared" si="32"/>
        <v>0</v>
      </c>
      <c r="P255" s="8" t="str">
        <f t="shared" si="33"/>
        <v>FALSE</v>
      </c>
      <c r="Q255" s="8" t="str">
        <f t="shared" si="34"/>
        <v>FALSE</v>
      </c>
      <c r="R255" s="9" t="b">
        <f t="shared" si="35"/>
        <v>1</v>
      </c>
      <c r="S255" s="8" t="b">
        <f t="shared" si="36"/>
        <v>0</v>
      </c>
      <c r="T255" s="10" t="b">
        <f t="shared" si="37"/>
        <v>0</v>
      </c>
      <c r="U255" s="8" t="str">
        <f t="shared" si="38"/>
        <v>TRUE</v>
      </c>
      <c r="V255" s="11" t="str">
        <f t="shared" si="39"/>
        <v>TRUE</v>
      </c>
    </row>
    <row r="256" spans="1:22" ht="15.75">
      <c r="A256" s="21">
        <v>254</v>
      </c>
      <c r="B256" s="5" t="s">
        <v>783</v>
      </c>
      <c r="C256" s="23" t="s">
        <v>3682</v>
      </c>
      <c r="D256" s="23" t="s">
        <v>59</v>
      </c>
      <c r="E256" s="5" t="s">
        <v>784</v>
      </c>
      <c r="F256" s="71" t="s">
        <v>6102</v>
      </c>
      <c r="G256" s="22" t="s">
        <v>3934</v>
      </c>
      <c r="H256" s="5" t="s">
        <v>13</v>
      </c>
      <c r="I256" s="5" t="s">
        <v>56</v>
      </c>
      <c r="J256" s="5" t="s">
        <v>5050</v>
      </c>
      <c r="K256" s="5" t="s">
        <v>785</v>
      </c>
      <c r="L256" s="22"/>
      <c r="M256" s="8" t="str">
        <f t="shared" si="30"/>
        <v>Ok</v>
      </c>
      <c r="N256" s="9" t="b">
        <f t="shared" si="31"/>
        <v>0</v>
      </c>
      <c r="O256" s="9" t="b">
        <f t="shared" si="32"/>
        <v>1</v>
      </c>
      <c r="P256" s="8" t="str">
        <f t="shared" si="33"/>
        <v>FALSE</v>
      </c>
      <c r="Q256" s="8" t="str">
        <f t="shared" si="34"/>
        <v>FALSE</v>
      </c>
      <c r="R256" s="9" t="b">
        <f t="shared" si="35"/>
        <v>0</v>
      </c>
      <c r="S256" s="8" t="b">
        <f t="shared" si="36"/>
        <v>0</v>
      </c>
      <c r="T256" s="10" t="b">
        <f t="shared" si="37"/>
        <v>1</v>
      </c>
      <c r="U256" s="8" t="str">
        <f t="shared" si="38"/>
        <v>TRUE</v>
      </c>
      <c r="V256" s="11" t="str">
        <f t="shared" si="39"/>
        <v>TRUE</v>
      </c>
    </row>
    <row r="257" spans="1:22" ht="15.75">
      <c r="A257" s="21">
        <v>255</v>
      </c>
      <c r="B257" s="5" t="s">
        <v>786</v>
      </c>
      <c r="C257" s="23" t="s">
        <v>3219</v>
      </c>
      <c r="D257" s="23" t="s">
        <v>34</v>
      </c>
      <c r="E257" s="5" t="s">
        <v>787</v>
      </c>
      <c r="F257" s="71" t="s">
        <v>6102</v>
      </c>
      <c r="G257" s="22" t="s">
        <v>179</v>
      </c>
      <c r="H257" s="5" t="s">
        <v>3932</v>
      </c>
      <c r="I257" s="5" t="s">
        <v>67</v>
      </c>
      <c r="J257" s="5" t="s">
        <v>5371</v>
      </c>
      <c r="K257" s="5" t="s">
        <v>788</v>
      </c>
      <c r="L257" s="22"/>
      <c r="M257" s="8" t="str">
        <f t="shared" si="30"/>
        <v>Ok</v>
      </c>
      <c r="N257" s="9" t="b">
        <f t="shared" si="31"/>
        <v>1</v>
      </c>
      <c r="O257" s="9" t="b">
        <f t="shared" si="32"/>
        <v>0</v>
      </c>
      <c r="P257" s="8" t="str">
        <f t="shared" si="33"/>
        <v>FALSE</v>
      </c>
      <c r="Q257" s="8" t="str">
        <f t="shared" si="34"/>
        <v>FALSE</v>
      </c>
      <c r="R257" s="9" t="b">
        <f t="shared" si="35"/>
        <v>1</v>
      </c>
      <c r="S257" s="8" t="b">
        <f t="shared" si="36"/>
        <v>0</v>
      </c>
      <c r="T257" s="10" t="b">
        <f t="shared" si="37"/>
        <v>0</v>
      </c>
      <c r="U257" s="8" t="str">
        <f t="shared" si="38"/>
        <v>TRUE</v>
      </c>
      <c r="V257" s="11" t="str">
        <f t="shared" si="39"/>
        <v>TRUE</v>
      </c>
    </row>
    <row r="258" spans="1:22" ht="15.75">
      <c r="A258" s="21">
        <v>256</v>
      </c>
      <c r="B258" s="5" t="s">
        <v>789</v>
      </c>
      <c r="C258" s="23" t="s">
        <v>3683</v>
      </c>
      <c r="D258" s="23" t="s">
        <v>59</v>
      </c>
      <c r="E258" s="5" t="s">
        <v>790</v>
      </c>
      <c r="F258" s="71" t="s">
        <v>6102</v>
      </c>
      <c r="G258" s="22" t="s">
        <v>3934</v>
      </c>
      <c r="H258" s="5" t="s">
        <v>13</v>
      </c>
      <c r="I258" s="5" t="s">
        <v>67</v>
      </c>
      <c r="J258" s="5" t="s">
        <v>5702</v>
      </c>
      <c r="K258" s="5" t="s">
        <v>791</v>
      </c>
      <c r="L258" s="22"/>
      <c r="M258" s="8" t="str">
        <f t="shared" si="30"/>
        <v>Ok</v>
      </c>
      <c r="N258" s="9" t="b">
        <f t="shared" si="31"/>
        <v>0</v>
      </c>
      <c r="O258" s="9" t="b">
        <f t="shared" si="32"/>
        <v>1</v>
      </c>
      <c r="P258" s="8" t="str">
        <f t="shared" si="33"/>
        <v>FALSE</v>
      </c>
      <c r="Q258" s="8" t="str">
        <f t="shared" si="34"/>
        <v>FALSE</v>
      </c>
      <c r="R258" s="9" t="b">
        <f t="shared" si="35"/>
        <v>0</v>
      </c>
      <c r="S258" s="8" t="b">
        <f t="shared" si="36"/>
        <v>0</v>
      </c>
      <c r="T258" s="10" t="b">
        <f t="shared" si="37"/>
        <v>0</v>
      </c>
      <c r="U258" s="8" t="str">
        <f t="shared" si="38"/>
        <v>FALSE</v>
      </c>
      <c r="V258" s="11" t="str">
        <f t="shared" si="39"/>
        <v>TRUE</v>
      </c>
    </row>
    <row r="259" spans="1:22" ht="15.75">
      <c r="A259" s="21">
        <v>257</v>
      </c>
      <c r="B259" s="5" t="s">
        <v>792</v>
      </c>
      <c r="C259" s="23" t="s">
        <v>3820</v>
      </c>
      <c r="D259" s="23" t="s">
        <v>59</v>
      </c>
      <c r="E259" s="5" t="s">
        <v>793</v>
      </c>
      <c r="F259" s="71" t="s">
        <v>6102</v>
      </c>
      <c r="G259" s="22" t="s">
        <v>144</v>
      </c>
      <c r="H259" s="5" t="s">
        <v>25</v>
      </c>
      <c r="I259" s="5" t="s">
        <v>21</v>
      </c>
      <c r="J259" s="5" t="s">
        <v>5616</v>
      </c>
      <c r="K259" s="5" t="s">
        <v>794</v>
      </c>
      <c r="L259" s="22"/>
      <c r="M259" s="8" t="str">
        <f t="shared" ref="M259:M322" si="40">IF(COUNTIF($B$3:$B$1002,B259)&gt;1,"Duplicate","Ok")</f>
        <v>Ok</v>
      </c>
      <c r="N259" s="9" t="b">
        <f t="shared" ref="N259:N322" si="41">EXACT(C259,PROPER(C259))</f>
        <v>0</v>
      </c>
      <c r="O259" s="9" t="b">
        <f t="shared" ref="O259:O322" si="42">EXACT(D259,PROPER(D259))</f>
        <v>1</v>
      </c>
      <c r="P259" s="8" t="str">
        <f t="shared" ref="P259:P322" si="43">IF(ISNUMBER(E259),"TRUE","FALSE")</f>
        <v>FALSE</v>
      </c>
      <c r="Q259" s="8" t="str">
        <f t="shared" ref="Q259:Q322" si="44">IF(ISNUMBER(F259),"TRUE","FALSE")</f>
        <v>FALSE</v>
      </c>
      <c r="R259" s="9" t="b">
        <f t="shared" ref="R259:R322" si="45">EXACT(G259,PROPER(G259))</f>
        <v>1</v>
      </c>
      <c r="S259" s="8" t="b">
        <f t="shared" ref="S259:S322" si="46">EXACT(H259,PROPER(H259))</f>
        <v>0</v>
      </c>
      <c r="T259" s="10" t="b">
        <f t="shared" ref="T259:T322" si="47">EXACT(I259,PROPER(I259))</f>
        <v>0</v>
      </c>
      <c r="U259" s="8" t="str">
        <f t="shared" ref="U259:U322" si="48">IF(RIGHT(J259,10)="@email.com","TRUE","FALSE")</f>
        <v>FALSE</v>
      </c>
      <c r="V259" s="11" t="str">
        <f t="shared" ref="V259:V322" si="49">IF(LEFT(K259,2)="08","TRUE","FALSE")</f>
        <v>TRUE</v>
      </c>
    </row>
    <row r="260" spans="1:22" ht="15.75">
      <c r="A260" s="21">
        <v>258</v>
      </c>
      <c r="B260" s="5" t="s">
        <v>795</v>
      </c>
      <c r="C260" s="23" t="s">
        <v>3684</v>
      </c>
      <c r="D260" s="23" t="s">
        <v>59</v>
      </c>
      <c r="E260" s="5" t="s">
        <v>796</v>
      </c>
      <c r="F260" s="71" t="s">
        <v>6102</v>
      </c>
      <c r="G260" s="22" t="s">
        <v>3934</v>
      </c>
      <c r="H260" s="5" t="s">
        <v>13</v>
      </c>
      <c r="I260" s="5" t="s">
        <v>14</v>
      </c>
      <c r="J260" s="5" t="s">
        <v>5238</v>
      </c>
      <c r="K260" s="5" t="s">
        <v>797</v>
      </c>
      <c r="L260" s="22"/>
      <c r="M260" s="8" t="str">
        <f t="shared" si="40"/>
        <v>Ok</v>
      </c>
      <c r="N260" s="9" t="b">
        <f t="shared" si="41"/>
        <v>0</v>
      </c>
      <c r="O260" s="9" t="b">
        <f t="shared" si="42"/>
        <v>1</v>
      </c>
      <c r="P260" s="8" t="str">
        <f t="shared" si="43"/>
        <v>FALSE</v>
      </c>
      <c r="Q260" s="8" t="str">
        <f t="shared" si="44"/>
        <v>FALSE</v>
      </c>
      <c r="R260" s="9" t="b">
        <f t="shared" si="45"/>
        <v>0</v>
      </c>
      <c r="S260" s="8" t="b">
        <f t="shared" si="46"/>
        <v>0</v>
      </c>
      <c r="T260" s="10" t="b">
        <f t="shared" si="47"/>
        <v>1</v>
      </c>
      <c r="U260" s="8" t="str">
        <f t="shared" si="48"/>
        <v>TRUE</v>
      </c>
      <c r="V260" s="11" t="str">
        <f t="shared" si="49"/>
        <v>TRUE</v>
      </c>
    </row>
    <row r="261" spans="1:22" ht="15.75">
      <c r="A261" s="21">
        <v>259</v>
      </c>
      <c r="B261" s="5" t="s">
        <v>798</v>
      </c>
      <c r="C261" s="23" t="s">
        <v>3457</v>
      </c>
      <c r="D261" s="23" t="s">
        <v>77</v>
      </c>
      <c r="E261" s="5" t="s">
        <v>799</v>
      </c>
      <c r="F261" s="71" t="s">
        <v>6102</v>
      </c>
      <c r="G261" s="22" t="s">
        <v>102</v>
      </c>
      <c r="H261" s="5" t="s">
        <v>55</v>
      </c>
      <c r="I261" s="5" t="s">
        <v>21</v>
      </c>
      <c r="J261" s="5" t="s">
        <v>5314</v>
      </c>
      <c r="K261" s="5" t="s">
        <v>800</v>
      </c>
      <c r="L261" s="22"/>
      <c r="M261" s="8" t="str">
        <f t="shared" si="40"/>
        <v>Ok</v>
      </c>
      <c r="N261" s="9" t="b">
        <f t="shared" si="41"/>
        <v>1</v>
      </c>
      <c r="O261" s="9" t="b">
        <f t="shared" si="42"/>
        <v>0</v>
      </c>
      <c r="P261" s="8" t="str">
        <f t="shared" si="43"/>
        <v>FALSE</v>
      </c>
      <c r="Q261" s="8" t="str">
        <f t="shared" si="44"/>
        <v>FALSE</v>
      </c>
      <c r="R261" s="9" t="b">
        <f t="shared" si="45"/>
        <v>0</v>
      </c>
      <c r="S261" s="8" t="b">
        <f t="shared" si="46"/>
        <v>0</v>
      </c>
      <c r="T261" s="10" t="b">
        <f t="shared" si="47"/>
        <v>0</v>
      </c>
      <c r="U261" s="8" t="str">
        <f t="shared" si="48"/>
        <v>TRUE</v>
      </c>
      <c r="V261" s="11" t="str">
        <f t="shared" si="49"/>
        <v>TRUE</v>
      </c>
    </row>
    <row r="262" spans="1:22" ht="15.75">
      <c r="A262" s="21">
        <v>260</v>
      </c>
      <c r="B262" s="5" t="s">
        <v>801</v>
      </c>
      <c r="C262" s="23" t="s">
        <v>3883</v>
      </c>
      <c r="D262" s="23" t="s">
        <v>17</v>
      </c>
      <c r="E262" s="5" t="s">
        <v>802</v>
      </c>
      <c r="F262" s="71" t="s">
        <v>6102</v>
      </c>
      <c r="G262" s="22" t="s">
        <v>85</v>
      </c>
      <c r="H262" s="5" t="s">
        <v>120</v>
      </c>
      <c r="I262" s="5" t="s">
        <v>50</v>
      </c>
      <c r="J262" s="5" t="s">
        <v>4829</v>
      </c>
      <c r="K262" s="5" t="s">
        <v>803</v>
      </c>
      <c r="L262" s="22"/>
      <c r="M262" s="8" t="str">
        <f t="shared" si="40"/>
        <v>Ok</v>
      </c>
      <c r="N262" s="9" t="b">
        <f t="shared" si="41"/>
        <v>0</v>
      </c>
      <c r="O262" s="9" t="b">
        <f t="shared" si="42"/>
        <v>1</v>
      </c>
      <c r="P262" s="8" t="str">
        <f t="shared" si="43"/>
        <v>FALSE</v>
      </c>
      <c r="Q262" s="8" t="str">
        <f t="shared" si="44"/>
        <v>FALSE</v>
      </c>
      <c r="R262" s="9" t="b">
        <f t="shared" si="45"/>
        <v>1</v>
      </c>
      <c r="S262" s="8" t="b">
        <f t="shared" si="46"/>
        <v>1</v>
      </c>
      <c r="T262" s="10" t="b">
        <f t="shared" si="47"/>
        <v>0</v>
      </c>
      <c r="U262" s="8" t="str">
        <f t="shared" si="48"/>
        <v>TRUE</v>
      </c>
      <c r="V262" s="11" t="str">
        <f t="shared" si="49"/>
        <v>TRUE</v>
      </c>
    </row>
    <row r="263" spans="1:22" ht="15.75">
      <c r="A263" s="21">
        <v>261</v>
      </c>
      <c r="B263" s="5" t="s">
        <v>804</v>
      </c>
      <c r="C263" s="23" t="s">
        <v>3220</v>
      </c>
      <c r="D263" s="23" t="s">
        <v>77</v>
      </c>
      <c r="E263" s="5" t="s">
        <v>805</v>
      </c>
      <c r="F263" s="71" t="s">
        <v>6102</v>
      </c>
      <c r="G263" s="22" t="s">
        <v>179</v>
      </c>
      <c r="H263" s="5" t="s">
        <v>3932</v>
      </c>
      <c r="I263" s="5" t="s">
        <v>67</v>
      </c>
      <c r="J263" s="5" t="s">
        <v>4880</v>
      </c>
      <c r="K263" s="5" t="s">
        <v>806</v>
      </c>
      <c r="L263" s="22"/>
      <c r="M263" s="8" t="str">
        <f t="shared" si="40"/>
        <v>Ok</v>
      </c>
      <c r="N263" s="9" t="b">
        <f t="shared" si="41"/>
        <v>1</v>
      </c>
      <c r="O263" s="9" t="b">
        <f t="shared" si="42"/>
        <v>0</v>
      </c>
      <c r="P263" s="8" t="str">
        <f t="shared" si="43"/>
        <v>FALSE</v>
      </c>
      <c r="Q263" s="8" t="str">
        <f t="shared" si="44"/>
        <v>FALSE</v>
      </c>
      <c r="R263" s="9" t="b">
        <f t="shared" si="45"/>
        <v>1</v>
      </c>
      <c r="S263" s="8" t="b">
        <f t="shared" si="46"/>
        <v>0</v>
      </c>
      <c r="T263" s="10" t="b">
        <f t="shared" si="47"/>
        <v>0</v>
      </c>
      <c r="U263" s="8" t="str">
        <f t="shared" si="48"/>
        <v>TRUE</v>
      </c>
      <c r="V263" s="11" t="str">
        <f t="shared" si="49"/>
        <v>TRUE</v>
      </c>
    </row>
    <row r="264" spans="1:22" ht="15.75">
      <c r="A264" s="21">
        <v>262</v>
      </c>
      <c r="B264" s="5" t="s">
        <v>807</v>
      </c>
      <c r="C264" s="23" t="s">
        <v>3884</v>
      </c>
      <c r="D264" s="23" t="s">
        <v>17</v>
      </c>
      <c r="E264" s="5" t="s">
        <v>808</v>
      </c>
      <c r="F264" s="71" t="s">
        <v>6102</v>
      </c>
      <c r="G264" s="22" t="s">
        <v>119</v>
      </c>
      <c r="H264" s="5" t="s">
        <v>120</v>
      </c>
      <c r="I264" s="5" t="s">
        <v>42</v>
      </c>
      <c r="J264" s="5" t="s">
        <v>5470</v>
      </c>
      <c r="K264" s="5" t="s">
        <v>809</v>
      </c>
      <c r="L264" s="22"/>
      <c r="M264" s="8" t="str">
        <f t="shared" si="40"/>
        <v>Ok</v>
      </c>
      <c r="N264" s="9" t="b">
        <f t="shared" si="41"/>
        <v>0</v>
      </c>
      <c r="O264" s="9" t="b">
        <f t="shared" si="42"/>
        <v>1</v>
      </c>
      <c r="P264" s="8" t="str">
        <f t="shared" si="43"/>
        <v>FALSE</v>
      </c>
      <c r="Q264" s="8" t="str">
        <f t="shared" si="44"/>
        <v>FALSE</v>
      </c>
      <c r="R264" s="9" t="b">
        <f t="shared" si="45"/>
        <v>0</v>
      </c>
      <c r="S264" s="8" t="b">
        <f t="shared" si="46"/>
        <v>1</v>
      </c>
      <c r="T264" s="10" t="b">
        <f t="shared" si="47"/>
        <v>1</v>
      </c>
      <c r="U264" s="8" t="str">
        <f t="shared" si="48"/>
        <v>FALSE</v>
      </c>
      <c r="V264" s="11" t="str">
        <f t="shared" si="49"/>
        <v>TRUE</v>
      </c>
    </row>
    <row r="265" spans="1:22" ht="15.75">
      <c r="A265" s="21">
        <v>263</v>
      </c>
      <c r="B265" s="5" t="s">
        <v>810</v>
      </c>
      <c r="C265" s="23" t="s">
        <v>3221</v>
      </c>
      <c r="D265" s="23" t="s">
        <v>77</v>
      </c>
      <c r="E265" s="5" t="s">
        <v>811</v>
      </c>
      <c r="F265" s="71" t="s">
        <v>6102</v>
      </c>
      <c r="G265" s="22" t="s">
        <v>82</v>
      </c>
      <c r="H265" s="5" t="s">
        <v>98</v>
      </c>
      <c r="I265" s="5" t="s">
        <v>26</v>
      </c>
      <c r="J265" s="5" t="s">
        <v>5157</v>
      </c>
      <c r="K265" s="5" t="s">
        <v>812</v>
      </c>
      <c r="L265" s="22"/>
      <c r="M265" s="8" t="str">
        <f t="shared" si="40"/>
        <v>Ok</v>
      </c>
      <c r="N265" s="9" t="b">
        <f t="shared" si="41"/>
        <v>1</v>
      </c>
      <c r="O265" s="9" t="b">
        <f t="shared" si="42"/>
        <v>0</v>
      </c>
      <c r="P265" s="8" t="str">
        <f t="shared" si="43"/>
        <v>FALSE</v>
      </c>
      <c r="Q265" s="8" t="str">
        <f t="shared" si="44"/>
        <v>FALSE</v>
      </c>
      <c r="R265" s="9" t="b">
        <f t="shared" si="45"/>
        <v>0</v>
      </c>
      <c r="S265" s="8" t="b">
        <f t="shared" si="46"/>
        <v>0</v>
      </c>
      <c r="T265" s="10" t="b">
        <f t="shared" si="47"/>
        <v>0</v>
      </c>
      <c r="U265" s="8" t="str">
        <f t="shared" si="48"/>
        <v>TRUE</v>
      </c>
      <c r="V265" s="11" t="str">
        <f t="shared" si="49"/>
        <v>TRUE</v>
      </c>
    </row>
    <row r="266" spans="1:22" ht="15.75">
      <c r="A266" s="21">
        <v>264</v>
      </c>
      <c r="B266" s="5" t="s">
        <v>813</v>
      </c>
      <c r="C266" s="23" t="s">
        <v>3685</v>
      </c>
      <c r="D266" s="23" t="s">
        <v>59</v>
      </c>
      <c r="E266" s="5" t="s">
        <v>814</v>
      </c>
      <c r="F266" s="71" t="s">
        <v>6102</v>
      </c>
      <c r="G266" s="22" t="s">
        <v>3934</v>
      </c>
      <c r="H266" s="5" t="s">
        <v>13</v>
      </c>
      <c r="I266" s="5" t="s">
        <v>14</v>
      </c>
      <c r="J266" s="5" t="s">
        <v>4792</v>
      </c>
      <c r="K266" s="5" t="s">
        <v>815</v>
      </c>
      <c r="L266" s="22"/>
      <c r="M266" s="8" t="str">
        <f t="shared" si="40"/>
        <v>Ok</v>
      </c>
      <c r="N266" s="9" t="b">
        <f t="shared" si="41"/>
        <v>0</v>
      </c>
      <c r="O266" s="9" t="b">
        <f t="shared" si="42"/>
        <v>1</v>
      </c>
      <c r="P266" s="8" t="str">
        <f t="shared" si="43"/>
        <v>FALSE</v>
      </c>
      <c r="Q266" s="8" t="str">
        <f t="shared" si="44"/>
        <v>FALSE</v>
      </c>
      <c r="R266" s="9" t="b">
        <f t="shared" si="45"/>
        <v>0</v>
      </c>
      <c r="S266" s="8" t="b">
        <f t="shared" si="46"/>
        <v>0</v>
      </c>
      <c r="T266" s="10" t="b">
        <f t="shared" si="47"/>
        <v>1</v>
      </c>
      <c r="U266" s="8" t="str">
        <f t="shared" si="48"/>
        <v>TRUE</v>
      </c>
      <c r="V266" s="11" t="str">
        <f t="shared" si="49"/>
        <v>TRUE</v>
      </c>
    </row>
    <row r="267" spans="1:22" ht="15.75">
      <c r="A267" s="21">
        <v>265</v>
      </c>
      <c r="B267" s="5" t="s">
        <v>816</v>
      </c>
      <c r="C267" s="23" t="s">
        <v>3295</v>
      </c>
      <c r="D267" s="23" t="s">
        <v>77</v>
      </c>
      <c r="E267" s="5" t="s">
        <v>817</v>
      </c>
      <c r="F267" s="71" t="s">
        <v>6102</v>
      </c>
      <c r="G267" s="22" t="s">
        <v>179</v>
      </c>
      <c r="H267" s="5" t="s">
        <v>3932</v>
      </c>
      <c r="I267" s="5" t="s">
        <v>21</v>
      </c>
      <c r="J267" s="5" t="s">
        <v>5661</v>
      </c>
      <c r="K267" s="5" t="s">
        <v>818</v>
      </c>
      <c r="L267" s="22"/>
      <c r="M267" s="8" t="str">
        <f t="shared" si="40"/>
        <v>Ok</v>
      </c>
      <c r="N267" s="9" t="b">
        <f t="shared" si="41"/>
        <v>1</v>
      </c>
      <c r="O267" s="9" t="b">
        <f t="shared" si="42"/>
        <v>0</v>
      </c>
      <c r="P267" s="8" t="str">
        <f t="shared" si="43"/>
        <v>FALSE</v>
      </c>
      <c r="Q267" s="8" t="str">
        <f t="shared" si="44"/>
        <v>FALSE</v>
      </c>
      <c r="R267" s="9" t="b">
        <f t="shared" si="45"/>
        <v>1</v>
      </c>
      <c r="S267" s="8" t="b">
        <f t="shared" si="46"/>
        <v>0</v>
      </c>
      <c r="T267" s="10" t="b">
        <f t="shared" si="47"/>
        <v>0</v>
      </c>
      <c r="U267" s="8" t="str">
        <f t="shared" si="48"/>
        <v>FALSE</v>
      </c>
      <c r="V267" s="11" t="str">
        <f t="shared" si="49"/>
        <v>TRUE</v>
      </c>
    </row>
    <row r="268" spans="1:22" ht="15.75">
      <c r="A268" s="21">
        <v>266</v>
      </c>
      <c r="B268" s="5" t="s">
        <v>819</v>
      </c>
      <c r="C268" s="23" t="s">
        <v>3775</v>
      </c>
      <c r="D268" s="23" t="s">
        <v>59</v>
      </c>
      <c r="E268" s="5" t="s">
        <v>820</v>
      </c>
      <c r="F268" s="71" t="s">
        <v>6102</v>
      </c>
      <c r="G268" s="22" t="s">
        <v>24</v>
      </c>
      <c r="H268" s="5" t="s">
        <v>25</v>
      </c>
      <c r="I268" s="5" t="s">
        <v>14</v>
      </c>
      <c r="J268" s="5" t="s">
        <v>5404</v>
      </c>
      <c r="K268" s="5" t="s">
        <v>821</v>
      </c>
      <c r="L268" s="22"/>
      <c r="M268" s="8" t="str">
        <f t="shared" si="40"/>
        <v>Ok</v>
      </c>
      <c r="N268" s="9" t="b">
        <f t="shared" si="41"/>
        <v>0</v>
      </c>
      <c r="O268" s="9" t="b">
        <f t="shared" si="42"/>
        <v>1</v>
      </c>
      <c r="P268" s="8" t="str">
        <f t="shared" si="43"/>
        <v>FALSE</v>
      </c>
      <c r="Q268" s="8" t="str">
        <f t="shared" si="44"/>
        <v>FALSE</v>
      </c>
      <c r="R268" s="9" t="b">
        <f t="shared" si="45"/>
        <v>0</v>
      </c>
      <c r="S268" s="8" t="b">
        <f t="shared" si="46"/>
        <v>0</v>
      </c>
      <c r="T268" s="10" t="b">
        <f t="shared" si="47"/>
        <v>1</v>
      </c>
      <c r="U268" s="8" t="str">
        <f t="shared" si="48"/>
        <v>TRUE</v>
      </c>
      <c r="V268" s="11" t="str">
        <f t="shared" si="49"/>
        <v>TRUE</v>
      </c>
    </row>
    <row r="269" spans="1:22" ht="15.75">
      <c r="A269" s="21">
        <v>267</v>
      </c>
      <c r="B269" s="5" t="s">
        <v>822</v>
      </c>
      <c r="C269" s="23" t="s">
        <v>3605</v>
      </c>
      <c r="D269" s="23" t="s">
        <v>17</v>
      </c>
      <c r="E269" s="5" t="s">
        <v>823</v>
      </c>
      <c r="F269" s="71" t="s">
        <v>6102</v>
      </c>
      <c r="G269" s="22" t="s">
        <v>179</v>
      </c>
      <c r="H269" s="5" t="s">
        <v>36</v>
      </c>
      <c r="I269" s="5" t="s">
        <v>21</v>
      </c>
      <c r="J269" s="5" t="s">
        <v>5450</v>
      </c>
      <c r="K269" s="5" t="s">
        <v>824</v>
      </c>
      <c r="L269" s="22"/>
      <c r="M269" s="8" t="str">
        <f t="shared" si="40"/>
        <v>Ok</v>
      </c>
      <c r="N269" s="9" t="b">
        <f t="shared" si="41"/>
        <v>1</v>
      </c>
      <c r="O269" s="9" t="b">
        <f t="shared" si="42"/>
        <v>1</v>
      </c>
      <c r="P269" s="8" t="str">
        <f t="shared" si="43"/>
        <v>FALSE</v>
      </c>
      <c r="Q269" s="8" t="str">
        <f t="shared" si="44"/>
        <v>FALSE</v>
      </c>
      <c r="R269" s="9" t="b">
        <f t="shared" si="45"/>
        <v>1</v>
      </c>
      <c r="S269" s="8" t="b">
        <f t="shared" si="46"/>
        <v>1</v>
      </c>
      <c r="T269" s="10" t="b">
        <f t="shared" si="47"/>
        <v>0</v>
      </c>
      <c r="U269" s="8" t="str">
        <f t="shared" si="48"/>
        <v>TRUE</v>
      </c>
      <c r="V269" s="11" t="str">
        <f t="shared" si="49"/>
        <v>TRUE</v>
      </c>
    </row>
    <row r="270" spans="1:22" ht="15.75">
      <c r="A270" s="21">
        <v>268</v>
      </c>
      <c r="B270" s="5" t="s">
        <v>825</v>
      </c>
      <c r="C270" s="23" t="s">
        <v>3458</v>
      </c>
      <c r="D270" s="23" t="s">
        <v>77</v>
      </c>
      <c r="E270" s="5" t="s">
        <v>826</v>
      </c>
      <c r="F270" s="71" t="s">
        <v>6102</v>
      </c>
      <c r="G270" s="22" t="s">
        <v>160</v>
      </c>
      <c r="H270" s="5" t="s">
        <v>3932</v>
      </c>
      <c r="I270" s="5" t="s">
        <v>26</v>
      </c>
      <c r="J270" s="5" t="s">
        <v>5165</v>
      </c>
      <c r="K270" s="5" t="s">
        <v>827</v>
      </c>
      <c r="L270" s="22"/>
      <c r="M270" s="8" t="str">
        <f t="shared" si="40"/>
        <v>Ok</v>
      </c>
      <c r="N270" s="9" t="b">
        <f t="shared" si="41"/>
        <v>1</v>
      </c>
      <c r="O270" s="9" t="b">
        <f t="shared" si="42"/>
        <v>0</v>
      </c>
      <c r="P270" s="8" t="str">
        <f t="shared" si="43"/>
        <v>FALSE</v>
      </c>
      <c r="Q270" s="8" t="str">
        <f t="shared" si="44"/>
        <v>FALSE</v>
      </c>
      <c r="R270" s="9" t="b">
        <f t="shared" si="45"/>
        <v>0</v>
      </c>
      <c r="S270" s="8" t="b">
        <f t="shared" si="46"/>
        <v>0</v>
      </c>
      <c r="T270" s="10" t="b">
        <f t="shared" si="47"/>
        <v>0</v>
      </c>
      <c r="U270" s="8" t="str">
        <f t="shared" si="48"/>
        <v>TRUE</v>
      </c>
      <c r="V270" s="11" t="str">
        <f t="shared" si="49"/>
        <v>TRUE</v>
      </c>
    </row>
    <row r="271" spans="1:22" ht="15.75">
      <c r="A271" s="21">
        <v>269</v>
      </c>
      <c r="B271" s="5" t="s">
        <v>828</v>
      </c>
      <c r="C271" s="23" t="s">
        <v>3821</v>
      </c>
      <c r="D271" s="23" t="s">
        <v>59</v>
      </c>
      <c r="E271" s="5" t="s">
        <v>829</v>
      </c>
      <c r="F271" s="71" t="s">
        <v>6102</v>
      </c>
      <c r="G271" s="22" t="s">
        <v>144</v>
      </c>
      <c r="H271" s="5" t="s">
        <v>25</v>
      </c>
      <c r="I271" s="5" t="s">
        <v>14</v>
      </c>
      <c r="J271" s="5" t="s">
        <v>5096</v>
      </c>
      <c r="K271" s="5" t="s">
        <v>830</v>
      </c>
      <c r="L271" s="22"/>
      <c r="M271" s="8" t="str">
        <f t="shared" si="40"/>
        <v>Ok</v>
      </c>
      <c r="N271" s="9" t="b">
        <f t="shared" si="41"/>
        <v>0</v>
      </c>
      <c r="O271" s="9" t="b">
        <f t="shared" si="42"/>
        <v>1</v>
      </c>
      <c r="P271" s="8" t="str">
        <f t="shared" si="43"/>
        <v>FALSE</v>
      </c>
      <c r="Q271" s="8" t="str">
        <f t="shared" si="44"/>
        <v>FALSE</v>
      </c>
      <c r="R271" s="9" t="b">
        <f t="shared" si="45"/>
        <v>1</v>
      </c>
      <c r="S271" s="8" t="b">
        <f t="shared" si="46"/>
        <v>0</v>
      </c>
      <c r="T271" s="10" t="b">
        <f t="shared" si="47"/>
        <v>1</v>
      </c>
      <c r="U271" s="8" t="str">
        <f t="shared" si="48"/>
        <v>TRUE</v>
      </c>
      <c r="V271" s="11" t="str">
        <f t="shared" si="49"/>
        <v>FALSE</v>
      </c>
    </row>
    <row r="272" spans="1:22" ht="15.75">
      <c r="A272" s="21">
        <v>270</v>
      </c>
      <c r="B272" s="5" t="s">
        <v>831</v>
      </c>
      <c r="C272" s="23" t="s">
        <v>3459</v>
      </c>
      <c r="D272" s="23" t="s">
        <v>77</v>
      </c>
      <c r="E272" s="5" t="s">
        <v>832</v>
      </c>
      <c r="F272" s="71" t="s">
        <v>6102</v>
      </c>
      <c r="G272" s="22" t="s">
        <v>102</v>
      </c>
      <c r="H272" s="5" t="s">
        <v>140</v>
      </c>
      <c r="I272" s="5" t="s">
        <v>21</v>
      </c>
      <c r="J272" s="5" t="s">
        <v>5670</v>
      </c>
      <c r="K272" s="5" t="s">
        <v>833</v>
      </c>
      <c r="L272" s="22"/>
      <c r="M272" s="8" t="str">
        <f t="shared" si="40"/>
        <v>Ok</v>
      </c>
      <c r="N272" s="9" t="b">
        <f t="shared" si="41"/>
        <v>1</v>
      </c>
      <c r="O272" s="9" t="b">
        <f t="shared" si="42"/>
        <v>0</v>
      </c>
      <c r="P272" s="8" t="str">
        <f t="shared" si="43"/>
        <v>FALSE</v>
      </c>
      <c r="Q272" s="8" t="str">
        <f t="shared" si="44"/>
        <v>FALSE</v>
      </c>
      <c r="R272" s="9" t="b">
        <f t="shared" si="45"/>
        <v>0</v>
      </c>
      <c r="S272" s="8" t="b">
        <f t="shared" si="46"/>
        <v>1</v>
      </c>
      <c r="T272" s="10" t="b">
        <f t="shared" si="47"/>
        <v>0</v>
      </c>
      <c r="U272" s="8" t="str">
        <f t="shared" si="48"/>
        <v>FALSE</v>
      </c>
      <c r="V272" s="11" t="str">
        <f t="shared" si="49"/>
        <v>TRUE</v>
      </c>
    </row>
    <row r="273" spans="1:22" ht="15.75">
      <c r="A273" s="21">
        <v>271</v>
      </c>
      <c r="B273" s="5" t="s">
        <v>834</v>
      </c>
      <c r="C273" s="23" t="s">
        <v>3686</v>
      </c>
      <c r="D273" s="23" t="s">
        <v>59</v>
      </c>
      <c r="E273" s="5" t="s">
        <v>835</v>
      </c>
      <c r="F273" s="71" t="s">
        <v>6102</v>
      </c>
      <c r="G273" s="22" t="s">
        <v>3934</v>
      </c>
      <c r="H273" s="5" t="s">
        <v>13</v>
      </c>
      <c r="I273" s="5" t="s">
        <v>26</v>
      </c>
      <c r="J273" s="5" t="s">
        <v>5079</v>
      </c>
      <c r="K273" s="5" t="s">
        <v>836</v>
      </c>
      <c r="L273" s="22"/>
      <c r="M273" s="8" t="str">
        <f t="shared" si="40"/>
        <v>Ok</v>
      </c>
      <c r="N273" s="9" t="b">
        <f t="shared" si="41"/>
        <v>0</v>
      </c>
      <c r="O273" s="9" t="b">
        <f t="shared" si="42"/>
        <v>1</v>
      </c>
      <c r="P273" s="8" t="str">
        <f t="shared" si="43"/>
        <v>FALSE</v>
      </c>
      <c r="Q273" s="8" t="str">
        <f t="shared" si="44"/>
        <v>FALSE</v>
      </c>
      <c r="R273" s="9" t="b">
        <f t="shared" si="45"/>
        <v>0</v>
      </c>
      <c r="S273" s="8" t="b">
        <f t="shared" si="46"/>
        <v>0</v>
      </c>
      <c r="T273" s="10" t="b">
        <f t="shared" si="47"/>
        <v>0</v>
      </c>
      <c r="U273" s="8" t="str">
        <f t="shared" si="48"/>
        <v>TRUE</v>
      </c>
      <c r="V273" s="11" t="str">
        <f t="shared" si="49"/>
        <v>TRUE</v>
      </c>
    </row>
    <row r="274" spans="1:22" ht="15.75">
      <c r="A274" s="21">
        <v>272</v>
      </c>
      <c r="B274" s="5" t="s">
        <v>837</v>
      </c>
      <c r="C274" s="23" t="s">
        <v>3687</v>
      </c>
      <c r="D274" s="23" t="s">
        <v>17</v>
      </c>
      <c r="E274" s="5" t="s">
        <v>838</v>
      </c>
      <c r="F274" s="71" t="s">
        <v>6102</v>
      </c>
      <c r="G274" s="22" t="s">
        <v>3934</v>
      </c>
      <c r="H274" s="5" t="s">
        <v>13</v>
      </c>
      <c r="I274" s="5" t="s">
        <v>56</v>
      </c>
      <c r="J274" s="5" t="s">
        <v>5547</v>
      </c>
      <c r="K274" s="5" t="s">
        <v>839</v>
      </c>
      <c r="L274" s="22"/>
      <c r="M274" s="8" t="str">
        <f t="shared" si="40"/>
        <v>Ok</v>
      </c>
      <c r="N274" s="9" t="b">
        <f t="shared" si="41"/>
        <v>0</v>
      </c>
      <c r="O274" s="9" t="b">
        <f t="shared" si="42"/>
        <v>1</v>
      </c>
      <c r="P274" s="8" t="str">
        <f t="shared" si="43"/>
        <v>FALSE</v>
      </c>
      <c r="Q274" s="8" t="str">
        <f t="shared" si="44"/>
        <v>FALSE</v>
      </c>
      <c r="R274" s="9" t="b">
        <f t="shared" si="45"/>
        <v>0</v>
      </c>
      <c r="S274" s="8" t="b">
        <f t="shared" si="46"/>
        <v>0</v>
      </c>
      <c r="T274" s="10" t="b">
        <f t="shared" si="47"/>
        <v>1</v>
      </c>
      <c r="U274" s="8" t="str">
        <f t="shared" si="48"/>
        <v>FALSE</v>
      </c>
      <c r="V274" s="11" t="str">
        <f t="shared" si="49"/>
        <v>TRUE</v>
      </c>
    </row>
    <row r="275" spans="1:22" ht="15.75">
      <c r="A275" s="21">
        <v>273</v>
      </c>
      <c r="B275" s="5" t="s">
        <v>840</v>
      </c>
      <c r="C275" s="23" t="s">
        <v>3885</v>
      </c>
      <c r="D275" s="23" t="s">
        <v>17</v>
      </c>
      <c r="E275" s="5" t="s">
        <v>841</v>
      </c>
      <c r="F275" s="71" t="s">
        <v>6102</v>
      </c>
      <c r="G275" s="22" t="s">
        <v>85</v>
      </c>
      <c r="H275" s="5" t="s">
        <v>120</v>
      </c>
      <c r="I275" s="5" t="s">
        <v>67</v>
      </c>
      <c r="J275" s="5" t="s">
        <v>5697</v>
      </c>
      <c r="K275" s="5" t="s">
        <v>842</v>
      </c>
      <c r="L275" s="22"/>
      <c r="M275" s="8" t="str">
        <f t="shared" si="40"/>
        <v>Ok</v>
      </c>
      <c r="N275" s="9" t="b">
        <f t="shared" si="41"/>
        <v>0</v>
      </c>
      <c r="O275" s="9" t="b">
        <f t="shared" si="42"/>
        <v>1</v>
      </c>
      <c r="P275" s="8" t="str">
        <f t="shared" si="43"/>
        <v>FALSE</v>
      </c>
      <c r="Q275" s="8" t="str">
        <f t="shared" si="44"/>
        <v>FALSE</v>
      </c>
      <c r="R275" s="9" t="b">
        <f t="shared" si="45"/>
        <v>1</v>
      </c>
      <c r="S275" s="8" t="b">
        <f t="shared" si="46"/>
        <v>1</v>
      </c>
      <c r="T275" s="10" t="b">
        <f t="shared" si="47"/>
        <v>0</v>
      </c>
      <c r="U275" s="8" t="str">
        <f t="shared" si="48"/>
        <v>FALSE</v>
      </c>
      <c r="V275" s="11" t="str">
        <f t="shared" si="49"/>
        <v>TRUE</v>
      </c>
    </row>
    <row r="276" spans="1:22" ht="15.75">
      <c r="A276" s="21">
        <v>274</v>
      </c>
      <c r="B276" s="5" t="s">
        <v>843</v>
      </c>
      <c r="C276" s="23" t="s">
        <v>3776</v>
      </c>
      <c r="D276" s="23" t="s">
        <v>17</v>
      </c>
      <c r="E276" s="5" t="s">
        <v>844</v>
      </c>
      <c r="F276" s="71" t="s">
        <v>6102</v>
      </c>
      <c r="G276" s="22" t="s">
        <v>24</v>
      </c>
      <c r="H276" s="5" t="s">
        <v>25</v>
      </c>
      <c r="I276" s="5" t="s">
        <v>14</v>
      </c>
      <c r="J276" s="5" t="s">
        <v>5506</v>
      </c>
      <c r="K276" s="5" t="s">
        <v>845</v>
      </c>
      <c r="L276" s="22"/>
      <c r="M276" s="8" t="str">
        <f t="shared" si="40"/>
        <v>Ok</v>
      </c>
      <c r="N276" s="9" t="b">
        <f t="shared" si="41"/>
        <v>0</v>
      </c>
      <c r="O276" s="9" t="b">
        <f t="shared" si="42"/>
        <v>1</v>
      </c>
      <c r="P276" s="8" t="str">
        <f t="shared" si="43"/>
        <v>FALSE</v>
      </c>
      <c r="Q276" s="8" t="str">
        <f t="shared" si="44"/>
        <v>FALSE</v>
      </c>
      <c r="R276" s="9" t="b">
        <f t="shared" si="45"/>
        <v>0</v>
      </c>
      <c r="S276" s="8" t="b">
        <f t="shared" si="46"/>
        <v>0</v>
      </c>
      <c r="T276" s="10" t="b">
        <f t="shared" si="47"/>
        <v>1</v>
      </c>
      <c r="U276" s="8" t="str">
        <f t="shared" si="48"/>
        <v>FALSE</v>
      </c>
      <c r="V276" s="11" t="str">
        <f t="shared" si="49"/>
        <v>TRUE</v>
      </c>
    </row>
    <row r="277" spans="1:22" ht="15.75">
      <c r="A277" s="21">
        <v>275</v>
      </c>
      <c r="B277" s="5" t="s">
        <v>846</v>
      </c>
      <c r="C277" s="23" t="s">
        <v>3822</v>
      </c>
      <c r="D277" s="23" t="s">
        <v>59</v>
      </c>
      <c r="E277" s="5" t="s">
        <v>847</v>
      </c>
      <c r="F277" s="71" t="s">
        <v>6102</v>
      </c>
      <c r="G277" s="22" t="s">
        <v>144</v>
      </c>
      <c r="H277" s="5" t="s">
        <v>25</v>
      </c>
      <c r="I277" s="5" t="s">
        <v>56</v>
      </c>
      <c r="J277" s="5" t="s">
        <v>5369</v>
      </c>
      <c r="K277" s="5" t="s">
        <v>848</v>
      </c>
      <c r="L277" s="22"/>
      <c r="M277" s="8" t="str">
        <f t="shared" si="40"/>
        <v>Ok</v>
      </c>
      <c r="N277" s="9" t="b">
        <f t="shared" si="41"/>
        <v>0</v>
      </c>
      <c r="O277" s="9" t="b">
        <f t="shared" si="42"/>
        <v>1</v>
      </c>
      <c r="P277" s="8" t="str">
        <f t="shared" si="43"/>
        <v>FALSE</v>
      </c>
      <c r="Q277" s="8" t="str">
        <f t="shared" si="44"/>
        <v>FALSE</v>
      </c>
      <c r="R277" s="9" t="b">
        <f t="shared" si="45"/>
        <v>1</v>
      </c>
      <c r="S277" s="8" t="b">
        <f t="shared" si="46"/>
        <v>0</v>
      </c>
      <c r="T277" s="10" t="b">
        <f t="shared" si="47"/>
        <v>1</v>
      </c>
      <c r="U277" s="8" t="str">
        <f t="shared" si="48"/>
        <v>TRUE</v>
      </c>
      <c r="V277" s="11" t="str">
        <f t="shared" si="49"/>
        <v>TRUE</v>
      </c>
    </row>
    <row r="278" spans="1:22" ht="15.75">
      <c r="A278" s="21">
        <v>276</v>
      </c>
      <c r="B278" s="5" t="s">
        <v>849</v>
      </c>
      <c r="C278" s="23" t="s">
        <v>3460</v>
      </c>
      <c r="D278" s="23" t="s">
        <v>17</v>
      </c>
      <c r="E278" s="5" t="s">
        <v>850</v>
      </c>
      <c r="F278" s="71" t="s">
        <v>6102</v>
      </c>
      <c r="G278" s="22" t="s">
        <v>54</v>
      </c>
      <c r="H278" s="5" t="s">
        <v>140</v>
      </c>
      <c r="I278" s="5" t="s">
        <v>14</v>
      </c>
      <c r="J278" s="5" t="s">
        <v>5331</v>
      </c>
      <c r="K278" s="5" t="s">
        <v>851</v>
      </c>
      <c r="L278" s="22"/>
      <c r="M278" s="8" t="str">
        <f t="shared" si="40"/>
        <v>Ok</v>
      </c>
      <c r="N278" s="9" t="b">
        <f t="shared" si="41"/>
        <v>1</v>
      </c>
      <c r="O278" s="9" t="b">
        <f t="shared" si="42"/>
        <v>1</v>
      </c>
      <c r="P278" s="8" t="str">
        <f t="shared" si="43"/>
        <v>FALSE</v>
      </c>
      <c r="Q278" s="8" t="str">
        <f t="shared" si="44"/>
        <v>FALSE</v>
      </c>
      <c r="R278" s="9" t="b">
        <f t="shared" si="45"/>
        <v>1</v>
      </c>
      <c r="S278" s="8" t="b">
        <f t="shared" si="46"/>
        <v>1</v>
      </c>
      <c r="T278" s="10" t="b">
        <f t="shared" si="47"/>
        <v>1</v>
      </c>
      <c r="U278" s="8" t="str">
        <f t="shared" si="48"/>
        <v>TRUE</v>
      </c>
      <c r="V278" s="11" t="str">
        <f t="shared" si="49"/>
        <v>TRUE</v>
      </c>
    </row>
    <row r="279" spans="1:22" ht="15.75">
      <c r="A279" s="21">
        <v>277</v>
      </c>
      <c r="B279" s="5" t="s">
        <v>852</v>
      </c>
      <c r="C279" s="23" t="s">
        <v>3688</v>
      </c>
      <c r="D279" s="23" t="s">
        <v>59</v>
      </c>
      <c r="E279" s="5" t="s">
        <v>853</v>
      </c>
      <c r="F279" s="71" t="s">
        <v>6102</v>
      </c>
      <c r="G279" s="22" t="s">
        <v>3934</v>
      </c>
      <c r="H279" s="5" t="s">
        <v>13</v>
      </c>
      <c r="I279" s="5" t="s">
        <v>14</v>
      </c>
      <c r="J279" s="5" t="s">
        <v>5296</v>
      </c>
      <c r="K279" s="5" t="s">
        <v>854</v>
      </c>
      <c r="L279" s="22"/>
      <c r="M279" s="8" t="str">
        <f t="shared" si="40"/>
        <v>Ok</v>
      </c>
      <c r="N279" s="9" t="b">
        <f t="shared" si="41"/>
        <v>0</v>
      </c>
      <c r="O279" s="9" t="b">
        <f t="shared" si="42"/>
        <v>1</v>
      </c>
      <c r="P279" s="8" t="str">
        <f t="shared" si="43"/>
        <v>FALSE</v>
      </c>
      <c r="Q279" s="8" t="str">
        <f t="shared" si="44"/>
        <v>FALSE</v>
      </c>
      <c r="R279" s="9" t="b">
        <f t="shared" si="45"/>
        <v>0</v>
      </c>
      <c r="S279" s="8" t="b">
        <f t="shared" si="46"/>
        <v>0</v>
      </c>
      <c r="T279" s="10" t="b">
        <f t="shared" si="47"/>
        <v>1</v>
      </c>
      <c r="U279" s="8" t="str">
        <f t="shared" si="48"/>
        <v>TRUE</v>
      </c>
      <c r="V279" s="11" t="str">
        <f t="shared" si="49"/>
        <v>TRUE</v>
      </c>
    </row>
    <row r="280" spans="1:22" ht="15.75">
      <c r="A280" s="21">
        <v>278</v>
      </c>
      <c r="B280" s="5" t="s">
        <v>855</v>
      </c>
      <c r="C280" s="23" t="s">
        <v>3222</v>
      </c>
      <c r="D280" s="23" t="s">
        <v>77</v>
      </c>
      <c r="E280" s="5" t="s">
        <v>856</v>
      </c>
      <c r="F280" s="71" t="s">
        <v>6102</v>
      </c>
      <c r="G280" s="22" t="s">
        <v>179</v>
      </c>
      <c r="H280" s="5" t="s">
        <v>3932</v>
      </c>
      <c r="I280" s="5" t="s">
        <v>50</v>
      </c>
      <c r="J280" s="5" t="s">
        <v>4813</v>
      </c>
      <c r="K280" s="5" t="s">
        <v>857</v>
      </c>
      <c r="L280" s="22"/>
      <c r="M280" s="8" t="str">
        <f t="shared" si="40"/>
        <v>Ok</v>
      </c>
      <c r="N280" s="9" t="b">
        <f t="shared" si="41"/>
        <v>1</v>
      </c>
      <c r="O280" s="9" t="b">
        <f t="shared" si="42"/>
        <v>0</v>
      </c>
      <c r="P280" s="8" t="str">
        <f t="shared" si="43"/>
        <v>FALSE</v>
      </c>
      <c r="Q280" s="8" t="str">
        <f t="shared" si="44"/>
        <v>FALSE</v>
      </c>
      <c r="R280" s="9" t="b">
        <f t="shared" si="45"/>
        <v>1</v>
      </c>
      <c r="S280" s="8" t="b">
        <f t="shared" si="46"/>
        <v>0</v>
      </c>
      <c r="T280" s="10" t="b">
        <f t="shared" si="47"/>
        <v>0</v>
      </c>
      <c r="U280" s="8" t="str">
        <f t="shared" si="48"/>
        <v>TRUE</v>
      </c>
      <c r="V280" s="11" t="str">
        <f t="shared" si="49"/>
        <v>TRUE</v>
      </c>
    </row>
    <row r="281" spans="1:22" ht="15.75">
      <c r="A281" s="21">
        <v>279</v>
      </c>
      <c r="B281" s="5" t="s">
        <v>858</v>
      </c>
      <c r="C281" s="23" t="s">
        <v>3223</v>
      </c>
      <c r="D281" s="23" t="s">
        <v>77</v>
      </c>
      <c r="E281" s="5" t="s">
        <v>859</v>
      </c>
      <c r="F281" s="71" t="s">
        <v>6102</v>
      </c>
      <c r="G281" s="22" t="s">
        <v>172</v>
      </c>
      <c r="H281" s="5" t="s">
        <v>98</v>
      </c>
      <c r="I281" s="5" t="s">
        <v>42</v>
      </c>
      <c r="J281" s="5" t="s">
        <v>5539</v>
      </c>
      <c r="K281" s="5" t="s">
        <v>860</v>
      </c>
      <c r="L281" s="22"/>
      <c r="M281" s="8" t="str">
        <f t="shared" si="40"/>
        <v>Ok</v>
      </c>
      <c r="N281" s="9" t="b">
        <f t="shared" si="41"/>
        <v>1</v>
      </c>
      <c r="O281" s="9" t="b">
        <f t="shared" si="42"/>
        <v>0</v>
      </c>
      <c r="P281" s="8" t="str">
        <f t="shared" si="43"/>
        <v>FALSE</v>
      </c>
      <c r="Q281" s="8" t="str">
        <f t="shared" si="44"/>
        <v>FALSE</v>
      </c>
      <c r="R281" s="9" t="b">
        <f t="shared" si="45"/>
        <v>0</v>
      </c>
      <c r="S281" s="8" t="b">
        <f t="shared" si="46"/>
        <v>0</v>
      </c>
      <c r="T281" s="10" t="b">
        <f t="shared" si="47"/>
        <v>1</v>
      </c>
      <c r="U281" s="8" t="str">
        <f t="shared" si="48"/>
        <v>FALSE</v>
      </c>
      <c r="V281" s="11" t="str">
        <f t="shared" si="49"/>
        <v>TRUE</v>
      </c>
    </row>
    <row r="282" spans="1:22" ht="15.75">
      <c r="A282" s="21">
        <v>280</v>
      </c>
      <c r="B282" s="5" t="s">
        <v>861</v>
      </c>
      <c r="C282" s="23" t="s">
        <v>3606</v>
      </c>
      <c r="D282" s="23" t="s">
        <v>59</v>
      </c>
      <c r="E282" s="5" t="s">
        <v>862</v>
      </c>
      <c r="F282" s="71" t="s">
        <v>6102</v>
      </c>
      <c r="G282" s="22" t="s">
        <v>179</v>
      </c>
      <c r="H282" s="5" t="s">
        <v>13</v>
      </c>
      <c r="I282" s="5" t="s">
        <v>56</v>
      </c>
      <c r="J282" s="5" t="s">
        <v>5036</v>
      </c>
      <c r="K282" s="5" t="s">
        <v>863</v>
      </c>
      <c r="L282" s="22"/>
      <c r="M282" s="8" t="str">
        <f t="shared" si="40"/>
        <v>Ok</v>
      </c>
      <c r="N282" s="9" t="b">
        <f t="shared" si="41"/>
        <v>1</v>
      </c>
      <c r="O282" s="9" t="b">
        <f t="shared" si="42"/>
        <v>1</v>
      </c>
      <c r="P282" s="8" t="str">
        <f t="shared" si="43"/>
        <v>FALSE</v>
      </c>
      <c r="Q282" s="8" t="str">
        <f t="shared" si="44"/>
        <v>FALSE</v>
      </c>
      <c r="R282" s="9" t="b">
        <f t="shared" si="45"/>
        <v>1</v>
      </c>
      <c r="S282" s="8" t="b">
        <f t="shared" si="46"/>
        <v>0</v>
      </c>
      <c r="T282" s="10" t="b">
        <f t="shared" si="47"/>
        <v>1</v>
      </c>
      <c r="U282" s="8" t="str">
        <f t="shared" si="48"/>
        <v>TRUE</v>
      </c>
      <c r="V282" s="11" t="str">
        <f t="shared" si="49"/>
        <v>TRUE</v>
      </c>
    </row>
    <row r="283" spans="1:22" ht="15.75">
      <c r="A283" s="21">
        <v>281</v>
      </c>
      <c r="B283" s="5" t="s">
        <v>3946</v>
      </c>
      <c r="C283" s="23" t="s">
        <v>3607</v>
      </c>
      <c r="D283" s="23" t="s">
        <v>59</v>
      </c>
      <c r="E283" s="5" t="s">
        <v>864</v>
      </c>
      <c r="F283" s="71" t="s">
        <v>6102</v>
      </c>
      <c r="G283" s="22" t="s">
        <v>179</v>
      </c>
      <c r="H283" s="5" t="s">
        <v>36</v>
      </c>
      <c r="I283" s="5" t="s">
        <v>14</v>
      </c>
      <c r="J283" s="5" t="s">
        <v>5421</v>
      </c>
      <c r="K283" s="5" t="s">
        <v>865</v>
      </c>
      <c r="L283" s="22"/>
      <c r="M283" s="8" t="str">
        <f t="shared" si="40"/>
        <v>Ok</v>
      </c>
      <c r="N283" s="9" t="b">
        <f t="shared" si="41"/>
        <v>1</v>
      </c>
      <c r="O283" s="9" t="b">
        <f t="shared" si="42"/>
        <v>1</v>
      </c>
      <c r="P283" s="8" t="str">
        <f t="shared" si="43"/>
        <v>FALSE</v>
      </c>
      <c r="Q283" s="8" t="str">
        <f t="shared" si="44"/>
        <v>FALSE</v>
      </c>
      <c r="R283" s="9" t="b">
        <f t="shared" si="45"/>
        <v>1</v>
      </c>
      <c r="S283" s="8" t="b">
        <f t="shared" si="46"/>
        <v>1</v>
      </c>
      <c r="T283" s="10" t="b">
        <f t="shared" si="47"/>
        <v>1</v>
      </c>
      <c r="U283" s="8" t="str">
        <f t="shared" si="48"/>
        <v>TRUE</v>
      </c>
      <c r="V283" s="11" t="str">
        <f t="shared" si="49"/>
        <v>TRUE</v>
      </c>
    </row>
    <row r="284" spans="1:22" ht="15.75">
      <c r="A284" s="21">
        <v>282</v>
      </c>
      <c r="B284" s="5" t="s">
        <v>866</v>
      </c>
      <c r="C284" s="23" t="s">
        <v>3777</v>
      </c>
      <c r="D284" s="23" t="s">
        <v>59</v>
      </c>
      <c r="E284" s="5" t="s">
        <v>867</v>
      </c>
      <c r="F284" s="71" t="s">
        <v>6102</v>
      </c>
      <c r="G284" s="22" t="s">
        <v>24</v>
      </c>
      <c r="H284" s="5" t="s">
        <v>25</v>
      </c>
      <c r="I284" s="5" t="s">
        <v>50</v>
      </c>
      <c r="J284" s="5" t="s">
        <v>5167</v>
      </c>
      <c r="K284" s="5" t="s">
        <v>868</v>
      </c>
      <c r="L284" s="22"/>
      <c r="M284" s="8" t="str">
        <f t="shared" si="40"/>
        <v>Ok</v>
      </c>
      <c r="N284" s="9" t="b">
        <f t="shared" si="41"/>
        <v>0</v>
      </c>
      <c r="O284" s="9" t="b">
        <f t="shared" si="42"/>
        <v>1</v>
      </c>
      <c r="P284" s="8" t="str">
        <f t="shared" si="43"/>
        <v>FALSE</v>
      </c>
      <c r="Q284" s="8" t="str">
        <f t="shared" si="44"/>
        <v>FALSE</v>
      </c>
      <c r="R284" s="9" t="b">
        <f t="shared" si="45"/>
        <v>0</v>
      </c>
      <c r="S284" s="8" t="b">
        <f t="shared" si="46"/>
        <v>0</v>
      </c>
      <c r="T284" s="10" t="b">
        <f t="shared" si="47"/>
        <v>0</v>
      </c>
      <c r="U284" s="8" t="str">
        <f t="shared" si="48"/>
        <v>TRUE</v>
      </c>
      <c r="V284" s="11" t="str">
        <f t="shared" si="49"/>
        <v>TRUE</v>
      </c>
    </row>
    <row r="285" spans="1:22" ht="15.75">
      <c r="A285" s="21">
        <v>283</v>
      </c>
      <c r="B285" s="5" t="s">
        <v>869</v>
      </c>
      <c r="C285" s="23" t="s">
        <v>3689</v>
      </c>
      <c r="D285" s="23" t="s">
        <v>59</v>
      </c>
      <c r="E285" s="5" t="s">
        <v>870</v>
      </c>
      <c r="F285" s="71" t="s">
        <v>6102</v>
      </c>
      <c r="G285" s="22" t="s">
        <v>3934</v>
      </c>
      <c r="H285" s="5" t="s">
        <v>13</v>
      </c>
      <c r="I285" s="5" t="s">
        <v>21</v>
      </c>
      <c r="J285" s="5" t="s">
        <v>4839</v>
      </c>
      <c r="K285" s="5" t="s">
        <v>871</v>
      </c>
      <c r="L285" s="22"/>
      <c r="M285" s="8" t="str">
        <f t="shared" si="40"/>
        <v>Ok</v>
      </c>
      <c r="N285" s="9" t="b">
        <f t="shared" si="41"/>
        <v>0</v>
      </c>
      <c r="O285" s="9" t="b">
        <f t="shared" si="42"/>
        <v>1</v>
      </c>
      <c r="P285" s="8" t="str">
        <f t="shared" si="43"/>
        <v>FALSE</v>
      </c>
      <c r="Q285" s="8" t="str">
        <f t="shared" si="44"/>
        <v>FALSE</v>
      </c>
      <c r="R285" s="9" t="b">
        <f t="shared" si="45"/>
        <v>0</v>
      </c>
      <c r="S285" s="8" t="b">
        <f t="shared" si="46"/>
        <v>0</v>
      </c>
      <c r="T285" s="10" t="b">
        <f t="shared" si="47"/>
        <v>0</v>
      </c>
      <c r="U285" s="8" t="str">
        <f t="shared" si="48"/>
        <v>TRUE</v>
      </c>
      <c r="V285" s="11" t="str">
        <f t="shared" si="49"/>
        <v>TRUE</v>
      </c>
    </row>
    <row r="286" spans="1:22" ht="15.75">
      <c r="A286" s="21">
        <v>284</v>
      </c>
      <c r="B286" s="5" t="s">
        <v>872</v>
      </c>
      <c r="C286" s="23" t="s">
        <v>3690</v>
      </c>
      <c r="D286" s="23" t="s">
        <v>59</v>
      </c>
      <c r="E286" s="5" t="s">
        <v>873</v>
      </c>
      <c r="F286" s="71" t="s">
        <v>6102</v>
      </c>
      <c r="G286" s="22" t="s">
        <v>3934</v>
      </c>
      <c r="H286" s="5" t="s">
        <v>13</v>
      </c>
      <c r="I286" s="5" t="s">
        <v>14</v>
      </c>
      <c r="J286" s="5" t="s">
        <v>5261</v>
      </c>
      <c r="K286" s="5" t="s">
        <v>874</v>
      </c>
      <c r="L286" s="22"/>
      <c r="M286" s="8" t="str">
        <f t="shared" si="40"/>
        <v>Ok</v>
      </c>
      <c r="N286" s="9" t="b">
        <f t="shared" si="41"/>
        <v>0</v>
      </c>
      <c r="O286" s="9" t="b">
        <f t="shared" si="42"/>
        <v>1</v>
      </c>
      <c r="P286" s="8" t="str">
        <f t="shared" si="43"/>
        <v>FALSE</v>
      </c>
      <c r="Q286" s="8" t="str">
        <f t="shared" si="44"/>
        <v>FALSE</v>
      </c>
      <c r="R286" s="9" t="b">
        <f t="shared" si="45"/>
        <v>0</v>
      </c>
      <c r="S286" s="8" t="b">
        <f t="shared" si="46"/>
        <v>0</v>
      </c>
      <c r="T286" s="10" t="b">
        <f t="shared" si="47"/>
        <v>1</v>
      </c>
      <c r="U286" s="8" t="str">
        <f t="shared" si="48"/>
        <v>TRUE</v>
      </c>
      <c r="V286" s="11" t="str">
        <f t="shared" si="49"/>
        <v>FALSE</v>
      </c>
    </row>
    <row r="287" spans="1:22" ht="15.75">
      <c r="A287" s="21">
        <v>285</v>
      </c>
      <c r="B287" s="5" t="s">
        <v>875</v>
      </c>
      <c r="C287" s="23" t="s">
        <v>3296</v>
      </c>
      <c r="D287" s="23" t="s">
        <v>77</v>
      </c>
      <c r="E287" s="5" t="s">
        <v>876</v>
      </c>
      <c r="F287" s="71" t="s">
        <v>6102</v>
      </c>
      <c r="G287" s="22" t="s">
        <v>179</v>
      </c>
      <c r="H287" s="5" t="s">
        <v>3932</v>
      </c>
      <c r="I287" s="5" t="s">
        <v>67</v>
      </c>
      <c r="J287" s="5" t="s">
        <v>4905</v>
      </c>
      <c r="K287" s="5" t="s">
        <v>877</v>
      </c>
      <c r="L287" s="22"/>
      <c r="M287" s="8" t="str">
        <f t="shared" si="40"/>
        <v>Ok</v>
      </c>
      <c r="N287" s="9" t="b">
        <f t="shared" si="41"/>
        <v>1</v>
      </c>
      <c r="O287" s="9" t="b">
        <f t="shared" si="42"/>
        <v>0</v>
      </c>
      <c r="P287" s="8" t="str">
        <f t="shared" si="43"/>
        <v>FALSE</v>
      </c>
      <c r="Q287" s="8" t="str">
        <f t="shared" si="44"/>
        <v>FALSE</v>
      </c>
      <c r="R287" s="9" t="b">
        <f t="shared" si="45"/>
        <v>1</v>
      </c>
      <c r="S287" s="8" t="b">
        <f t="shared" si="46"/>
        <v>0</v>
      </c>
      <c r="T287" s="10" t="b">
        <f t="shared" si="47"/>
        <v>0</v>
      </c>
      <c r="U287" s="8" t="str">
        <f t="shared" si="48"/>
        <v>TRUE</v>
      </c>
      <c r="V287" s="11" t="str">
        <f t="shared" si="49"/>
        <v>TRUE</v>
      </c>
    </row>
    <row r="288" spans="1:22" ht="15.75">
      <c r="A288" s="21">
        <v>286</v>
      </c>
      <c r="B288" s="5" t="s">
        <v>878</v>
      </c>
      <c r="C288" s="23" t="s">
        <v>3351</v>
      </c>
      <c r="D288" s="23" t="s">
        <v>34</v>
      </c>
      <c r="E288" s="5" t="s">
        <v>879</v>
      </c>
      <c r="F288" s="71" t="s">
        <v>6102</v>
      </c>
      <c r="G288" s="22" t="s">
        <v>3933</v>
      </c>
      <c r="H288" s="5" t="s">
        <v>3932</v>
      </c>
      <c r="I288" s="5" t="s">
        <v>42</v>
      </c>
      <c r="J288" s="5" t="s">
        <v>5347</v>
      </c>
      <c r="K288" s="5" t="s">
        <v>880</v>
      </c>
      <c r="L288" s="22"/>
      <c r="M288" s="8" t="str">
        <f t="shared" si="40"/>
        <v>Ok</v>
      </c>
      <c r="N288" s="9" t="b">
        <f t="shared" si="41"/>
        <v>1</v>
      </c>
      <c r="O288" s="9" t="b">
        <f t="shared" si="42"/>
        <v>0</v>
      </c>
      <c r="P288" s="8" t="str">
        <f t="shared" si="43"/>
        <v>FALSE</v>
      </c>
      <c r="Q288" s="8" t="str">
        <f t="shared" si="44"/>
        <v>FALSE</v>
      </c>
      <c r="R288" s="9" t="b">
        <f t="shared" si="45"/>
        <v>0</v>
      </c>
      <c r="S288" s="8" t="b">
        <f t="shared" si="46"/>
        <v>0</v>
      </c>
      <c r="T288" s="10" t="b">
        <f t="shared" si="47"/>
        <v>1</v>
      </c>
      <c r="U288" s="8" t="str">
        <f t="shared" si="48"/>
        <v>TRUE</v>
      </c>
      <c r="V288" s="11" t="str">
        <f t="shared" si="49"/>
        <v>TRUE</v>
      </c>
    </row>
    <row r="289" spans="1:22" ht="15.75">
      <c r="A289" s="21">
        <v>287</v>
      </c>
      <c r="B289" s="5" t="s">
        <v>881</v>
      </c>
      <c r="C289" s="23" t="s">
        <v>3886</v>
      </c>
      <c r="D289" s="23" t="s">
        <v>17</v>
      </c>
      <c r="E289" s="5" t="s">
        <v>882</v>
      </c>
      <c r="F289" s="71" t="s">
        <v>6102</v>
      </c>
      <c r="G289" s="22" t="s">
        <v>85</v>
      </c>
      <c r="H289" s="5" t="s">
        <v>120</v>
      </c>
      <c r="I289" s="5" t="s">
        <v>67</v>
      </c>
      <c r="J289" s="5" t="s">
        <v>4977</v>
      </c>
      <c r="K289" s="5">
        <v>863808382</v>
      </c>
      <c r="L289" s="22"/>
      <c r="M289" s="8" t="str">
        <f t="shared" si="40"/>
        <v>Ok</v>
      </c>
      <c r="N289" s="9" t="b">
        <f t="shared" si="41"/>
        <v>0</v>
      </c>
      <c r="O289" s="9" t="b">
        <f t="shared" si="42"/>
        <v>1</v>
      </c>
      <c r="P289" s="8" t="str">
        <f t="shared" si="43"/>
        <v>FALSE</v>
      </c>
      <c r="Q289" s="8" t="str">
        <f t="shared" si="44"/>
        <v>FALSE</v>
      </c>
      <c r="R289" s="9" t="b">
        <f t="shared" si="45"/>
        <v>1</v>
      </c>
      <c r="S289" s="8" t="b">
        <f t="shared" si="46"/>
        <v>1</v>
      </c>
      <c r="T289" s="10" t="b">
        <f t="shared" si="47"/>
        <v>0</v>
      </c>
      <c r="U289" s="8" t="str">
        <f t="shared" si="48"/>
        <v>TRUE</v>
      </c>
      <c r="V289" s="11" t="str">
        <f t="shared" si="49"/>
        <v>FALSE</v>
      </c>
    </row>
    <row r="290" spans="1:22" ht="15.75">
      <c r="A290" s="21">
        <v>288</v>
      </c>
      <c r="B290" s="5" t="s">
        <v>883</v>
      </c>
      <c r="C290" s="23" t="s">
        <v>3461</v>
      </c>
      <c r="D290" s="23" t="s">
        <v>77</v>
      </c>
      <c r="E290" s="5" t="s">
        <v>884</v>
      </c>
      <c r="F290" s="71" t="s">
        <v>6102</v>
      </c>
      <c r="G290" s="22" t="s">
        <v>160</v>
      </c>
      <c r="H290" s="5" t="s">
        <v>3932</v>
      </c>
      <c r="I290" s="5" t="s">
        <v>56</v>
      </c>
      <c r="J290" s="5" t="s">
        <v>5049</v>
      </c>
      <c r="K290" s="5" t="s">
        <v>885</v>
      </c>
      <c r="L290" s="22"/>
      <c r="M290" s="8" t="str">
        <f t="shared" si="40"/>
        <v>Ok</v>
      </c>
      <c r="N290" s="9" t="b">
        <f t="shared" si="41"/>
        <v>1</v>
      </c>
      <c r="O290" s="9" t="b">
        <f t="shared" si="42"/>
        <v>0</v>
      </c>
      <c r="P290" s="8" t="str">
        <f t="shared" si="43"/>
        <v>FALSE</v>
      </c>
      <c r="Q290" s="8" t="str">
        <f t="shared" si="44"/>
        <v>FALSE</v>
      </c>
      <c r="R290" s="9" t="b">
        <f t="shared" si="45"/>
        <v>0</v>
      </c>
      <c r="S290" s="8" t="b">
        <f t="shared" si="46"/>
        <v>0</v>
      </c>
      <c r="T290" s="10" t="b">
        <f t="shared" si="47"/>
        <v>1</v>
      </c>
      <c r="U290" s="8" t="str">
        <f t="shared" si="48"/>
        <v>TRUE</v>
      </c>
      <c r="V290" s="11" t="str">
        <f t="shared" si="49"/>
        <v>TRUE</v>
      </c>
    </row>
    <row r="291" spans="1:22" ht="15.75">
      <c r="A291" s="21">
        <v>289</v>
      </c>
      <c r="B291" s="5" t="s">
        <v>886</v>
      </c>
      <c r="C291" s="23" t="s">
        <v>3001</v>
      </c>
      <c r="D291" s="23" t="s">
        <v>34</v>
      </c>
      <c r="E291" s="5" t="s">
        <v>887</v>
      </c>
      <c r="F291" s="71" t="s">
        <v>6102</v>
      </c>
      <c r="G291" s="22" t="s">
        <v>74</v>
      </c>
      <c r="H291" s="5" t="s">
        <v>71</v>
      </c>
      <c r="I291" s="5" t="s">
        <v>42</v>
      </c>
      <c r="J291" s="5" t="s">
        <v>5731</v>
      </c>
      <c r="K291" s="5">
        <v>89756465555</v>
      </c>
      <c r="L291" s="22"/>
      <c r="M291" s="8" t="str">
        <f t="shared" si="40"/>
        <v>Ok</v>
      </c>
      <c r="N291" s="9" t="b">
        <f t="shared" si="41"/>
        <v>0</v>
      </c>
      <c r="O291" s="9" t="b">
        <f t="shared" si="42"/>
        <v>0</v>
      </c>
      <c r="P291" s="8" t="str">
        <f t="shared" si="43"/>
        <v>FALSE</v>
      </c>
      <c r="Q291" s="8" t="str">
        <f t="shared" si="44"/>
        <v>FALSE</v>
      </c>
      <c r="R291" s="9" t="b">
        <f t="shared" si="45"/>
        <v>0</v>
      </c>
      <c r="S291" s="8" t="b">
        <f t="shared" si="46"/>
        <v>1</v>
      </c>
      <c r="T291" s="10" t="b">
        <f t="shared" si="47"/>
        <v>1</v>
      </c>
      <c r="U291" s="8" t="str">
        <f t="shared" si="48"/>
        <v>FALSE</v>
      </c>
      <c r="V291" s="11" t="str">
        <f t="shared" si="49"/>
        <v>FALSE</v>
      </c>
    </row>
    <row r="292" spans="1:22" ht="15.75">
      <c r="A292" s="21">
        <v>290</v>
      </c>
      <c r="B292" s="5" t="s">
        <v>888</v>
      </c>
      <c r="C292" s="23" t="s">
        <v>3002</v>
      </c>
      <c r="D292" s="23" t="s">
        <v>34</v>
      </c>
      <c r="E292" s="5" t="s">
        <v>889</v>
      </c>
      <c r="F292" s="71" t="s">
        <v>6102</v>
      </c>
      <c r="G292" s="22" t="s">
        <v>40</v>
      </c>
      <c r="H292" s="5" t="s">
        <v>41</v>
      </c>
      <c r="I292" s="5" t="s">
        <v>50</v>
      </c>
      <c r="J292" s="5" t="s">
        <v>4783</v>
      </c>
      <c r="K292" s="5" t="s">
        <v>890</v>
      </c>
      <c r="L292" s="22"/>
      <c r="M292" s="8" t="str">
        <f t="shared" si="40"/>
        <v>Ok</v>
      </c>
      <c r="N292" s="9" t="b">
        <f t="shared" si="41"/>
        <v>0</v>
      </c>
      <c r="O292" s="9" t="b">
        <f t="shared" si="42"/>
        <v>0</v>
      </c>
      <c r="P292" s="8" t="str">
        <f t="shared" si="43"/>
        <v>FALSE</v>
      </c>
      <c r="Q292" s="8" t="str">
        <f t="shared" si="44"/>
        <v>FALSE</v>
      </c>
      <c r="R292" s="9" t="b">
        <f t="shared" si="45"/>
        <v>1</v>
      </c>
      <c r="S292" s="8" t="b">
        <f t="shared" si="46"/>
        <v>0</v>
      </c>
      <c r="T292" s="10" t="b">
        <f t="shared" si="47"/>
        <v>0</v>
      </c>
      <c r="U292" s="8" t="str">
        <f t="shared" si="48"/>
        <v>TRUE</v>
      </c>
      <c r="V292" s="11" t="str">
        <f t="shared" si="49"/>
        <v>TRUE</v>
      </c>
    </row>
    <row r="293" spans="1:22" ht="15.75">
      <c r="A293" s="21">
        <v>291</v>
      </c>
      <c r="B293" s="5" t="s">
        <v>891</v>
      </c>
      <c r="C293" s="23" t="s">
        <v>3691</v>
      </c>
      <c r="D293" s="23" t="s">
        <v>59</v>
      </c>
      <c r="E293" s="5" t="s">
        <v>892</v>
      </c>
      <c r="F293" s="71" t="s">
        <v>6102</v>
      </c>
      <c r="G293" s="22" t="s">
        <v>3934</v>
      </c>
      <c r="H293" s="5" t="s">
        <v>13</v>
      </c>
      <c r="I293" s="5" t="s">
        <v>50</v>
      </c>
      <c r="J293" s="5" t="s">
        <v>5748</v>
      </c>
      <c r="K293" s="5" t="s">
        <v>893</v>
      </c>
      <c r="L293" s="22"/>
      <c r="M293" s="8" t="str">
        <f t="shared" si="40"/>
        <v>Ok</v>
      </c>
      <c r="N293" s="9" t="b">
        <f t="shared" si="41"/>
        <v>0</v>
      </c>
      <c r="O293" s="9" t="b">
        <f t="shared" si="42"/>
        <v>1</v>
      </c>
      <c r="P293" s="8" t="str">
        <f t="shared" si="43"/>
        <v>FALSE</v>
      </c>
      <c r="Q293" s="8" t="str">
        <f t="shared" si="44"/>
        <v>FALSE</v>
      </c>
      <c r="R293" s="9" t="b">
        <f t="shared" si="45"/>
        <v>0</v>
      </c>
      <c r="S293" s="8" t="b">
        <f t="shared" si="46"/>
        <v>0</v>
      </c>
      <c r="T293" s="10" t="b">
        <f t="shared" si="47"/>
        <v>0</v>
      </c>
      <c r="U293" s="8" t="str">
        <f t="shared" si="48"/>
        <v>FALSE</v>
      </c>
      <c r="V293" s="11" t="str">
        <f t="shared" si="49"/>
        <v>TRUE</v>
      </c>
    </row>
    <row r="294" spans="1:22" ht="15.75">
      <c r="A294" s="21">
        <v>292</v>
      </c>
      <c r="B294" s="5" t="s">
        <v>3947</v>
      </c>
      <c r="C294" s="23" t="s">
        <v>3003</v>
      </c>
      <c r="D294" s="23" t="s">
        <v>34</v>
      </c>
      <c r="E294" s="5" t="s">
        <v>894</v>
      </c>
      <c r="F294" s="71" t="s">
        <v>6102</v>
      </c>
      <c r="G294" s="22" t="s">
        <v>179</v>
      </c>
      <c r="H294" s="5" t="s">
        <v>3932</v>
      </c>
      <c r="I294" s="5" t="s">
        <v>67</v>
      </c>
      <c r="J294" s="5" t="s">
        <v>5764</v>
      </c>
      <c r="K294" s="5" t="s">
        <v>895</v>
      </c>
      <c r="L294" s="22"/>
      <c r="M294" s="8" t="str">
        <f t="shared" si="40"/>
        <v>Ok</v>
      </c>
      <c r="N294" s="9" t="b">
        <f t="shared" si="41"/>
        <v>0</v>
      </c>
      <c r="O294" s="9" t="b">
        <f t="shared" si="42"/>
        <v>0</v>
      </c>
      <c r="P294" s="8" t="str">
        <f t="shared" si="43"/>
        <v>FALSE</v>
      </c>
      <c r="Q294" s="8" t="str">
        <f t="shared" si="44"/>
        <v>FALSE</v>
      </c>
      <c r="R294" s="9" t="b">
        <f t="shared" si="45"/>
        <v>1</v>
      </c>
      <c r="S294" s="8" t="b">
        <f t="shared" si="46"/>
        <v>0</v>
      </c>
      <c r="T294" s="10" t="b">
        <f t="shared" si="47"/>
        <v>0</v>
      </c>
      <c r="U294" s="8" t="str">
        <f t="shared" si="48"/>
        <v>FALSE</v>
      </c>
      <c r="V294" s="11" t="str">
        <f t="shared" si="49"/>
        <v>TRUE</v>
      </c>
    </row>
    <row r="295" spans="1:22" ht="15.75">
      <c r="A295" s="21">
        <v>293</v>
      </c>
      <c r="B295" s="5" t="s">
        <v>896</v>
      </c>
      <c r="C295" s="23" t="s">
        <v>3085</v>
      </c>
      <c r="D295" s="23" t="s">
        <v>77</v>
      </c>
      <c r="E295" s="5" t="s">
        <v>897</v>
      </c>
      <c r="F295" s="71" t="s">
        <v>6103</v>
      </c>
      <c r="G295" s="22" t="s">
        <v>179</v>
      </c>
      <c r="H295" s="5" t="s">
        <v>3932</v>
      </c>
      <c r="I295" s="5" t="s">
        <v>21</v>
      </c>
      <c r="J295" s="5" t="s">
        <v>5300</v>
      </c>
      <c r="K295" s="5" t="s">
        <v>898</v>
      </c>
      <c r="L295" s="22"/>
      <c r="M295" s="8" t="str">
        <f t="shared" si="40"/>
        <v>Ok</v>
      </c>
      <c r="N295" s="9" t="b">
        <f t="shared" si="41"/>
        <v>0</v>
      </c>
      <c r="O295" s="9" t="b">
        <f t="shared" si="42"/>
        <v>0</v>
      </c>
      <c r="P295" s="8" t="str">
        <f t="shared" si="43"/>
        <v>FALSE</v>
      </c>
      <c r="Q295" s="8" t="str">
        <f t="shared" si="44"/>
        <v>FALSE</v>
      </c>
      <c r="R295" s="9" t="b">
        <f t="shared" si="45"/>
        <v>1</v>
      </c>
      <c r="S295" s="8" t="b">
        <f t="shared" si="46"/>
        <v>0</v>
      </c>
      <c r="T295" s="10" t="b">
        <f t="shared" si="47"/>
        <v>0</v>
      </c>
      <c r="U295" s="8" t="str">
        <f t="shared" si="48"/>
        <v>TRUE</v>
      </c>
      <c r="V295" s="11" t="str">
        <f t="shared" si="49"/>
        <v>TRUE</v>
      </c>
    </row>
    <row r="296" spans="1:22" ht="15.75">
      <c r="A296" s="21">
        <v>294</v>
      </c>
      <c r="B296" s="5" t="s">
        <v>899</v>
      </c>
      <c r="C296" s="23" t="s">
        <v>3692</v>
      </c>
      <c r="D296" s="23" t="s">
        <v>59</v>
      </c>
      <c r="E296" s="5" t="s">
        <v>900</v>
      </c>
      <c r="F296" s="71" t="s">
        <v>6103</v>
      </c>
      <c r="G296" s="22" t="s">
        <v>3934</v>
      </c>
      <c r="H296" s="5" t="s">
        <v>13</v>
      </c>
      <c r="I296" s="5" t="s">
        <v>14</v>
      </c>
      <c r="J296" s="5" t="s">
        <v>5215</v>
      </c>
      <c r="K296" s="5" t="s">
        <v>901</v>
      </c>
      <c r="L296" s="22"/>
      <c r="M296" s="8" t="str">
        <f t="shared" si="40"/>
        <v>Ok</v>
      </c>
      <c r="N296" s="9" t="b">
        <f t="shared" si="41"/>
        <v>0</v>
      </c>
      <c r="O296" s="9" t="b">
        <f t="shared" si="42"/>
        <v>1</v>
      </c>
      <c r="P296" s="8" t="str">
        <f t="shared" si="43"/>
        <v>FALSE</v>
      </c>
      <c r="Q296" s="8" t="str">
        <f t="shared" si="44"/>
        <v>FALSE</v>
      </c>
      <c r="R296" s="9" t="b">
        <f t="shared" si="45"/>
        <v>0</v>
      </c>
      <c r="S296" s="8" t="b">
        <f t="shared" si="46"/>
        <v>0</v>
      </c>
      <c r="T296" s="10" t="b">
        <f t="shared" si="47"/>
        <v>1</v>
      </c>
      <c r="U296" s="8" t="str">
        <f t="shared" si="48"/>
        <v>TRUE</v>
      </c>
      <c r="V296" s="11" t="str">
        <f t="shared" si="49"/>
        <v>TRUE</v>
      </c>
    </row>
    <row r="297" spans="1:22" ht="15.75">
      <c r="A297" s="21">
        <v>295</v>
      </c>
      <c r="B297" s="5" t="s">
        <v>902</v>
      </c>
      <c r="C297" s="23" t="s">
        <v>3608</v>
      </c>
      <c r="D297" s="23" t="s">
        <v>59</v>
      </c>
      <c r="E297" s="5" t="s">
        <v>903</v>
      </c>
      <c r="F297" s="71" t="s">
        <v>6103</v>
      </c>
      <c r="G297" s="22" t="s">
        <v>160</v>
      </c>
      <c r="H297" s="5" t="s">
        <v>36</v>
      </c>
      <c r="I297" s="5" t="s">
        <v>67</v>
      </c>
      <c r="J297" s="5" t="s">
        <v>5615</v>
      </c>
      <c r="K297" s="5" t="s">
        <v>904</v>
      </c>
      <c r="L297" s="22"/>
      <c r="M297" s="8" t="str">
        <f t="shared" si="40"/>
        <v>Ok</v>
      </c>
      <c r="N297" s="9" t="b">
        <f t="shared" si="41"/>
        <v>1</v>
      </c>
      <c r="O297" s="9" t="b">
        <f t="shared" si="42"/>
        <v>1</v>
      </c>
      <c r="P297" s="8" t="str">
        <f t="shared" si="43"/>
        <v>FALSE</v>
      </c>
      <c r="Q297" s="8" t="str">
        <f t="shared" si="44"/>
        <v>FALSE</v>
      </c>
      <c r="R297" s="9" t="b">
        <f t="shared" si="45"/>
        <v>0</v>
      </c>
      <c r="S297" s="8" t="b">
        <f t="shared" si="46"/>
        <v>1</v>
      </c>
      <c r="T297" s="10" t="b">
        <f t="shared" si="47"/>
        <v>0</v>
      </c>
      <c r="U297" s="8" t="str">
        <f t="shared" si="48"/>
        <v>FALSE</v>
      </c>
      <c r="V297" s="11" t="str">
        <f t="shared" si="49"/>
        <v>TRUE</v>
      </c>
    </row>
    <row r="298" spans="1:22" ht="15.75">
      <c r="A298" s="21">
        <v>296</v>
      </c>
      <c r="B298" s="5" t="s">
        <v>905</v>
      </c>
      <c r="C298" s="23" t="s">
        <v>3552</v>
      </c>
      <c r="D298" s="23" t="s">
        <v>77</v>
      </c>
      <c r="E298" s="5" t="s">
        <v>906</v>
      </c>
      <c r="F298" s="71" t="s">
        <v>6103</v>
      </c>
      <c r="G298" s="22" t="s">
        <v>12</v>
      </c>
      <c r="H298" s="5" t="s">
        <v>36</v>
      </c>
      <c r="I298" s="5" t="s">
        <v>42</v>
      </c>
      <c r="J298" s="5" t="s">
        <v>5709</v>
      </c>
      <c r="K298" s="5" t="s">
        <v>907</v>
      </c>
      <c r="L298" s="22"/>
      <c r="M298" s="8" t="str">
        <f t="shared" si="40"/>
        <v>Ok</v>
      </c>
      <c r="N298" s="9" t="b">
        <f t="shared" si="41"/>
        <v>1</v>
      </c>
      <c r="O298" s="9" t="b">
        <f t="shared" si="42"/>
        <v>0</v>
      </c>
      <c r="P298" s="8" t="str">
        <f t="shared" si="43"/>
        <v>FALSE</v>
      </c>
      <c r="Q298" s="8" t="str">
        <f t="shared" si="44"/>
        <v>FALSE</v>
      </c>
      <c r="R298" s="9" t="b">
        <f t="shared" si="45"/>
        <v>1</v>
      </c>
      <c r="S298" s="8" t="b">
        <f t="shared" si="46"/>
        <v>1</v>
      </c>
      <c r="T298" s="10" t="b">
        <f t="shared" si="47"/>
        <v>1</v>
      </c>
      <c r="U298" s="8" t="str">
        <f t="shared" si="48"/>
        <v>FALSE</v>
      </c>
      <c r="V298" s="11" t="str">
        <f t="shared" si="49"/>
        <v>TRUE</v>
      </c>
    </row>
    <row r="299" spans="1:22" ht="15.75">
      <c r="A299" s="21">
        <v>297</v>
      </c>
      <c r="B299" s="5" t="s">
        <v>908</v>
      </c>
      <c r="C299" s="23" t="s">
        <v>3462</v>
      </c>
      <c r="D299" s="23" t="s">
        <v>77</v>
      </c>
      <c r="E299" s="5" t="s">
        <v>909</v>
      </c>
      <c r="F299" s="71" t="s">
        <v>6103</v>
      </c>
      <c r="G299" s="22" t="s">
        <v>54</v>
      </c>
      <c r="H299" s="5" t="s">
        <v>140</v>
      </c>
      <c r="I299" s="5" t="s">
        <v>14</v>
      </c>
      <c r="J299" s="5" t="s">
        <v>5770</v>
      </c>
      <c r="K299" s="5" t="s">
        <v>910</v>
      </c>
      <c r="L299" s="22"/>
      <c r="M299" s="8" t="str">
        <f t="shared" si="40"/>
        <v>Ok</v>
      </c>
      <c r="N299" s="9" t="b">
        <f t="shared" si="41"/>
        <v>1</v>
      </c>
      <c r="O299" s="9" t="b">
        <f t="shared" si="42"/>
        <v>0</v>
      </c>
      <c r="P299" s="8" t="str">
        <f t="shared" si="43"/>
        <v>FALSE</v>
      </c>
      <c r="Q299" s="8" t="str">
        <f t="shared" si="44"/>
        <v>FALSE</v>
      </c>
      <c r="R299" s="9" t="b">
        <f t="shared" si="45"/>
        <v>1</v>
      </c>
      <c r="S299" s="8" t="b">
        <f t="shared" si="46"/>
        <v>1</v>
      </c>
      <c r="T299" s="10" t="b">
        <f t="shared" si="47"/>
        <v>1</v>
      </c>
      <c r="U299" s="8" t="str">
        <f t="shared" si="48"/>
        <v>FALSE</v>
      </c>
      <c r="V299" s="11" t="str">
        <f t="shared" si="49"/>
        <v>TRUE</v>
      </c>
    </row>
    <row r="300" spans="1:22" ht="15.75">
      <c r="A300" s="21">
        <v>298</v>
      </c>
      <c r="B300" s="5" t="s">
        <v>911</v>
      </c>
      <c r="C300" s="23" t="s">
        <v>3778</v>
      </c>
      <c r="D300" s="23" t="s">
        <v>59</v>
      </c>
      <c r="E300" s="5" t="s">
        <v>912</v>
      </c>
      <c r="F300" s="71" t="s">
        <v>6103</v>
      </c>
      <c r="G300" s="22" t="s">
        <v>24</v>
      </c>
      <c r="H300" s="5" t="s">
        <v>25</v>
      </c>
      <c r="I300" s="5" t="s">
        <v>56</v>
      </c>
      <c r="J300" s="5" t="s">
        <v>5674</v>
      </c>
      <c r="K300" s="5" t="s">
        <v>913</v>
      </c>
      <c r="L300" s="22"/>
      <c r="M300" s="8" t="str">
        <f t="shared" si="40"/>
        <v>Ok</v>
      </c>
      <c r="N300" s="9" t="b">
        <f t="shared" si="41"/>
        <v>0</v>
      </c>
      <c r="O300" s="9" t="b">
        <f t="shared" si="42"/>
        <v>1</v>
      </c>
      <c r="P300" s="8" t="str">
        <f t="shared" si="43"/>
        <v>FALSE</v>
      </c>
      <c r="Q300" s="8" t="str">
        <f t="shared" si="44"/>
        <v>FALSE</v>
      </c>
      <c r="R300" s="9" t="b">
        <f t="shared" si="45"/>
        <v>0</v>
      </c>
      <c r="S300" s="8" t="b">
        <f t="shared" si="46"/>
        <v>0</v>
      </c>
      <c r="T300" s="10" t="b">
        <f t="shared" si="47"/>
        <v>1</v>
      </c>
      <c r="U300" s="8" t="str">
        <f t="shared" si="48"/>
        <v>FALSE</v>
      </c>
      <c r="V300" s="11" t="str">
        <f t="shared" si="49"/>
        <v>TRUE</v>
      </c>
    </row>
    <row r="301" spans="1:22" ht="15.75">
      <c r="A301" s="21">
        <v>299</v>
      </c>
      <c r="B301" s="5" t="s">
        <v>914</v>
      </c>
      <c r="C301" s="23" t="s">
        <v>3887</v>
      </c>
      <c r="D301" s="23" t="s">
        <v>17</v>
      </c>
      <c r="E301" s="5" t="s">
        <v>915</v>
      </c>
      <c r="F301" s="71" t="s">
        <v>6103</v>
      </c>
      <c r="G301" s="22" t="s">
        <v>85</v>
      </c>
      <c r="H301" s="5" t="s">
        <v>86</v>
      </c>
      <c r="I301" s="5" t="s">
        <v>26</v>
      </c>
      <c r="J301" s="5" t="s">
        <v>5438</v>
      </c>
      <c r="K301" s="5" t="s">
        <v>916</v>
      </c>
      <c r="L301" s="22"/>
      <c r="M301" s="8" t="str">
        <f t="shared" si="40"/>
        <v>Ok</v>
      </c>
      <c r="N301" s="9" t="b">
        <f t="shared" si="41"/>
        <v>0</v>
      </c>
      <c r="O301" s="9" t="b">
        <f t="shared" si="42"/>
        <v>1</v>
      </c>
      <c r="P301" s="8" t="str">
        <f t="shared" si="43"/>
        <v>FALSE</v>
      </c>
      <c r="Q301" s="8" t="str">
        <f t="shared" si="44"/>
        <v>FALSE</v>
      </c>
      <c r="R301" s="9" t="b">
        <f t="shared" si="45"/>
        <v>1</v>
      </c>
      <c r="S301" s="8" t="b">
        <f t="shared" si="46"/>
        <v>0</v>
      </c>
      <c r="T301" s="10" t="b">
        <f t="shared" si="47"/>
        <v>0</v>
      </c>
      <c r="U301" s="8" t="str">
        <f t="shared" si="48"/>
        <v>TRUE</v>
      </c>
      <c r="V301" s="11" t="str">
        <f t="shared" si="49"/>
        <v>TRUE</v>
      </c>
    </row>
    <row r="302" spans="1:22" ht="15.75">
      <c r="A302" s="21">
        <v>300</v>
      </c>
      <c r="B302" s="5" t="s">
        <v>917</v>
      </c>
      <c r="C302" s="23" t="s">
        <v>3463</v>
      </c>
      <c r="D302" s="23" t="s">
        <v>77</v>
      </c>
      <c r="E302" s="5" t="s">
        <v>918</v>
      </c>
      <c r="F302" s="71" t="s">
        <v>6103</v>
      </c>
      <c r="G302" s="22" t="s">
        <v>160</v>
      </c>
      <c r="H302" s="5" t="s">
        <v>3932</v>
      </c>
      <c r="I302" s="5" t="s">
        <v>21</v>
      </c>
      <c r="J302" s="5" t="s">
        <v>4899</v>
      </c>
      <c r="K302" s="5" t="s">
        <v>919</v>
      </c>
      <c r="L302" s="22"/>
      <c r="M302" s="8" t="str">
        <f t="shared" si="40"/>
        <v>Ok</v>
      </c>
      <c r="N302" s="9" t="b">
        <f t="shared" si="41"/>
        <v>1</v>
      </c>
      <c r="O302" s="9" t="b">
        <f t="shared" si="42"/>
        <v>0</v>
      </c>
      <c r="P302" s="8" t="str">
        <f t="shared" si="43"/>
        <v>FALSE</v>
      </c>
      <c r="Q302" s="8" t="str">
        <f t="shared" si="44"/>
        <v>FALSE</v>
      </c>
      <c r="R302" s="9" t="b">
        <f t="shared" si="45"/>
        <v>0</v>
      </c>
      <c r="S302" s="8" t="b">
        <f t="shared" si="46"/>
        <v>0</v>
      </c>
      <c r="T302" s="10" t="b">
        <f t="shared" si="47"/>
        <v>0</v>
      </c>
      <c r="U302" s="8" t="str">
        <f t="shared" si="48"/>
        <v>TRUE</v>
      </c>
      <c r="V302" s="11" t="str">
        <f t="shared" si="49"/>
        <v>TRUE</v>
      </c>
    </row>
    <row r="303" spans="1:22" ht="15.75">
      <c r="A303" s="21">
        <v>301</v>
      </c>
      <c r="B303" s="5" t="s">
        <v>920</v>
      </c>
      <c r="C303" s="23" t="s">
        <v>2956</v>
      </c>
      <c r="D303" s="23" t="s">
        <v>34</v>
      </c>
      <c r="E303" s="5" t="s">
        <v>921</v>
      </c>
      <c r="F303" s="71" t="s">
        <v>6103</v>
      </c>
      <c r="G303" s="22" t="s">
        <v>179</v>
      </c>
      <c r="H303" s="5" t="s">
        <v>3932</v>
      </c>
      <c r="I303" s="5" t="s">
        <v>67</v>
      </c>
      <c r="J303" s="5" t="s">
        <v>5490</v>
      </c>
      <c r="K303" s="5">
        <v>847077668</v>
      </c>
      <c r="L303" s="22"/>
      <c r="M303" s="8" t="str">
        <f t="shared" si="40"/>
        <v>Ok</v>
      </c>
      <c r="N303" s="9" t="b">
        <f t="shared" si="41"/>
        <v>0</v>
      </c>
      <c r="O303" s="9" t="b">
        <f t="shared" si="42"/>
        <v>0</v>
      </c>
      <c r="P303" s="8" t="str">
        <f t="shared" si="43"/>
        <v>FALSE</v>
      </c>
      <c r="Q303" s="8" t="str">
        <f t="shared" si="44"/>
        <v>FALSE</v>
      </c>
      <c r="R303" s="9" t="b">
        <f t="shared" si="45"/>
        <v>1</v>
      </c>
      <c r="S303" s="8" t="b">
        <f t="shared" si="46"/>
        <v>0</v>
      </c>
      <c r="T303" s="10" t="b">
        <f t="shared" si="47"/>
        <v>0</v>
      </c>
      <c r="U303" s="8" t="str">
        <f t="shared" si="48"/>
        <v>FALSE</v>
      </c>
      <c r="V303" s="11" t="str">
        <f t="shared" si="49"/>
        <v>FALSE</v>
      </c>
    </row>
    <row r="304" spans="1:22" ht="15.75">
      <c r="A304" s="21">
        <v>302</v>
      </c>
      <c r="B304" s="5" t="s">
        <v>922</v>
      </c>
      <c r="C304" s="23" t="s">
        <v>3004</v>
      </c>
      <c r="D304" s="23" t="s">
        <v>34</v>
      </c>
      <c r="E304" s="5" t="s">
        <v>923</v>
      </c>
      <c r="F304" s="71" t="s">
        <v>6103</v>
      </c>
      <c r="G304" s="22" t="s">
        <v>40</v>
      </c>
      <c r="H304" s="5" t="s">
        <v>41</v>
      </c>
      <c r="I304" s="5" t="s">
        <v>50</v>
      </c>
      <c r="J304" s="5" t="s">
        <v>4806</v>
      </c>
      <c r="K304" s="5" t="s">
        <v>924</v>
      </c>
      <c r="L304" s="22"/>
      <c r="M304" s="8" t="str">
        <f t="shared" si="40"/>
        <v>Ok</v>
      </c>
      <c r="N304" s="9" t="b">
        <f t="shared" si="41"/>
        <v>0</v>
      </c>
      <c r="O304" s="9" t="b">
        <f t="shared" si="42"/>
        <v>0</v>
      </c>
      <c r="P304" s="8" t="str">
        <f t="shared" si="43"/>
        <v>FALSE</v>
      </c>
      <c r="Q304" s="8" t="str">
        <f t="shared" si="44"/>
        <v>FALSE</v>
      </c>
      <c r="R304" s="9" t="b">
        <f t="shared" si="45"/>
        <v>1</v>
      </c>
      <c r="S304" s="8" t="b">
        <f t="shared" si="46"/>
        <v>0</v>
      </c>
      <c r="T304" s="10" t="b">
        <f t="shared" si="47"/>
        <v>0</v>
      </c>
      <c r="U304" s="8" t="str">
        <f t="shared" si="48"/>
        <v>TRUE</v>
      </c>
      <c r="V304" s="11" t="str">
        <f t="shared" si="49"/>
        <v>TRUE</v>
      </c>
    </row>
    <row r="305" spans="1:22" ht="15.75">
      <c r="A305" s="21">
        <v>303</v>
      </c>
      <c r="B305" s="5" t="s">
        <v>925</v>
      </c>
      <c r="C305" s="23" t="s">
        <v>3086</v>
      </c>
      <c r="D305" s="23" t="s">
        <v>77</v>
      </c>
      <c r="E305" s="5" t="s">
        <v>926</v>
      </c>
      <c r="F305" s="71" t="s">
        <v>6103</v>
      </c>
      <c r="G305" s="22" t="s">
        <v>179</v>
      </c>
      <c r="H305" s="22" t="s">
        <v>3932</v>
      </c>
      <c r="I305" s="5" t="s">
        <v>56</v>
      </c>
      <c r="J305" s="5" t="s">
        <v>5420</v>
      </c>
      <c r="K305" s="5" t="s">
        <v>927</v>
      </c>
      <c r="L305" s="22"/>
      <c r="M305" s="8" t="str">
        <f t="shared" si="40"/>
        <v>Ok</v>
      </c>
      <c r="N305" s="9" t="b">
        <f t="shared" si="41"/>
        <v>0</v>
      </c>
      <c r="O305" s="9" t="b">
        <f t="shared" si="42"/>
        <v>0</v>
      </c>
      <c r="P305" s="8" t="str">
        <f t="shared" si="43"/>
        <v>FALSE</v>
      </c>
      <c r="Q305" s="8" t="str">
        <f t="shared" si="44"/>
        <v>FALSE</v>
      </c>
      <c r="R305" s="9" t="b">
        <f t="shared" si="45"/>
        <v>1</v>
      </c>
      <c r="S305" s="8" t="b">
        <f t="shared" si="46"/>
        <v>0</v>
      </c>
      <c r="T305" s="10" t="b">
        <f t="shared" si="47"/>
        <v>1</v>
      </c>
      <c r="U305" s="8" t="str">
        <f t="shared" si="48"/>
        <v>TRUE</v>
      </c>
      <c r="V305" s="11" t="str">
        <f t="shared" si="49"/>
        <v>TRUE</v>
      </c>
    </row>
    <row r="306" spans="1:22" ht="15.75">
      <c r="A306" s="21">
        <v>304</v>
      </c>
      <c r="B306" s="5" t="s">
        <v>928</v>
      </c>
      <c r="C306" s="23" t="s">
        <v>3352</v>
      </c>
      <c r="D306" s="23" t="s">
        <v>34</v>
      </c>
      <c r="E306" s="5" t="s">
        <v>929</v>
      </c>
      <c r="F306" s="71" t="s">
        <v>6103</v>
      </c>
      <c r="G306" s="22" t="s">
        <v>93</v>
      </c>
      <c r="H306" s="5" t="s">
        <v>217</v>
      </c>
      <c r="I306" s="5" t="s">
        <v>50</v>
      </c>
      <c r="J306" s="5" t="s">
        <v>5312</v>
      </c>
      <c r="K306" s="5" t="s">
        <v>930</v>
      </c>
      <c r="L306" s="22"/>
      <c r="M306" s="8" t="str">
        <f t="shared" si="40"/>
        <v>Ok</v>
      </c>
      <c r="N306" s="9" t="b">
        <f t="shared" si="41"/>
        <v>1</v>
      </c>
      <c r="O306" s="9" t="b">
        <f t="shared" si="42"/>
        <v>0</v>
      </c>
      <c r="P306" s="8" t="str">
        <f t="shared" si="43"/>
        <v>FALSE</v>
      </c>
      <c r="Q306" s="8" t="str">
        <f t="shared" si="44"/>
        <v>FALSE</v>
      </c>
      <c r="R306" s="9" t="b">
        <f t="shared" si="45"/>
        <v>0</v>
      </c>
      <c r="S306" s="8" t="b">
        <f t="shared" si="46"/>
        <v>0</v>
      </c>
      <c r="T306" s="10" t="b">
        <f t="shared" si="47"/>
        <v>0</v>
      </c>
      <c r="U306" s="8" t="str">
        <f t="shared" si="48"/>
        <v>TRUE</v>
      </c>
      <c r="V306" s="11" t="str">
        <f t="shared" si="49"/>
        <v>TRUE</v>
      </c>
    </row>
    <row r="307" spans="1:22" ht="15.75">
      <c r="A307" s="21">
        <v>305</v>
      </c>
      <c r="B307" s="5" t="s">
        <v>931</v>
      </c>
      <c r="C307" s="23" t="s">
        <v>3005</v>
      </c>
      <c r="D307" s="23" t="s">
        <v>34</v>
      </c>
      <c r="E307" s="5" t="s">
        <v>932</v>
      </c>
      <c r="F307" s="71" t="s">
        <v>6103</v>
      </c>
      <c r="G307" s="22" t="s">
        <v>40</v>
      </c>
      <c r="H307" s="5" t="s">
        <v>71</v>
      </c>
      <c r="I307" s="5" t="s">
        <v>21</v>
      </c>
      <c r="J307" s="5" t="s">
        <v>5222</v>
      </c>
      <c r="K307" s="5">
        <v>844030954</v>
      </c>
      <c r="L307" s="22"/>
      <c r="M307" s="8" t="str">
        <f t="shared" si="40"/>
        <v>Ok</v>
      </c>
      <c r="N307" s="9" t="b">
        <f t="shared" si="41"/>
        <v>0</v>
      </c>
      <c r="O307" s="9" t="b">
        <f t="shared" si="42"/>
        <v>0</v>
      </c>
      <c r="P307" s="8" t="str">
        <f t="shared" si="43"/>
        <v>FALSE</v>
      </c>
      <c r="Q307" s="8" t="str">
        <f t="shared" si="44"/>
        <v>FALSE</v>
      </c>
      <c r="R307" s="9" t="b">
        <f t="shared" si="45"/>
        <v>1</v>
      </c>
      <c r="S307" s="8" t="b">
        <f t="shared" si="46"/>
        <v>1</v>
      </c>
      <c r="T307" s="10" t="b">
        <f t="shared" si="47"/>
        <v>0</v>
      </c>
      <c r="U307" s="8" t="str">
        <f t="shared" si="48"/>
        <v>TRUE</v>
      </c>
      <c r="V307" s="11" t="str">
        <f t="shared" si="49"/>
        <v>FALSE</v>
      </c>
    </row>
    <row r="308" spans="1:22" ht="15.75">
      <c r="A308" s="21">
        <v>306</v>
      </c>
      <c r="B308" s="5" t="s">
        <v>933</v>
      </c>
      <c r="C308" s="23" t="s">
        <v>3353</v>
      </c>
      <c r="D308" s="23" t="s">
        <v>34</v>
      </c>
      <c r="E308" s="5" t="s">
        <v>934</v>
      </c>
      <c r="F308" s="71" t="s">
        <v>6103</v>
      </c>
      <c r="G308" s="22" t="s">
        <v>3933</v>
      </c>
      <c r="H308" s="5" t="s">
        <v>3932</v>
      </c>
      <c r="I308" s="5" t="s">
        <v>42</v>
      </c>
      <c r="J308" s="5" t="s">
        <v>5517</v>
      </c>
      <c r="K308" s="5" t="s">
        <v>935</v>
      </c>
      <c r="L308" s="22"/>
      <c r="M308" s="8" t="str">
        <f t="shared" si="40"/>
        <v>Ok</v>
      </c>
      <c r="N308" s="9" t="b">
        <f t="shared" si="41"/>
        <v>1</v>
      </c>
      <c r="O308" s="9" t="b">
        <f t="shared" si="42"/>
        <v>0</v>
      </c>
      <c r="P308" s="8" t="str">
        <f t="shared" si="43"/>
        <v>FALSE</v>
      </c>
      <c r="Q308" s="8" t="str">
        <f t="shared" si="44"/>
        <v>FALSE</v>
      </c>
      <c r="R308" s="9" t="b">
        <f t="shared" si="45"/>
        <v>0</v>
      </c>
      <c r="S308" s="8" t="b">
        <f t="shared" si="46"/>
        <v>0</v>
      </c>
      <c r="T308" s="10" t="b">
        <f t="shared" si="47"/>
        <v>1</v>
      </c>
      <c r="U308" s="8" t="str">
        <f t="shared" si="48"/>
        <v>FALSE</v>
      </c>
      <c r="V308" s="11" t="str">
        <f t="shared" si="49"/>
        <v>TRUE</v>
      </c>
    </row>
    <row r="309" spans="1:22" ht="15.75">
      <c r="A309" s="21">
        <v>307</v>
      </c>
      <c r="B309" s="5" t="s">
        <v>936</v>
      </c>
      <c r="C309" s="23" t="s">
        <v>3779</v>
      </c>
      <c r="D309" s="23" t="s">
        <v>59</v>
      </c>
      <c r="E309" s="5" t="s">
        <v>937</v>
      </c>
      <c r="F309" s="71" t="s">
        <v>6103</v>
      </c>
      <c r="G309" s="22" t="s">
        <v>24</v>
      </c>
      <c r="H309" s="5" t="s">
        <v>25</v>
      </c>
      <c r="I309" s="5" t="s">
        <v>21</v>
      </c>
      <c r="J309" s="5" t="s">
        <v>5090</v>
      </c>
      <c r="K309" s="5" t="s">
        <v>938</v>
      </c>
      <c r="L309" s="22"/>
      <c r="M309" s="8" t="str">
        <f t="shared" si="40"/>
        <v>Ok</v>
      </c>
      <c r="N309" s="9" t="b">
        <f t="shared" si="41"/>
        <v>0</v>
      </c>
      <c r="O309" s="9" t="b">
        <f t="shared" si="42"/>
        <v>1</v>
      </c>
      <c r="P309" s="8" t="str">
        <f t="shared" si="43"/>
        <v>FALSE</v>
      </c>
      <c r="Q309" s="8" t="str">
        <f t="shared" si="44"/>
        <v>FALSE</v>
      </c>
      <c r="R309" s="9" t="b">
        <f t="shared" si="45"/>
        <v>0</v>
      </c>
      <c r="S309" s="8" t="b">
        <f t="shared" si="46"/>
        <v>0</v>
      </c>
      <c r="T309" s="10" t="b">
        <f t="shared" si="47"/>
        <v>0</v>
      </c>
      <c r="U309" s="8" t="str">
        <f t="shared" si="48"/>
        <v>TRUE</v>
      </c>
      <c r="V309" s="11" t="str">
        <f t="shared" si="49"/>
        <v>TRUE</v>
      </c>
    </row>
    <row r="310" spans="1:22" ht="15.75">
      <c r="A310" s="21">
        <v>308</v>
      </c>
      <c r="B310" s="5" t="s">
        <v>939</v>
      </c>
      <c r="C310" s="23" t="s">
        <v>3297</v>
      </c>
      <c r="D310" s="23" t="s">
        <v>34</v>
      </c>
      <c r="E310" s="5" t="s">
        <v>940</v>
      </c>
      <c r="F310" s="71" t="s">
        <v>6103</v>
      </c>
      <c r="G310" s="22" t="s">
        <v>179</v>
      </c>
      <c r="H310" s="5" t="s">
        <v>3932</v>
      </c>
      <c r="I310" s="5" t="s">
        <v>26</v>
      </c>
      <c r="J310" s="5" t="s">
        <v>5434</v>
      </c>
      <c r="K310" s="5" t="s">
        <v>941</v>
      </c>
      <c r="L310" s="22"/>
      <c r="M310" s="8" t="str">
        <f t="shared" si="40"/>
        <v>Ok</v>
      </c>
      <c r="N310" s="9" t="b">
        <f t="shared" si="41"/>
        <v>1</v>
      </c>
      <c r="O310" s="9" t="b">
        <f t="shared" si="42"/>
        <v>0</v>
      </c>
      <c r="P310" s="8" t="str">
        <f t="shared" si="43"/>
        <v>FALSE</v>
      </c>
      <c r="Q310" s="8" t="str">
        <f t="shared" si="44"/>
        <v>FALSE</v>
      </c>
      <c r="R310" s="9" t="b">
        <f t="shared" si="45"/>
        <v>1</v>
      </c>
      <c r="S310" s="8" t="b">
        <f t="shared" si="46"/>
        <v>0</v>
      </c>
      <c r="T310" s="10" t="b">
        <f t="shared" si="47"/>
        <v>0</v>
      </c>
      <c r="U310" s="8" t="str">
        <f t="shared" si="48"/>
        <v>TRUE</v>
      </c>
      <c r="V310" s="11" t="str">
        <f t="shared" si="49"/>
        <v>TRUE</v>
      </c>
    </row>
    <row r="311" spans="1:22" ht="15.75">
      <c r="A311" s="21">
        <v>309</v>
      </c>
      <c r="B311" s="5" t="s">
        <v>942</v>
      </c>
      <c r="C311" s="23" t="s">
        <v>3006</v>
      </c>
      <c r="D311" s="23" t="s">
        <v>34</v>
      </c>
      <c r="E311" s="5" t="s">
        <v>943</v>
      </c>
      <c r="F311" s="71" t="s">
        <v>6103</v>
      </c>
      <c r="G311" s="22" t="s">
        <v>40</v>
      </c>
      <c r="H311" s="5" t="s">
        <v>71</v>
      </c>
      <c r="I311" s="5" t="s">
        <v>21</v>
      </c>
      <c r="J311" s="5" t="s">
        <v>5765</v>
      </c>
      <c r="K311" s="5">
        <v>853666689</v>
      </c>
      <c r="L311" s="22"/>
      <c r="M311" s="8" t="str">
        <f t="shared" si="40"/>
        <v>Ok</v>
      </c>
      <c r="N311" s="9" t="b">
        <f t="shared" si="41"/>
        <v>0</v>
      </c>
      <c r="O311" s="9" t="b">
        <f t="shared" si="42"/>
        <v>0</v>
      </c>
      <c r="P311" s="8" t="str">
        <f t="shared" si="43"/>
        <v>FALSE</v>
      </c>
      <c r="Q311" s="8" t="str">
        <f t="shared" si="44"/>
        <v>FALSE</v>
      </c>
      <c r="R311" s="9" t="b">
        <f t="shared" si="45"/>
        <v>1</v>
      </c>
      <c r="S311" s="8" t="b">
        <f t="shared" si="46"/>
        <v>1</v>
      </c>
      <c r="T311" s="10" t="b">
        <f t="shared" si="47"/>
        <v>0</v>
      </c>
      <c r="U311" s="8" t="str">
        <f t="shared" si="48"/>
        <v>FALSE</v>
      </c>
      <c r="V311" s="11" t="str">
        <f t="shared" si="49"/>
        <v>FALSE</v>
      </c>
    </row>
    <row r="312" spans="1:22" ht="15.75">
      <c r="A312" s="21">
        <v>310</v>
      </c>
      <c r="B312" s="5" t="s">
        <v>944</v>
      </c>
      <c r="C312" s="23" t="s">
        <v>3354</v>
      </c>
      <c r="D312" s="23" t="s">
        <v>34</v>
      </c>
      <c r="E312" s="5" t="s">
        <v>945</v>
      </c>
      <c r="F312" s="71" t="s">
        <v>6103</v>
      </c>
      <c r="G312" s="22" t="s">
        <v>3933</v>
      </c>
      <c r="H312" s="5" t="s">
        <v>3932</v>
      </c>
      <c r="I312" s="5" t="s">
        <v>42</v>
      </c>
      <c r="J312" s="5" t="s">
        <v>5452</v>
      </c>
      <c r="K312" s="5" t="s">
        <v>946</v>
      </c>
      <c r="L312" s="22"/>
      <c r="M312" s="8" t="str">
        <f t="shared" si="40"/>
        <v>Ok</v>
      </c>
      <c r="N312" s="9" t="b">
        <f t="shared" si="41"/>
        <v>1</v>
      </c>
      <c r="O312" s="9" t="b">
        <f t="shared" si="42"/>
        <v>0</v>
      </c>
      <c r="P312" s="8" t="str">
        <f t="shared" si="43"/>
        <v>FALSE</v>
      </c>
      <c r="Q312" s="8" t="str">
        <f t="shared" si="44"/>
        <v>FALSE</v>
      </c>
      <c r="R312" s="9" t="b">
        <f t="shared" si="45"/>
        <v>0</v>
      </c>
      <c r="S312" s="8" t="b">
        <f t="shared" si="46"/>
        <v>0</v>
      </c>
      <c r="T312" s="10" t="b">
        <f t="shared" si="47"/>
        <v>1</v>
      </c>
      <c r="U312" s="8" t="str">
        <f t="shared" si="48"/>
        <v>TRUE</v>
      </c>
      <c r="V312" s="11" t="str">
        <f t="shared" si="49"/>
        <v>TRUE</v>
      </c>
    </row>
    <row r="313" spans="1:22" ht="15.75">
      <c r="A313" s="21">
        <v>311</v>
      </c>
      <c r="B313" s="5" t="s">
        <v>947</v>
      </c>
      <c r="C313" s="23" t="s">
        <v>3609</v>
      </c>
      <c r="D313" s="23" t="s">
        <v>17</v>
      </c>
      <c r="E313" s="5" t="s">
        <v>948</v>
      </c>
      <c r="F313" s="71" t="s">
        <v>6103</v>
      </c>
      <c r="G313" s="22" t="s">
        <v>179</v>
      </c>
      <c r="H313" s="5" t="s">
        <v>36</v>
      </c>
      <c r="I313" s="5" t="s">
        <v>50</v>
      </c>
      <c r="J313" s="5" t="s">
        <v>5337</v>
      </c>
      <c r="K313" s="5">
        <v>852203466</v>
      </c>
      <c r="L313" s="22"/>
      <c r="M313" s="8" t="str">
        <f t="shared" si="40"/>
        <v>Ok</v>
      </c>
      <c r="N313" s="9" t="b">
        <f t="shared" si="41"/>
        <v>1</v>
      </c>
      <c r="O313" s="9" t="b">
        <f t="shared" si="42"/>
        <v>1</v>
      </c>
      <c r="P313" s="8" t="str">
        <f t="shared" si="43"/>
        <v>FALSE</v>
      </c>
      <c r="Q313" s="8" t="str">
        <f t="shared" si="44"/>
        <v>FALSE</v>
      </c>
      <c r="R313" s="9" t="b">
        <f t="shared" si="45"/>
        <v>1</v>
      </c>
      <c r="S313" s="8" t="b">
        <f t="shared" si="46"/>
        <v>1</v>
      </c>
      <c r="T313" s="10" t="b">
        <f t="shared" si="47"/>
        <v>0</v>
      </c>
      <c r="U313" s="8" t="str">
        <f t="shared" si="48"/>
        <v>TRUE</v>
      </c>
      <c r="V313" s="11" t="str">
        <f t="shared" si="49"/>
        <v>FALSE</v>
      </c>
    </row>
    <row r="314" spans="1:22" ht="15.75">
      <c r="A314" s="21">
        <v>312</v>
      </c>
      <c r="B314" s="5" t="s">
        <v>949</v>
      </c>
      <c r="C314" s="23" t="s">
        <v>3610</v>
      </c>
      <c r="D314" s="23" t="s">
        <v>17</v>
      </c>
      <c r="E314" s="5" t="s">
        <v>950</v>
      </c>
      <c r="F314" s="71" t="s">
        <v>6103</v>
      </c>
      <c r="G314" s="22" t="s">
        <v>160</v>
      </c>
      <c r="H314" s="5" t="s">
        <v>36</v>
      </c>
      <c r="I314" s="5" t="s">
        <v>42</v>
      </c>
      <c r="J314" s="5" t="s">
        <v>5436</v>
      </c>
      <c r="K314" s="5" t="s">
        <v>951</v>
      </c>
      <c r="L314" s="22"/>
      <c r="M314" s="8" t="str">
        <f t="shared" si="40"/>
        <v>Ok</v>
      </c>
      <c r="N314" s="9" t="b">
        <f t="shared" si="41"/>
        <v>1</v>
      </c>
      <c r="O314" s="9" t="b">
        <f t="shared" si="42"/>
        <v>1</v>
      </c>
      <c r="P314" s="8" t="str">
        <f t="shared" si="43"/>
        <v>FALSE</v>
      </c>
      <c r="Q314" s="8" t="str">
        <f t="shared" si="44"/>
        <v>FALSE</v>
      </c>
      <c r="R314" s="9" t="b">
        <f t="shared" si="45"/>
        <v>0</v>
      </c>
      <c r="S314" s="8" t="b">
        <f t="shared" si="46"/>
        <v>1</v>
      </c>
      <c r="T314" s="10" t="b">
        <f t="shared" si="47"/>
        <v>1</v>
      </c>
      <c r="U314" s="8" t="str">
        <f t="shared" si="48"/>
        <v>TRUE</v>
      </c>
      <c r="V314" s="11" t="str">
        <f t="shared" si="49"/>
        <v>TRUE</v>
      </c>
    </row>
    <row r="315" spans="1:22" ht="15.75">
      <c r="A315" s="21">
        <v>313</v>
      </c>
      <c r="B315" s="5" t="s">
        <v>952</v>
      </c>
      <c r="C315" s="23" t="s">
        <v>3888</v>
      </c>
      <c r="D315" s="23" t="s">
        <v>17</v>
      </c>
      <c r="E315" s="5" t="s">
        <v>953</v>
      </c>
      <c r="F315" s="71" t="s">
        <v>6103</v>
      </c>
      <c r="G315" s="22" t="s">
        <v>119</v>
      </c>
      <c r="H315" s="5" t="s">
        <v>120</v>
      </c>
      <c r="I315" s="5" t="s">
        <v>50</v>
      </c>
      <c r="J315" s="5" t="s">
        <v>5451</v>
      </c>
      <c r="K315" s="5" t="s">
        <v>954</v>
      </c>
      <c r="L315" s="22"/>
      <c r="M315" s="8" t="str">
        <f t="shared" si="40"/>
        <v>Ok</v>
      </c>
      <c r="N315" s="9" t="b">
        <f t="shared" si="41"/>
        <v>0</v>
      </c>
      <c r="O315" s="9" t="b">
        <f t="shared" si="42"/>
        <v>1</v>
      </c>
      <c r="P315" s="8" t="str">
        <f t="shared" si="43"/>
        <v>FALSE</v>
      </c>
      <c r="Q315" s="8" t="str">
        <f t="shared" si="44"/>
        <v>FALSE</v>
      </c>
      <c r="R315" s="9" t="b">
        <f t="shared" si="45"/>
        <v>0</v>
      </c>
      <c r="S315" s="8" t="b">
        <f t="shared" si="46"/>
        <v>1</v>
      </c>
      <c r="T315" s="10" t="b">
        <f t="shared" si="47"/>
        <v>0</v>
      </c>
      <c r="U315" s="8" t="str">
        <f t="shared" si="48"/>
        <v>TRUE</v>
      </c>
      <c r="V315" s="11" t="str">
        <f t="shared" si="49"/>
        <v>TRUE</v>
      </c>
    </row>
    <row r="316" spans="1:22" ht="15.75">
      <c r="A316" s="21">
        <v>314</v>
      </c>
      <c r="B316" s="5" t="s">
        <v>955</v>
      </c>
      <c r="C316" s="23" t="s">
        <v>3224</v>
      </c>
      <c r="D316" s="23" t="s">
        <v>34</v>
      </c>
      <c r="E316" s="5" t="s">
        <v>956</v>
      </c>
      <c r="F316" s="71" t="s">
        <v>6103</v>
      </c>
      <c r="G316" s="22" t="s">
        <v>82</v>
      </c>
      <c r="H316" s="5" t="s">
        <v>98</v>
      </c>
      <c r="I316" s="5" t="s">
        <v>26</v>
      </c>
      <c r="J316" s="5" t="s">
        <v>4983</v>
      </c>
      <c r="K316" s="5" t="s">
        <v>957</v>
      </c>
      <c r="L316" s="22"/>
      <c r="M316" s="8" t="str">
        <f t="shared" si="40"/>
        <v>Ok</v>
      </c>
      <c r="N316" s="9" t="b">
        <f t="shared" si="41"/>
        <v>1</v>
      </c>
      <c r="O316" s="9" t="b">
        <f t="shared" si="42"/>
        <v>0</v>
      </c>
      <c r="P316" s="8" t="str">
        <f t="shared" si="43"/>
        <v>FALSE</v>
      </c>
      <c r="Q316" s="8" t="str">
        <f t="shared" si="44"/>
        <v>FALSE</v>
      </c>
      <c r="R316" s="9" t="b">
        <f t="shared" si="45"/>
        <v>0</v>
      </c>
      <c r="S316" s="8" t="b">
        <f t="shared" si="46"/>
        <v>0</v>
      </c>
      <c r="T316" s="10" t="b">
        <f t="shared" si="47"/>
        <v>0</v>
      </c>
      <c r="U316" s="8" t="str">
        <f t="shared" si="48"/>
        <v>TRUE</v>
      </c>
      <c r="V316" s="11" t="str">
        <f t="shared" si="49"/>
        <v>FALSE</v>
      </c>
    </row>
    <row r="317" spans="1:22" ht="15.75">
      <c r="A317" s="21">
        <v>315</v>
      </c>
      <c r="B317" s="5" t="s">
        <v>958</v>
      </c>
      <c r="C317" s="23" t="s">
        <v>3693</v>
      </c>
      <c r="D317" s="23" t="s">
        <v>59</v>
      </c>
      <c r="E317" s="5" t="s">
        <v>959</v>
      </c>
      <c r="F317" s="71" t="s">
        <v>6103</v>
      </c>
      <c r="G317" s="22" t="s">
        <v>3934</v>
      </c>
      <c r="H317" s="5" t="s">
        <v>13</v>
      </c>
      <c r="I317" s="5" t="s">
        <v>21</v>
      </c>
      <c r="J317" s="5" t="s">
        <v>5029</v>
      </c>
      <c r="K317" s="5" t="s">
        <v>960</v>
      </c>
      <c r="L317" s="22"/>
      <c r="M317" s="8" t="str">
        <f t="shared" si="40"/>
        <v>Ok</v>
      </c>
      <c r="N317" s="9" t="b">
        <f t="shared" si="41"/>
        <v>0</v>
      </c>
      <c r="O317" s="9" t="b">
        <f t="shared" si="42"/>
        <v>1</v>
      </c>
      <c r="P317" s="8" t="str">
        <f t="shared" si="43"/>
        <v>FALSE</v>
      </c>
      <c r="Q317" s="8" t="str">
        <f t="shared" si="44"/>
        <v>FALSE</v>
      </c>
      <c r="R317" s="9" t="b">
        <f t="shared" si="45"/>
        <v>0</v>
      </c>
      <c r="S317" s="8" t="b">
        <f t="shared" si="46"/>
        <v>0</v>
      </c>
      <c r="T317" s="10" t="b">
        <f t="shared" si="47"/>
        <v>0</v>
      </c>
      <c r="U317" s="8" t="str">
        <f t="shared" si="48"/>
        <v>TRUE</v>
      </c>
      <c r="V317" s="11" t="str">
        <f t="shared" si="49"/>
        <v>FALSE</v>
      </c>
    </row>
    <row r="318" spans="1:22" ht="15.75">
      <c r="A318" s="21">
        <v>316</v>
      </c>
      <c r="B318" s="5" t="s">
        <v>961</v>
      </c>
      <c r="C318" s="23" t="s">
        <v>3464</v>
      </c>
      <c r="D318" s="23" t="s">
        <v>17</v>
      </c>
      <c r="E318" s="5" t="s">
        <v>962</v>
      </c>
      <c r="F318" s="71" t="s">
        <v>6103</v>
      </c>
      <c r="G318" s="22" t="s">
        <v>160</v>
      </c>
      <c r="H318" s="5" t="s">
        <v>3932</v>
      </c>
      <c r="I318" s="5" t="s">
        <v>56</v>
      </c>
      <c r="J318" s="5" t="s">
        <v>5336</v>
      </c>
      <c r="K318" s="5">
        <v>89756465566</v>
      </c>
      <c r="L318" s="22"/>
      <c r="M318" s="8" t="str">
        <f t="shared" si="40"/>
        <v>Ok</v>
      </c>
      <c r="N318" s="9" t="b">
        <f t="shared" si="41"/>
        <v>1</v>
      </c>
      <c r="O318" s="9" t="b">
        <f t="shared" si="42"/>
        <v>1</v>
      </c>
      <c r="P318" s="8" t="str">
        <f t="shared" si="43"/>
        <v>FALSE</v>
      </c>
      <c r="Q318" s="8" t="str">
        <f t="shared" si="44"/>
        <v>FALSE</v>
      </c>
      <c r="R318" s="9" t="b">
        <f t="shared" si="45"/>
        <v>0</v>
      </c>
      <c r="S318" s="8" t="b">
        <f t="shared" si="46"/>
        <v>0</v>
      </c>
      <c r="T318" s="10" t="b">
        <f t="shared" si="47"/>
        <v>1</v>
      </c>
      <c r="U318" s="8" t="str">
        <f t="shared" si="48"/>
        <v>TRUE</v>
      </c>
      <c r="V318" s="11" t="str">
        <f t="shared" si="49"/>
        <v>FALSE</v>
      </c>
    </row>
    <row r="319" spans="1:22" ht="15.75">
      <c r="A319" s="21">
        <v>317</v>
      </c>
      <c r="B319" s="5" t="s">
        <v>963</v>
      </c>
      <c r="C319" s="23" t="s">
        <v>3225</v>
      </c>
      <c r="D319" s="23" t="s">
        <v>77</v>
      </c>
      <c r="E319" s="5" t="s">
        <v>964</v>
      </c>
      <c r="F319" s="71" t="s">
        <v>6103</v>
      </c>
      <c r="G319" s="22" t="s">
        <v>179</v>
      </c>
      <c r="H319" s="5" t="s">
        <v>3932</v>
      </c>
      <c r="I319" s="5" t="s">
        <v>67</v>
      </c>
      <c r="J319" s="5" t="s">
        <v>5591</v>
      </c>
      <c r="K319" s="5" t="s">
        <v>965</v>
      </c>
      <c r="L319" s="22"/>
      <c r="M319" s="8" t="str">
        <f t="shared" si="40"/>
        <v>Ok</v>
      </c>
      <c r="N319" s="9" t="b">
        <f t="shared" si="41"/>
        <v>1</v>
      </c>
      <c r="O319" s="9" t="b">
        <f t="shared" si="42"/>
        <v>0</v>
      </c>
      <c r="P319" s="8" t="str">
        <f t="shared" si="43"/>
        <v>FALSE</v>
      </c>
      <c r="Q319" s="8" t="str">
        <f t="shared" si="44"/>
        <v>FALSE</v>
      </c>
      <c r="R319" s="9" t="b">
        <f t="shared" si="45"/>
        <v>1</v>
      </c>
      <c r="S319" s="8" t="b">
        <f t="shared" si="46"/>
        <v>0</v>
      </c>
      <c r="T319" s="10" t="b">
        <f t="shared" si="47"/>
        <v>0</v>
      </c>
      <c r="U319" s="8" t="str">
        <f t="shared" si="48"/>
        <v>FALSE</v>
      </c>
      <c r="V319" s="11" t="str">
        <f t="shared" si="49"/>
        <v>TRUE</v>
      </c>
    </row>
    <row r="320" spans="1:22" ht="15.75">
      <c r="A320" s="21">
        <v>318</v>
      </c>
      <c r="B320" s="5" t="s">
        <v>966</v>
      </c>
      <c r="C320" s="23" t="s">
        <v>2948</v>
      </c>
      <c r="D320" s="23" t="s">
        <v>34</v>
      </c>
      <c r="E320" s="5" t="s">
        <v>967</v>
      </c>
      <c r="F320" s="71" t="s">
        <v>6103</v>
      </c>
      <c r="G320" s="22" t="s">
        <v>216</v>
      </c>
      <c r="H320" s="5" t="s">
        <v>217</v>
      </c>
      <c r="I320" s="5" t="s">
        <v>50</v>
      </c>
      <c r="J320" s="5" t="s">
        <v>5311</v>
      </c>
      <c r="K320" s="5" t="s">
        <v>968</v>
      </c>
      <c r="L320" s="22"/>
      <c r="M320" s="8" t="str">
        <f t="shared" si="40"/>
        <v>Ok</v>
      </c>
      <c r="N320" s="9" t="b">
        <f t="shared" si="41"/>
        <v>0</v>
      </c>
      <c r="O320" s="9" t="b">
        <f t="shared" si="42"/>
        <v>0</v>
      </c>
      <c r="P320" s="8" t="str">
        <f t="shared" si="43"/>
        <v>FALSE</v>
      </c>
      <c r="Q320" s="8" t="str">
        <f t="shared" si="44"/>
        <v>FALSE</v>
      </c>
      <c r="R320" s="9" t="b">
        <f t="shared" si="45"/>
        <v>0</v>
      </c>
      <c r="S320" s="8" t="b">
        <f t="shared" si="46"/>
        <v>0</v>
      </c>
      <c r="T320" s="10" t="b">
        <f t="shared" si="47"/>
        <v>0</v>
      </c>
      <c r="U320" s="8" t="str">
        <f t="shared" si="48"/>
        <v>TRUE</v>
      </c>
      <c r="V320" s="11" t="str">
        <f t="shared" si="49"/>
        <v>TRUE</v>
      </c>
    </row>
    <row r="321" spans="1:22" ht="15.75">
      <c r="A321" s="21">
        <v>319</v>
      </c>
      <c r="B321" s="5" t="s">
        <v>969</v>
      </c>
      <c r="C321" s="23" t="s">
        <v>3780</v>
      </c>
      <c r="D321" s="23" t="s">
        <v>17</v>
      </c>
      <c r="E321" s="5" t="s">
        <v>970</v>
      </c>
      <c r="F321" s="71" t="s">
        <v>6103</v>
      </c>
      <c r="G321" s="22" t="s">
        <v>24</v>
      </c>
      <c r="H321" s="5" t="s">
        <v>46</v>
      </c>
      <c r="I321" s="5" t="s">
        <v>67</v>
      </c>
      <c r="J321" s="5" t="s">
        <v>5538</v>
      </c>
      <c r="K321" s="5" t="s">
        <v>971</v>
      </c>
      <c r="L321" s="22"/>
      <c r="M321" s="8" t="str">
        <f t="shared" si="40"/>
        <v>Ok</v>
      </c>
      <c r="N321" s="9" t="b">
        <f t="shared" si="41"/>
        <v>0</v>
      </c>
      <c r="O321" s="9" t="b">
        <f t="shared" si="42"/>
        <v>1</v>
      </c>
      <c r="P321" s="8" t="str">
        <f t="shared" si="43"/>
        <v>FALSE</v>
      </c>
      <c r="Q321" s="8" t="str">
        <f t="shared" si="44"/>
        <v>FALSE</v>
      </c>
      <c r="R321" s="9" t="b">
        <f t="shared" si="45"/>
        <v>0</v>
      </c>
      <c r="S321" s="8" t="b">
        <f t="shared" si="46"/>
        <v>0</v>
      </c>
      <c r="T321" s="10" t="b">
        <f t="shared" si="47"/>
        <v>0</v>
      </c>
      <c r="U321" s="8" t="str">
        <f t="shared" si="48"/>
        <v>FALSE</v>
      </c>
      <c r="V321" s="11" t="str">
        <f t="shared" si="49"/>
        <v>TRUE</v>
      </c>
    </row>
    <row r="322" spans="1:22" ht="15.75">
      <c r="A322" s="21">
        <v>320</v>
      </c>
      <c r="B322" s="5" t="s">
        <v>972</v>
      </c>
      <c r="C322" s="23" t="s">
        <v>3465</v>
      </c>
      <c r="D322" s="23" t="s">
        <v>77</v>
      </c>
      <c r="E322" s="5" t="s">
        <v>973</v>
      </c>
      <c r="F322" s="71" t="s">
        <v>6103</v>
      </c>
      <c r="G322" s="22" t="s">
        <v>160</v>
      </c>
      <c r="H322" s="5" t="s">
        <v>3932</v>
      </c>
      <c r="I322" s="5" t="s">
        <v>50</v>
      </c>
      <c r="J322" s="5" t="s">
        <v>5724</v>
      </c>
      <c r="K322" s="5" t="s">
        <v>974</v>
      </c>
      <c r="L322" s="22"/>
      <c r="M322" s="8" t="str">
        <f t="shared" si="40"/>
        <v>Ok</v>
      </c>
      <c r="N322" s="9" t="b">
        <f t="shared" si="41"/>
        <v>1</v>
      </c>
      <c r="O322" s="9" t="b">
        <f t="shared" si="42"/>
        <v>0</v>
      </c>
      <c r="P322" s="8" t="str">
        <f t="shared" si="43"/>
        <v>FALSE</v>
      </c>
      <c r="Q322" s="8" t="str">
        <f t="shared" si="44"/>
        <v>FALSE</v>
      </c>
      <c r="R322" s="9" t="b">
        <f t="shared" si="45"/>
        <v>0</v>
      </c>
      <c r="S322" s="8" t="b">
        <f t="shared" si="46"/>
        <v>0</v>
      </c>
      <c r="T322" s="10" t="b">
        <f t="shared" si="47"/>
        <v>0</v>
      </c>
      <c r="U322" s="8" t="str">
        <f t="shared" si="48"/>
        <v>FALSE</v>
      </c>
      <c r="V322" s="11" t="str">
        <f t="shared" si="49"/>
        <v>FALSE</v>
      </c>
    </row>
    <row r="323" spans="1:22" ht="15.75">
      <c r="A323" s="21">
        <v>321</v>
      </c>
      <c r="B323" s="5" t="s">
        <v>975</v>
      </c>
      <c r="C323" s="23" t="s">
        <v>3889</v>
      </c>
      <c r="D323" s="23" t="s">
        <v>17</v>
      </c>
      <c r="E323" s="5" t="s">
        <v>976</v>
      </c>
      <c r="F323" s="71" t="s">
        <v>6103</v>
      </c>
      <c r="G323" s="22" t="s">
        <v>119</v>
      </c>
      <c r="H323" s="5" t="s">
        <v>120</v>
      </c>
      <c r="I323" s="5" t="s">
        <v>42</v>
      </c>
      <c r="J323" s="5" t="s">
        <v>5118</v>
      </c>
      <c r="K323" s="5" t="s">
        <v>977</v>
      </c>
      <c r="L323" s="22"/>
      <c r="M323" s="8" t="str">
        <f t="shared" ref="M323:M386" si="50">IF(COUNTIF($B$3:$B$1002,B323)&gt;1,"Duplicate","Ok")</f>
        <v>Ok</v>
      </c>
      <c r="N323" s="9" t="b">
        <f t="shared" ref="N323:N386" si="51">EXACT(C323,PROPER(C323))</f>
        <v>0</v>
      </c>
      <c r="O323" s="9" t="b">
        <f t="shared" ref="O323:O386" si="52">EXACT(D323,PROPER(D323))</f>
        <v>1</v>
      </c>
      <c r="P323" s="8" t="str">
        <f t="shared" ref="P323:P386" si="53">IF(ISNUMBER(E323),"TRUE","FALSE")</f>
        <v>FALSE</v>
      </c>
      <c r="Q323" s="8" t="str">
        <f t="shared" ref="Q323:Q386" si="54">IF(ISNUMBER(F323),"TRUE","FALSE")</f>
        <v>FALSE</v>
      </c>
      <c r="R323" s="9" t="b">
        <f t="shared" ref="R323:R386" si="55">EXACT(G323,PROPER(G323))</f>
        <v>0</v>
      </c>
      <c r="S323" s="8" t="b">
        <f t="shared" ref="S323:S386" si="56">EXACT(H323,PROPER(H323))</f>
        <v>1</v>
      </c>
      <c r="T323" s="10" t="b">
        <f t="shared" ref="T323:T386" si="57">EXACT(I323,PROPER(I323))</f>
        <v>1</v>
      </c>
      <c r="U323" s="8" t="str">
        <f t="shared" ref="U323:U386" si="58">IF(RIGHT(J323,10)="@email.com","TRUE","FALSE")</f>
        <v>TRUE</v>
      </c>
      <c r="V323" s="11" t="str">
        <f t="shared" ref="V323:V386" si="59">IF(LEFT(K323,2)="08","TRUE","FALSE")</f>
        <v>TRUE</v>
      </c>
    </row>
    <row r="324" spans="1:22" ht="15.75">
      <c r="A324" s="21">
        <v>322</v>
      </c>
      <c r="B324" s="5" t="s">
        <v>978</v>
      </c>
      <c r="C324" s="23" t="s">
        <v>3466</v>
      </c>
      <c r="D324" s="23" t="s">
        <v>77</v>
      </c>
      <c r="E324" s="5" t="s">
        <v>979</v>
      </c>
      <c r="F324" s="71" t="s">
        <v>6103</v>
      </c>
      <c r="G324" s="22" t="s">
        <v>160</v>
      </c>
      <c r="H324" s="5" t="s">
        <v>3932</v>
      </c>
      <c r="I324" s="5" t="s">
        <v>56</v>
      </c>
      <c r="J324" s="5" t="s">
        <v>4943</v>
      </c>
      <c r="K324" s="5" t="s">
        <v>980</v>
      </c>
      <c r="L324" s="22"/>
      <c r="M324" s="8" t="str">
        <f t="shared" si="50"/>
        <v>Ok</v>
      </c>
      <c r="N324" s="9" t="b">
        <f t="shared" si="51"/>
        <v>1</v>
      </c>
      <c r="O324" s="9" t="b">
        <f t="shared" si="52"/>
        <v>0</v>
      </c>
      <c r="P324" s="8" t="str">
        <f t="shared" si="53"/>
        <v>FALSE</v>
      </c>
      <c r="Q324" s="8" t="str">
        <f t="shared" si="54"/>
        <v>FALSE</v>
      </c>
      <c r="R324" s="9" t="b">
        <f t="shared" si="55"/>
        <v>0</v>
      </c>
      <c r="S324" s="8" t="b">
        <f t="shared" si="56"/>
        <v>0</v>
      </c>
      <c r="T324" s="10" t="b">
        <f t="shared" si="57"/>
        <v>1</v>
      </c>
      <c r="U324" s="8" t="str">
        <f t="shared" si="58"/>
        <v>TRUE</v>
      </c>
      <c r="V324" s="11" t="str">
        <f t="shared" si="59"/>
        <v>TRUE</v>
      </c>
    </row>
    <row r="325" spans="1:22" ht="15.75">
      <c r="A325" s="21">
        <v>323</v>
      </c>
      <c r="B325" s="5" t="s">
        <v>981</v>
      </c>
      <c r="C325" s="23" t="s">
        <v>3226</v>
      </c>
      <c r="D325" s="23" t="s">
        <v>77</v>
      </c>
      <c r="E325" s="5" t="s">
        <v>982</v>
      </c>
      <c r="F325" s="71" t="s">
        <v>6103</v>
      </c>
      <c r="G325" s="22" t="s">
        <v>179</v>
      </c>
      <c r="H325" s="5" t="s">
        <v>3932</v>
      </c>
      <c r="I325" s="5" t="s">
        <v>21</v>
      </c>
      <c r="J325" s="5" t="s">
        <v>5271</v>
      </c>
      <c r="K325" s="5" t="s">
        <v>983</v>
      </c>
      <c r="L325" s="22"/>
      <c r="M325" s="8" t="str">
        <f t="shared" si="50"/>
        <v>Ok</v>
      </c>
      <c r="N325" s="9" t="b">
        <f t="shared" si="51"/>
        <v>1</v>
      </c>
      <c r="O325" s="9" t="b">
        <f t="shared" si="52"/>
        <v>0</v>
      </c>
      <c r="P325" s="8" t="str">
        <f t="shared" si="53"/>
        <v>FALSE</v>
      </c>
      <c r="Q325" s="8" t="str">
        <f t="shared" si="54"/>
        <v>FALSE</v>
      </c>
      <c r="R325" s="9" t="b">
        <f t="shared" si="55"/>
        <v>1</v>
      </c>
      <c r="S325" s="8" t="b">
        <f t="shared" si="56"/>
        <v>0</v>
      </c>
      <c r="T325" s="10" t="b">
        <f t="shared" si="57"/>
        <v>0</v>
      </c>
      <c r="U325" s="8" t="str">
        <f t="shared" si="58"/>
        <v>TRUE</v>
      </c>
      <c r="V325" s="11" t="str">
        <f t="shared" si="59"/>
        <v>TRUE</v>
      </c>
    </row>
    <row r="326" spans="1:22" ht="15.75">
      <c r="A326" s="21">
        <v>324</v>
      </c>
      <c r="B326" s="5" t="s">
        <v>984</v>
      </c>
      <c r="C326" s="23" t="s">
        <v>3007</v>
      </c>
      <c r="D326" s="23" t="s">
        <v>34</v>
      </c>
      <c r="E326" s="5" t="s">
        <v>985</v>
      </c>
      <c r="F326" s="71" t="s">
        <v>6103</v>
      </c>
      <c r="G326" s="22" t="s">
        <v>179</v>
      </c>
      <c r="H326" s="5" t="s">
        <v>3932</v>
      </c>
      <c r="I326" s="5" t="s">
        <v>56</v>
      </c>
      <c r="J326" s="5" t="s">
        <v>4994</v>
      </c>
      <c r="K326" s="5">
        <v>89756465578</v>
      </c>
      <c r="L326" s="22"/>
      <c r="M326" s="8" t="str">
        <f t="shared" si="50"/>
        <v>Ok</v>
      </c>
      <c r="N326" s="9" t="b">
        <f t="shared" si="51"/>
        <v>0</v>
      </c>
      <c r="O326" s="9" t="b">
        <f t="shared" si="52"/>
        <v>0</v>
      </c>
      <c r="P326" s="8" t="str">
        <f t="shared" si="53"/>
        <v>FALSE</v>
      </c>
      <c r="Q326" s="8" t="str">
        <f t="shared" si="54"/>
        <v>FALSE</v>
      </c>
      <c r="R326" s="9" t="b">
        <f t="shared" si="55"/>
        <v>1</v>
      </c>
      <c r="S326" s="8" t="b">
        <f t="shared" si="56"/>
        <v>0</v>
      </c>
      <c r="T326" s="10" t="b">
        <f t="shared" si="57"/>
        <v>1</v>
      </c>
      <c r="U326" s="8" t="str">
        <f t="shared" si="58"/>
        <v>TRUE</v>
      </c>
      <c r="V326" s="11" t="str">
        <f t="shared" si="59"/>
        <v>FALSE</v>
      </c>
    </row>
    <row r="327" spans="1:22" ht="15.75">
      <c r="A327" s="21">
        <v>325</v>
      </c>
      <c r="B327" s="5" t="s">
        <v>986</v>
      </c>
      <c r="C327" s="23" t="s">
        <v>3890</v>
      </c>
      <c r="D327" s="23" t="s">
        <v>17</v>
      </c>
      <c r="E327" s="5" t="s">
        <v>123</v>
      </c>
      <c r="F327" s="71" t="s">
        <v>6103</v>
      </c>
      <c r="G327" s="22" t="s">
        <v>85</v>
      </c>
      <c r="H327" s="5" t="s">
        <v>120</v>
      </c>
      <c r="I327" s="5" t="s">
        <v>26</v>
      </c>
      <c r="J327" s="5" t="s">
        <v>4984</v>
      </c>
      <c r="K327" s="5" t="s">
        <v>987</v>
      </c>
      <c r="L327" s="22"/>
      <c r="M327" s="8" t="str">
        <f t="shared" si="50"/>
        <v>Ok</v>
      </c>
      <c r="N327" s="9" t="b">
        <f t="shared" si="51"/>
        <v>0</v>
      </c>
      <c r="O327" s="9" t="b">
        <f t="shared" si="52"/>
        <v>1</v>
      </c>
      <c r="P327" s="8" t="str">
        <f t="shared" si="53"/>
        <v>FALSE</v>
      </c>
      <c r="Q327" s="8" t="str">
        <f t="shared" si="54"/>
        <v>FALSE</v>
      </c>
      <c r="R327" s="9" t="b">
        <f t="shared" si="55"/>
        <v>1</v>
      </c>
      <c r="S327" s="8" t="b">
        <f t="shared" si="56"/>
        <v>1</v>
      </c>
      <c r="T327" s="10" t="b">
        <f t="shared" si="57"/>
        <v>0</v>
      </c>
      <c r="U327" s="8" t="str">
        <f t="shared" si="58"/>
        <v>TRUE</v>
      </c>
      <c r="V327" s="11" t="str">
        <f t="shared" si="59"/>
        <v>TRUE</v>
      </c>
    </row>
    <row r="328" spans="1:22" ht="15.75">
      <c r="A328" s="21">
        <v>326</v>
      </c>
      <c r="B328" s="5" t="s">
        <v>988</v>
      </c>
      <c r="C328" s="23" t="s">
        <v>3355</v>
      </c>
      <c r="D328" s="23" t="s">
        <v>34</v>
      </c>
      <c r="E328" s="5" t="s">
        <v>989</v>
      </c>
      <c r="F328" s="71" t="s">
        <v>6103</v>
      </c>
      <c r="G328" s="22" t="s">
        <v>93</v>
      </c>
      <c r="H328" s="5" t="s">
        <v>94</v>
      </c>
      <c r="I328" s="5" t="s">
        <v>50</v>
      </c>
      <c r="J328" s="5" t="s">
        <v>5321</v>
      </c>
      <c r="K328" s="5" t="s">
        <v>990</v>
      </c>
      <c r="L328" s="22"/>
      <c r="M328" s="8" t="str">
        <f t="shared" si="50"/>
        <v>Ok</v>
      </c>
      <c r="N328" s="9" t="b">
        <f t="shared" si="51"/>
        <v>1</v>
      </c>
      <c r="O328" s="9" t="b">
        <f t="shared" si="52"/>
        <v>0</v>
      </c>
      <c r="P328" s="8" t="str">
        <f t="shared" si="53"/>
        <v>FALSE</v>
      </c>
      <c r="Q328" s="8" t="str">
        <f t="shared" si="54"/>
        <v>FALSE</v>
      </c>
      <c r="R328" s="9" t="b">
        <f t="shared" si="55"/>
        <v>0</v>
      </c>
      <c r="S328" s="8" t="b">
        <f t="shared" si="56"/>
        <v>0</v>
      </c>
      <c r="T328" s="10" t="b">
        <f t="shared" si="57"/>
        <v>0</v>
      </c>
      <c r="U328" s="8" t="str">
        <f t="shared" si="58"/>
        <v>TRUE</v>
      </c>
      <c r="V328" s="11" t="str">
        <f t="shared" si="59"/>
        <v>TRUE</v>
      </c>
    </row>
    <row r="329" spans="1:22" ht="15.75">
      <c r="A329" s="21">
        <v>327</v>
      </c>
      <c r="B329" s="5" t="s">
        <v>991</v>
      </c>
      <c r="C329" s="23" t="s">
        <v>3087</v>
      </c>
      <c r="D329" s="23" t="s">
        <v>77</v>
      </c>
      <c r="E329" s="5" t="s">
        <v>992</v>
      </c>
      <c r="F329" s="71" t="s">
        <v>6103</v>
      </c>
      <c r="G329" s="22" t="s">
        <v>179</v>
      </c>
      <c r="H329" s="22" t="s">
        <v>3932</v>
      </c>
      <c r="I329" s="5" t="s">
        <v>56</v>
      </c>
      <c r="J329" s="5" t="s">
        <v>4923</v>
      </c>
      <c r="K329" s="5" t="s">
        <v>993</v>
      </c>
      <c r="L329" s="22"/>
      <c r="M329" s="8" t="str">
        <f t="shared" si="50"/>
        <v>Ok</v>
      </c>
      <c r="N329" s="9" t="b">
        <f t="shared" si="51"/>
        <v>0</v>
      </c>
      <c r="O329" s="9" t="b">
        <f t="shared" si="52"/>
        <v>0</v>
      </c>
      <c r="P329" s="8" t="str">
        <f t="shared" si="53"/>
        <v>FALSE</v>
      </c>
      <c r="Q329" s="8" t="str">
        <f t="shared" si="54"/>
        <v>FALSE</v>
      </c>
      <c r="R329" s="9" t="b">
        <f t="shared" si="55"/>
        <v>1</v>
      </c>
      <c r="S329" s="8" t="b">
        <f t="shared" si="56"/>
        <v>0</v>
      </c>
      <c r="T329" s="10" t="b">
        <f t="shared" si="57"/>
        <v>1</v>
      </c>
      <c r="U329" s="8" t="str">
        <f t="shared" si="58"/>
        <v>TRUE</v>
      </c>
      <c r="V329" s="11" t="str">
        <f t="shared" si="59"/>
        <v>FALSE</v>
      </c>
    </row>
    <row r="330" spans="1:22" ht="15.75">
      <c r="A330" s="21">
        <v>328</v>
      </c>
      <c r="B330" s="5" t="s">
        <v>994</v>
      </c>
      <c r="C330" s="23" t="s">
        <v>3133</v>
      </c>
      <c r="D330" s="23" t="s">
        <v>77</v>
      </c>
      <c r="E330" s="5" t="s">
        <v>995</v>
      </c>
      <c r="F330" s="71" t="s">
        <v>6103</v>
      </c>
      <c r="G330" s="22" t="s">
        <v>179</v>
      </c>
      <c r="H330" s="5" t="s">
        <v>3932</v>
      </c>
      <c r="I330" s="5" t="s">
        <v>21</v>
      </c>
      <c r="J330" s="5" t="s">
        <v>5397</v>
      </c>
      <c r="K330" s="5" t="s">
        <v>996</v>
      </c>
      <c r="L330" s="22"/>
      <c r="M330" s="8" t="str">
        <f t="shared" si="50"/>
        <v>Ok</v>
      </c>
      <c r="N330" s="9" t="b">
        <f t="shared" si="51"/>
        <v>0</v>
      </c>
      <c r="O330" s="9" t="b">
        <f t="shared" si="52"/>
        <v>0</v>
      </c>
      <c r="P330" s="8" t="str">
        <f t="shared" si="53"/>
        <v>FALSE</v>
      </c>
      <c r="Q330" s="8" t="str">
        <f t="shared" si="54"/>
        <v>FALSE</v>
      </c>
      <c r="R330" s="9" t="b">
        <f t="shared" si="55"/>
        <v>1</v>
      </c>
      <c r="S330" s="8" t="b">
        <f t="shared" si="56"/>
        <v>0</v>
      </c>
      <c r="T330" s="10" t="b">
        <f t="shared" si="57"/>
        <v>0</v>
      </c>
      <c r="U330" s="8" t="str">
        <f t="shared" si="58"/>
        <v>TRUE</v>
      </c>
      <c r="V330" s="11" t="str">
        <f t="shared" si="59"/>
        <v>TRUE</v>
      </c>
    </row>
    <row r="331" spans="1:22" ht="15.75">
      <c r="A331" s="21">
        <v>329</v>
      </c>
      <c r="B331" s="5" t="s">
        <v>997</v>
      </c>
      <c r="C331" s="23" t="s">
        <v>3356</v>
      </c>
      <c r="D331" s="23" t="s">
        <v>34</v>
      </c>
      <c r="E331" s="5" t="s">
        <v>998</v>
      </c>
      <c r="F331" s="71" t="s">
        <v>6103</v>
      </c>
      <c r="G331" s="22" t="s">
        <v>216</v>
      </c>
      <c r="H331" s="5" t="s">
        <v>217</v>
      </c>
      <c r="I331" s="5" t="s">
        <v>21</v>
      </c>
      <c r="J331" s="5" t="s">
        <v>4960</v>
      </c>
      <c r="K331" s="5" t="s">
        <v>999</v>
      </c>
      <c r="L331" s="22"/>
      <c r="M331" s="8" t="str">
        <f t="shared" si="50"/>
        <v>Ok</v>
      </c>
      <c r="N331" s="9" t="b">
        <f t="shared" si="51"/>
        <v>1</v>
      </c>
      <c r="O331" s="9" t="b">
        <f t="shared" si="52"/>
        <v>0</v>
      </c>
      <c r="P331" s="8" t="str">
        <f t="shared" si="53"/>
        <v>FALSE</v>
      </c>
      <c r="Q331" s="8" t="str">
        <f t="shared" si="54"/>
        <v>FALSE</v>
      </c>
      <c r="R331" s="9" t="b">
        <f t="shared" si="55"/>
        <v>0</v>
      </c>
      <c r="S331" s="8" t="b">
        <f t="shared" si="56"/>
        <v>0</v>
      </c>
      <c r="T331" s="10" t="b">
        <f t="shared" si="57"/>
        <v>0</v>
      </c>
      <c r="U331" s="8" t="str">
        <f t="shared" si="58"/>
        <v>TRUE</v>
      </c>
      <c r="V331" s="11" t="str">
        <f t="shared" si="59"/>
        <v>FALSE</v>
      </c>
    </row>
    <row r="332" spans="1:22" ht="15.75">
      <c r="A332" s="21">
        <v>330</v>
      </c>
      <c r="B332" s="5" t="s">
        <v>1000</v>
      </c>
      <c r="C332" s="23" t="s">
        <v>3088</v>
      </c>
      <c r="D332" s="23" t="s">
        <v>34</v>
      </c>
      <c r="E332" s="5" t="s">
        <v>1001</v>
      </c>
      <c r="F332" s="71" t="s">
        <v>6103</v>
      </c>
      <c r="G332" s="22" t="s">
        <v>179</v>
      </c>
      <c r="H332" s="22" t="s">
        <v>3932</v>
      </c>
      <c r="I332" s="5" t="s">
        <v>67</v>
      </c>
      <c r="J332" s="5" t="s">
        <v>5457</v>
      </c>
      <c r="K332" s="5">
        <v>89756465590</v>
      </c>
      <c r="L332" s="22"/>
      <c r="M332" s="8" t="str">
        <f t="shared" si="50"/>
        <v>Ok</v>
      </c>
      <c r="N332" s="9" t="b">
        <f t="shared" si="51"/>
        <v>0</v>
      </c>
      <c r="O332" s="9" t="b">
        <f t="shared" si="52"/>
        <v>0</v>
      </c>
      <c r="P332" s="8" t="str">
        <f t="shared" si="53"/>
        <v>FALSE</v>
      </c>
      <c r="Q332" s="8" t="str">
        <f t="shared" si="54"/>
        <v>FALSE</v>
      </c>
      <c r="R332" s="9" t="b">
        <f t="shared" si="55"/>
        <v>1</v>
      </c>
      <c r="S332" s="8" t="b">
        <f t="shared" si="56"/>
        <v>0</v>
      </c>
      <c r="T332" s="10" t="b">
        <f t="shared" si="57"/>
        <v>0</v>
      </c>
      <c r="U332" s="8" t="str">
        <f t="shared" si="58"/>
        <v>FALSE</v>
      </c>
      <c r="V332" s="11" t="str">
        <f t="shared" si="59"/>
        <v>FALSE</v>
      </c>
    </row>
    <row r="333" spans="1:22" ht="15.75">
      <c r="A333" s="21">
        <v>331</v>
      </c>
      <c r="B333" s="5" t="s">
        <v>1002</v>
      </c>
      <c r="C333" s="23" t="s">
        <v>3891</v>
      </c>
      <c r="D333" s="23" t="s">
        <v>17</v>
      </c>
      <c r="E333" s="5" t="s">
        <v>1003</v>
      </c>
      <c r="F333" s="71" t="s">
        <v>6103</v>
      </c>
      <c r="G333" s="22" t="s">
        <v>85</v>
      </c>
      <c r="H333" s="5" t="s">
        <v>120</v>
      </c>
      <c r="I333" s="5" t="s">
        <v>56</v>
      </c>
      <c r="J333" s="5" t="s">
        <v>4828</v>
      </c>
      <c r="K333" s="5" t="s">
        <v>1004</v>
      </c>
      <c r="L333" s="22"/>
      <c r="M333" s="8" t="str">
        <f t="shared" si="50"/>
        <v>Ok</v>
      </c>
      <c r="N333" s="9" t="b">
        <f t="shared" si="51"/>
        <v>0</v>
      </c>
      <c r="O333" s="9" t="b">
        <f t="shared" si="52"/>
        <v>1</v>
      </c>
      <c r="P333" s="8" t="str">
        <f t="shared" si="53"/>
        <v>FALSE</v>
      </c>
      <c r="Q333" s="8" t="str">
        <f t="shared" si="54"/>
        <v>FALSE</v>
      </c>
      <c r="R333" s="9" t="b">
        <f t="shared" si="55"/>
        <v>1</v>
      </c>
      <c r="S333" s="8" t="b">
        <f t="shared" si="56"/>
        <v>1</v>
      </c>
      <c r="T333" s="10" t="b">
        <f t="shared" si="57"/>
        <v>1</v>
      </c>
      <c r="U333" s="8" t="str">
        <f t="shared" si="58"/>
        <v>TRUE</v>
      </c>
      <c r="V333" s="11" t="str">
        <f t="shared" si="59"/>
        <v>TRUE</v>
      </c>
    </row>
    <row r="334" spans="1:22" ht="15.75">
      <c r="A334" s="21">
        <v>332</v>
      </c>
      <c r="B334" s="5" t="s">
        <v>1005</v>
      </c>
      <c r="C334" s="23" t="s">
        <v>3357</v>
      </c>
      <c r="D334" s="23" t="s">
        <v>34</v>
      </c>
      <c r="E334" s="5" t="s">
        <v>1006</v>
      </c>
      <c r="F334" s="71" t="s">
        <v>6103</v>
      </c>
      <c r="G334" s="22" t="s">
        <v>93</v>
      </c>
      <c r="H334" s="5" t="s">
        <v>217</v>
      </c>
      <c r="I334" s="5" t="s">
        <v>50</v>
      </c>
      <c r="J334" s="5" t="s">
        <v>5688</v>
      </c>
      <c r="K334" s="5" t="s">
        <v>1007</v>
      </c>
      <c r="L334" s="22"/>
      <c r="M334" s="8" t="str">
        <f t="shared" si="50"/>
        <v>Ok</v>
      </c>
      <c r="N334" s="9" t="b">
        <f t="shared" si="51"/>
        <v>1</v>
      </c>
      <c r="O334" s="9" t="b">
        <f t="shared" si="52"/>
        <v>0</v>
      </c>
      <c r="P334" s="8" t="str">
        <f t="shared" si="53"/>
        <v>FALSE</v>
      </c>
      <c r="Q334" s="8" t="str">
        <f t="shared" si="54"/>
        <v>FALSE</v>
      </c>
      <c r="R334" s="9" t="b">
        <f t="shared" si="55"/>
        <v>0</v>
      </c>
      <c r="S334" s="8" t="b">
        <f t="shared" si="56"/>
        <v>0</v>
      </c>
      <c r="T334" s="10" t="b">
        <f t="shared" si="57"/>
        <v>0</v>
      </c>
      <c r="U334" s="8" t="str">
        <f t="shared" si="58"/>
        <v>FALSE</v>
      </c>
      <c r="V334" s="11" t="str">
        <f t="shared" si="59"/>
        <v>TRUE</v>
      </c>
    </row>
    <row r="335" spans="1:22" ht="15.75">
      <c r="A335" s="21">
        <v>333</v>
      </c>
      <c r="B335" s="5" t="s">
        <v>1008</v>
      </c>
      <c r="C335" s="23" t="s">
        <v>3134</v>
      </c>
      <c r="D335" s="23" t="s">
        <v>77</v>
      </c>
      <c r="E335" s="5" t="s">
        <v>1009</v>
      </c>
      <c r="F335" s="71" t="s">
        <v>6103</v>
      </c>
      <c r="G335" s="22" t="s">
        <v>179</v>
      </c>
      <c r="H335" s="5" t="s">
        <v>3932</v>
      </c>
      <c r="I335" s="5" t="s">
        <v>21</v>
      </c>
      <c r="J335" s="5" t="s">
        <v>5364</v>
      </c>
      <c r="K335" s="5" t="s">
        <v>1010</v>
      </c>
      <c r="L335" s="22"/>
      <c r="M335" s="8" t="str">
        <f t="shared" si="50"/>
        <v>Ok</v>
      </c>
      <c r="N335" s="9" t="b">
        <f t="shared" si="51"/>
        <v>0</v>
      </c>
      <c r="O335" s="9" t="b">
        <f t="shared" si="52"/>
        <v>0</v>
      </c>
      <c r="P335" s="8" t="str">
        <f t="shared" si="53"/>
        <v>FALSE</v>
      </c>
      <c r="Q335" s="8" t="str">
        <f t="shared" si="54"/>
        <v>FALSE</v>
      </c>
      <c r="R335" s="9" t="b">
        <f t="shared" si="55"/>
        <v>1</v>
      </c>
      <c r="S335" s="8" t="b">
        <f t="shared" si="56"/>
        <v>0</v>
      </c>
      <c r="T335" s="10" t="b">
        <f t="shared" si="57"/>
        <v>0</v>
      </c>
      <c r="U335" s="8" t="str">
        <f t="shared" si="58"/>
        <v>TRUE</v>
      </c>
      <c r="V335" s="11" t="str">
        <f t="shared" si="59"/>
        <v>TRUE</v>
      </c>
    </row>
    <row r="336" spans="1:22" ht="15.75">
      <c r="A336" s="21">
        <v>334</v>
      </c>
      <c r="B336" s="5" t="s">
        <v>1011</v>
      </c>
      <c r="C336" s="23" t="s">
        <v>3553</v>
      </c>
      <c r="D336" s="23" t="s">
        <v>77</v>
      </c>
      <c r="E336" s="5" t="s">
        <v>1012</v>
      </c>
      <c r="F336" s="71" t="s">
        <v>6103</v>
      </c>
      <c r="G336" s="22" t="s">
        <v>12</v>
      </c>
      <c r="H336" s="5" t="s">
        <v>36</v>
      </c>
      <c r="I336" s="5" t="s">
        <v>42</v>
      </c>
      <c r="J336" s="5" t="s">
        <v>5164</v>
      </c>
      <c r="K336" s="5" t="s">
        <v>1013</v>
      </c>
      <c r="L336" s="22"/>
      <c r="M336" s="8" t="str">
        <f t="shared" si="50"/>
        <v>Ok</v>
      </c>
      <c r="N336" s="9" t="b">
        <f t="shared" si="51"/>
        <v>1</v>
      </c>
      <c r="O336" s="9" t="b">
        <f t="shared" si="52"/>
        <v>0</v>
      </c>
      <c r="P336" s="8" t="str">
        <f t="shared" si="53"/>
        <v>FALSE</v>
      </c>
      <c r="Q336" s="8" t="str">
        <f t="shared" si="54"/>
        <v>FALSE</v>
      </c>
      <c r="R336" s="9" t="b">
        <f t="shared" si="55"/>
        <v>1</v>
      </c>
      <c r="S336" s="8" t="b">
        <f t="shared" si="56"/>
        <v>1</v>
      </c>
      <c r="T336" s="10" t="b">
        <f t="shared" si="57"/>
        <v>1</v>
      </c>
      <c r="U336" s="8" t="str">
        <f t="shared" si="58"/>
        <v>TRUE</v>
      </c>
      <c r="V336" s="11" t="str">
        <f t="shared" si="59"/>
        <v>TRUE</v>
      </c>
    </row>
    <row r="337" spans="1:22" ht="15.75">
      <c r="A337" s="21">
        <v>335</v>
      </c>
      <c r="B337" s="5" t="s">
        <v>1014</v>
      </c>
      <c r="C337" s="23" t="s">
        <v>3227</v>
      </c>
      <c r="D337" s="23" t="s">
        <v>77</v>
      </c>
      <c r="E337" s="5" t="s">
        <v>185</v>
      </c>
      <c r="F337" s="71" t="s">
        <v>6103</v>
      </c>
      <c r="G337" s="22" t="s">
        <v>179</v>
      </c>
      <c r="H337" s="5" t="s">
        <v>3932</v>
      </c>
      <c r="I337" s="5" t="s">
        <v>14</v>
      </c>
      <c r="J337" s="5" t="s">
        <v>5560</v>
      </c>
      <c r="K337" s="5" t="s">
        <v>1015</v>
      </c>
      <c r="L337" s="22"/>
      <c r="M337" s="8" t="str">
        <f t="shared" si="50"/>
        <v>Ok</v>
      </c>
      <c r="N337" s="9" t="b">
        <f t="shared" si="51"/>
        <v>1</v>
      </c>
      <c r="O337" s="9" t="b">
        <f t="shared" si="52"/>
        <v>0</v>
      </c>
      <c r="P337" s="8" t="str">
        <f t="shared" si="53"/>
        <v>FALSE</v>
      </c>
      <c r="Q337" s="8" t="str">
        <f t="shared" si="54"/>
        <v>FALSE</v>
      </c>
      <c r="R337" s="9" t="b">
        <f t="shared" si="55"/>
        <v>1</v>
      </c>
      <c r="S337" s="8" t="b">
        <f t="shared" si="56"/>
        <v>0</v>
      </c>
      <c r="T337" s="10" t="b">
        <f t="shared" si="57"/>
        <v>1</v>
      </c>
      <c r="U337" s="8" t="str">
        <f t="shared" si="58"/>
        <v>FALSE</v>
      </c>
      <c r="V337" s="11" t="str">
        <f t="shared" si="59"/>
        <v>TRUE</v>
      </c>
    </row>
    <row r="338" spans="1:22" ht="15.75">
      <c r="A338" s="21">
        <v>336</v>
      </c>
      <c r="B338" s="5" t="s">
        <v>1016</v>
      </c>
      <c r="C338" s="23" t="s">
        <v>3358</v>
      </c>
      <c r="D338" s="23" t="s">
        <v>34</v>
      </c>
      <c r="E338" s="5" t="s">
        <v>1017</v>
      </c>
      <c r="F338" s="71" t="s">
        <v>6103</v>
      </c>
      <c r="G338" s="22" t="s">
        <v>3933</v>
      </c>
      <c r="H338" s="5" t="s">
        <v>3932</v>
      </c>
      <c r="I338" s="5" t="s">
        <v>67</v>
      </c>
      <c r="J338" s="5" t="s">
        <v>4834</v>
      </c>
      <c r="K338" s="5" t="s">
        <v>1018</v>
      </c>
      <c r="L338" s="22"/>
      <c r="M338" s="8" t="str">
        <f t="shared" si="50"/>
        <v>Ok</v>
      </c>
      <c r="N338" s="9" t="b">
        <f t="shared" si="51"/>
        <v>1</v>
      </c>
      <c r="O338" s="9" t="b">
        <f t="shared" si="52"/>
        <v>0</v>
      </c>
      <c r="P338" s="8" t="str">
        <f t="shared" si="53"/>
        <v>FALSE</v>
      </c>
      <c r="Q338" s="8" t="str">
        <f t="shared" si="54"/>
        <v>FALSE</v>
      </c>
      <c r="R338" s="9" t="b">
        <f t="shared" si="55"/>
        <v>0</v>
      </c>
      <c r="S338" s="8" t="b">
        <f t="shared" si="56"/>
        <v>0</v>
      </c>
      <c r="T338" s="10" t="b">
        <f t="shared" si="57"/>
        <v>0</v>
      </c>
      <c r="U338" s="8" t="str">
        <f t="shared" si="58"/>
        <v>TRUE</v>
      </c>
      <c r="V338" s="11" t="str">
        <f t="shared" si="59"/>
        <v>TRUE</v>
      </c>
    </row>
    <row r="339" spans="1:22" ht="15.75">
      <c r="A339" s="21">
        <v>337</v>
      </c>
      <c r="B339" s="5" t="s">
        <v>1019</v>
      </c>
      <c r="C339" s="23" t="s">
        <v>3823</v>
      </c>
      <c r="D339" s="23" t="s">
        <v>59</v>
      </c>
      <c r="E339" s="5" t="s">
        <v>1020</v>
      </c>
      <c r="F339" s="71" t="s">
        <v>6103</v>
      </c>
      <c r="G339" s="22" t="s">
        <v>144</v>
      </c>
      <c r="H339" s="5" t="s">
        <v>46</v>
      </c>
      <c r="I339" s="5" t="s">
        <v>14</v>
      </c>
      <c r="J339" s="5" t="s">
        <v>4886</v>
      </c>
      <c r="K339" s="5" t="s">
        <v>1021</v>
      </c>
      <c r="L339" s="22"/>
      <c r="M339" s="8" t="str">
        <f t="shared" si="50"/>
        <v>Ok</v>
      </c>
      <c r="N339" s="9" t="b">
        <f t="shared" si="51"/>
        <v>0</v>
      </c>
      <c r="O339" s="9" t="b">
        <f t="shared" si="52"/>
        <v>1</v>
      </c>
      <c r="P339" s="8" t="str">
        <f t="shared" si="53"/>
        <v>FALSE</v>
      </c>
      <c r="Q339" s="8" t="str">
        <f t="shared" si="54"/>
        <v>FALSE</v>
      </c>
      <c r="R339" s="9" t="b">
        <f t="shared" si="55"/>
        <v>1</v>
      </c>
      <c r="S339" s="8" t="b">
        <f t="shared" si="56"/>
        <v>0</v>
      </c>
      <c r="T339" s="10" t="b">
        <f t="shared" si="57"/>
        <v>1</v>
      </c>
      <c r="U339" s="8" t="str">
        <f t="shared" si="58"/>
        <v>TRUE</v>
      </c>
      <c r="V339" s="11" t="str">
        <f t="shared" si="59"/>
        <v>TRUE</v>
      </c>
    </row>
    <row r="340" spans="1:22" ht="15.75">
      <c r="A340" s="21">
        <v>338</v>
      </c>
      <c r="B340" s="5" t="s">
        <v>1022</v>
      </c>
      <c r="C340" s="23" t="s">
        <v>3228</v>
      </c>
      <c r="D340" s="23" t="s">
        <v>77</v>
      </c>
      <c r="E340" s="5" t="s">
        <v>1023</v>
      </c>
      <c r="F340" s="71" t="s">
        <v>6103</v>
      </c>
      <c r="G340" s="22" t="s">
        <v>179</v>
      </c>
      <c r="H340" s="5" t="s">
        <v>3932</v>
      </c>
      <c r="I340" s="5" t="s">
        <v>56</v>
      </c>
      <c r="J340" s="5" t="s">
        <v>5755</v>
      </c>
      <c r="K340" s="5" t="s">
        <v>1024</v>
      </c>
      <c r="L340" s="22"/>
      <c r="M340" s="8" t="str">
        <f t="shared" si="50"/>
        <v>Ok</v>
      </c>
      <c r="N340" s="9" t="b">
        <f t="shared" si="51"/>
        <v>1</v>
      </c>
      <c r="O340" s="9" t="b">
        <f t="shared" si="52"/>
        <v>0</v>
      </c>
      <c r="P340" s="8" t="str">
        <f t="shared" si="53"/>
        <v>FALSE</v>
      </c>
      <c r="Q340" s="8" t="str">
        <f t="shared" si="54"/>
        <v>FALSE</v>
      </c>
      <c r="R340" s="9" t="b">
        <f t="shared" si="55"/>
        <v>1</v>
      </c>
      <c r="S340" s="8" t="b">
        <f t="shared" si="56"/>
        <v>0</v>
      </c>
      <c r="T340" s="10" t="b">
        <f t="shared" si="57"/>
        <v>1</v>
      </c>
      <c r="U340" s="8" t="str">
        <f t="shared" si="58"/>
        <v>FALSE</v>
      </c>
      <c r="V340" s="11" t="str">
        <f t="shared" si="59"/>
        <v>TRUE</v>
      </c>
    </row>
    <row r="341" spans="1:22" ht="15.75">
      <c r="A341" s="21">
        <v>339</v>
      </c>
      <c r="B341" s="5" t="s">
        <v>1025</v>
      </c>
      <c r="C341" s="23" t="s">
        <v>3694</v>
      </c>
      <c r="D341" s="23" t="s">
        <v>59</v>
      </c>
      <c r="E341" s="5" t="s">
        <v>1026</v>
      </c>
      <c r="F341" s="71" t="s">
        <v>6103</v>
      </c>
      <c r="G341" s="22" t="s">
        <v>3934</v>
      </c>
      <c r="H341" s="5" t="s">
        <v>13</v>
      </c>
      <c r="I341" s="5" t="s">
        <v>56</v>
      </c>
      <c r="J341" s="5" t="s">
        <v>5579</v>
      </c>
      <c r="K341" s="5" t="s">
        <v>1027</v>
      </c>
      <c r="L341" s="22"/>
      <c r="M341" s="8" t="str">
        <f t="shared" si="50"/>
        <v>Ok</v>
      </c>
      <c r="N341" s="9" t="b">
        <f t="shared" si="51"/>
        <v>0</v>
      </c>
      <c r="O341" s="9" t="b">
        <f t="shared" si="52"/>
        <v>1</v>
      </c>
      <c r="P341" s="8" t="str">
        <f t="shared" si="53"/>
        <v>FALSE</v>
      </c>
      <c r="Q341" s="8" t="str">
        <f t="shared" si="54"/>
        <v>FALSE</v>
      </c>
      <c r="R341" s="9" t="b">
        <f t="shared" si="55"/>
        <v>0</v>
      </c>
      <c r="S341" s="8" t="b">
        <f t="shared" si="56"/>
        <v>0</v>
      </c>
      <c r="T341" s="10" t="b">
        <f t="shared" si="57"/>
        <v>1</v>
      </c>
      <c r="U341" s="8" t="str">
        <f t="shared" si="58"/>
        <v>FALSE</v>
      </c>
      <c r="V341" s="11" t="str">
        <f t="shared" si="59"/>
        <v>TRUE</v>
      </c>
    </row>
    <row r="342" spans="1:22" ht="15.75">
      <c r="A342" s="21">
        <v>340</v>
      </c>
      <c r="B342" s="5" t="s">
        <v>1028</v>
      </c>
      <c r="C342" s="23" t="s">
        <v>3824</v>
      </c>
      <c r="D342" s="23" t="s">
        <v>59</v>
      </c>
      <c r="E342" s="5" t="s">
        <v>1029</v>
      </c>
      <c r="F342" s="71" t="s">
        <v>6103</v>
      </c>
      <c r="G342" s="22" t="s">
        <v>144</v>
      </c>
      <c r="H342" s="5" t="s">
        <v>25</v>
      </c>
      <c r="I342" s="5" t="s">
        <v>14</v>
      </c>
      <c r="J342" s="5" t="s">
        <v>5629</v>
      </c>
      <c r="K342" s="5" t="s">
        <v>1030</v>
      </c>
      <c r="L342" s="22"/>
      <c r="M342" s="8" t="str">
        <f t="shared" si="50"/>
        <v>Ok</v>
      </c>
      <c r="N342" s="9" t="b">
        <f t="shared" si="51"/>
        <v>0</v>
      </c>
      <c r="O342" s="9" t="b">
        <f t="shared" si="52"/>
        <v>1</v>
      </c>
      <c r="P342" s="8" t="str">
        <f t="shared" si="53"/>
        <v>FALSE</v>
      </c>
      <c r="Q342" s="8" t="str">
        <f t="shared" si="54"/>
        <v>FALSE</v>
      </c>
      <c r="R342" s="9" t="b">
        <f t="shared" si="55"/>
        <v>1</v>
      </c>
      <c r="S342" s="8" t="b">
        <f t="shared" si="56"/>
        <v>0</v>
      </c>
      <c r="T342" s="10" t="b">
        <f t="shared" si="57"/>
        <v>1</v>
      </c>
      <c r="U342" s="8" t="str">
        <f t="shared" si="58"/>
        <v>FALSE</v>
      </c>
      <c r="V342" s="11" t="str">
        <f t="shared" si="59"/>
        <v>TRUE</v>
      </c>
    </row>
    <row r="343" spans="1:22" ht="15.75">
      <c r="A343" s="21">
        <v>341</v>
      </c>
      <c r="B343" s="5" t="s">
        <v>1031</v>
      </c>
      <c r="C343" s="23" t="s">
        <v>3554</v>
      </c>
      <c r="D343" s="23" t="s">
        <v>77</v>
      </c>
      <c r="E343" s="5" t="s">
        <v>1032</v>
      </c>
      <c r="F343" s="71" t="s">
        <v>6103</v>
      </c>
      <c r="G343" s="22" t="s">
        <v>12</v>
      </c>
      <c r="H343" s="5" t="s">
        <v>36</v>
      </c>
      <c r="I343" s="5" t="s">
        <v>21</v>
      </c>
      <c r="J343" s="5" t="s">
        <v>4802</v>
      </c>
      <c r="K343" s="5" t="s">
        <v>1033</v>
      </c>
      <c r="L343" s="22"/>
      <c r="M343" s="8" t="str">
        <f t="shared" si="50"/>
        <v>Ok</v>
      </c>
      <c r="N343" s="9" t="b">
        <f t="shared" si="51"/>
        <v>1</v>
      </c>
      <c r="O343" s="9" t="b">
        <f t="shared" si="52"/>
        <v>0</v>
      </c>
      <c r="P343" s="8" t="str">
        <f t="shared" si="53"/>
        <v>FALSE</v>
      </c>
      <c r="Q343" s="8" t="str">
        <f t="shared" si="54"/>
        <v>FALSE</v>
      </c>
      <c r="R343" s="9" t="b">
        <f t="shared" si="55"/>
        <v>1</v>
      </c>
      <c r="S343" s="8" t="b">
        <f t="shared" si="56"/>
        <v>1</v>
      </c>
      <c r="T343" s="10" t="b">
        <f t="shared" si="57"/>
        <v>0</v>
      </c>
      <c r="U343" s="8" t="str">
        <f t="shared" si="58"/>
        <v>TRUE</v>
      </c>
      <c r="V343" s="11" t="str">
        <f t="shared" si="59"/>
        <v>TRUE</v>
      </c>
    </row>
    <row r="344" spans="1:22" ht="15.75">
      <c r="A344" s="21">
        <v>342</v>
      </c>
      <c r="B344" s="5" t="s">
        <v>1034</v>
      </c>
      <c r="C344" s="23" t="s">
        <v>3135</v>
      </c>
      <c r="D344" s="23" t="s">
        <v>77</v>
      </c>
      <c r="E344" s="5" t="s">
        <v>1035</v>
      </c>
      <c r="F344" s="71" t="s">
        <v>6103</v>
      </c>
      <c r="G344" s="22" t="s">
        <v>179</v>
      </c>
      <c r="H344" s="22" t="s">
        <v>179</v>
      </c>
      <c r="I344" s="5" t="s">
        <v>21</v>
      </c>
      <c r="J344" s="5" t="s">
        <v>5237</v>
      </c>
      <c r="K344" s="5" t="s">
        <v>1036</v>
      </c>
      <c r="L344" s="22"/>
      <c r="M344" s="8" t="str">
        <f t="shared" si="50"/>
        <v>Ok</v>
      </c>
      <c r="N344" s="9" t="b">
        <f t="shared" si="51"/>
        <v>0</v>
      </c>
      <c r="O344" s="9" t="b">
        <f t="shared" si="52"/>
        <v>0</v>
      </c>
      <c r="P344" s="8" t="str">
        <f t="shared" si="53"/>
        <v>FALSE</v>
      </c>
      <c r="Q344" s="8" t="str">
        <f t="shared" si="54"/>
        <v>FALSE</v>
      </c>
      <c r="R344" s="9" t="b">
        <f t="shared" si="55"/>
        <v>1</v>
      </c>
      <c r="S344" s="8" t="b">
        <f t="shared" si="56"/>
        <v>1</v>
      </c>
      <c r="T344" s="10" t="b">
        <f t="shared" si="57"/>
        <v>0</v>
      </c>
      <c r="U344" s="8" t="str">
        <f t="shared" si="58"/>
        <v>TRUE</v>
      </c>
      <c r="V344" s="11" t="str">
        <f t="shared" si="59"/>
        <v>TRUE</v>
      </c>
    </row>
    <row r="345" spans="1:22" ht="15.75">
      <c r="A345" s="21">
        <v>343</v>
      </c>
      <c r="B345" s="5" t="s">
        <v>1037</v>
      </c>
      <c r="C345" s="23" t="s">
        <v>3136</v>
      </c>
      <c r="D345" s="23" t="s">
        <v>34</v>
      </c>
      <c r="E345" s="5" t="s">
        <v>1038</v>
      </c>
      <c r="F345" s="71" t="s">
        <v>6103</v>
      </c>
      <c r="G345" s="22" t="s">
        <v>179</v>
      </c>
      <c r="H345" s="22" t="s">
        <v>179</v>
      </c>
      <c r="I345" s="5" t="s">
        <v>14</v>
      </c>
      <c r="J345" s="5" t="s">
        <v>5322</v>
      </c>
      <c r="K345" s="5" t="s">
        <v>1039</v>
      </c>
      <c r="L345" s="22"/>
      <c r="M345" s="8" t="str">
        <f t="shared" si="50"/>
        <v>Ok</v>
      </c>
      <c r="N345" s="9" t="b">
        <f t="shared" si="51"/>
        <v>0</v>
      </c>
      <c r="O345" s="9" t="b">
        <f t="shared" si="52"/>
        <v>0</v>
      </c>
      <c r="P345" s="8" t="str">
        <f t="shared" si="53"/>
        <v>FALSE</v>
      </c>
      <c r="Q345" s="8" t="str">
        <f t="shared" si="54"/>
        <v>FALSE</v>
      </c>
      <c r="R345" s="9" t="b">
        <f t="shared" si="55"/>
        <v>1</v>
      </c>
      <c r="S345" s="8" t="b">
        <f t="shared" si="56"/>
        <v>1</v>
      </c>
      <c r="T345" s="10" t="b">
        <f t="shared" si="57"/>
        <v>1</v>
      </c>
      <c r="U345" s="8" t="str">
        <f t="shared" si="58"/>
        <v>TRUE</v>
      </c>
      <c r="V345" s="11" t="str">
        <f t="shared" si="59"/>
        <v>TRUE</v>
      </c>
    </row>
    <row r="346" spans="1:22" ht="15.75">
      <c r="A346" s="21">
        <v>344</v>
      </c>
      <c r="B346" s="5" t="s">
        <v>1040</v>
      </c>
      <c r="C346" s="23" t="s">
        <v>3611</v>
      </c>
      <c r="D346" s="23" t="s">
        <v>59</v>
      </c>
      <c r="E346" s="5" t="s">
        <v>1041</v>
      </c>
      <c r="F346" s="71" t="s">
        <v>6103</v>
      </c>
      <c r="G346" s="22" t="s">
        <v>179</v>
      </c>
      <c r="H346" s="5" t="s">
        <v>36</v>
      </c>
      <c r="I346" s="5" t="s">
        <v>26</v>
      </c>
      <c r="J346" s="5" t="s">
        <v>5402</v>
      </c>
      <c r="K346" s="5" t="s">
        <v>1042</v>
      </c>
      <c r="L346" s="22"/>
      <c r="M346" s="8" t="str">
        <f t="shared" si="50"/>
        <v>Ok</v>
      </c>
      <c r="N346" s="9" t="b">
        <f t="shared" si="51"/>
        <v>1</v>
      </c>
      <c r="O346" s="9" t="b">
        <f t="shared" si="52"/>
        <v>1</v>
      </c>
      <c r="P346" s="8" t="str">
        <f t="shared" si="53"/>
        <v>FALSE</v>
      </c>
      <c r="Q346" s="8" t="str">
        <f t="shared" si="54"/>
        <v>FALSE</v>
      </c>
      <c r="R346" s="9" t="b">
        <f t="shared" si="55"/>
        <v>1</v>
      </c>
      <c r="S346" s="8" t="b">
        <f t="shared" si="56"/>
        <v>1</v>
      </c>
      <c r="T346" s="10" t="b">
        <f t="shared" si="57"/>
        <v>0</v>
      </c>
      <c r="U346" s="8" t="str">
        <f t="shared" si="58"/>
        <v>TRUE</v>
      </c>
      <c r="V346" s="11" t="str">
        <f t="shared" si="59"/>
        <v>TRUE</v>
      </c>
    </row>
    <row r="347" spans="1:22" ht="15.75">
      <c r="A347" s="21">
        <v>345</v>
      </c>
      <c r="B347" s="5" t="s">
        <v>1043</v>
      </c>
      <c r="C347" s="23" t="s">
        <v>3467</v>
      </c>
      <c r="D347" s="23" t="s">
        <v>77</v>
      </c>
      <c r="E347" s="5" t="s">
        <v>1044</v>
      </c>
      <c r="F347" s="71" t="s">
        <v>6103</v>
      </c>
      <c r="G347" s="22" t="s">
        <v>160</v>
      </c>
      <c r="H347" s="5" t="s">
        <v>3932</v>
      </c>
      <c r="I347" s="5" t="s">
        <v>14</v>
      </c>
      <c r="J347" s="5" t="s">
        <v>5137</v>
      </c>
      <c r="K347" s="5" t="s">
        <v>1045</v>
      </c>
      <c r="L347" s="22"/>
      <c r="M347" s="8" t="str">
        <f t="shared" si="50"/>
        <v>Ok</v>
      </c>
      <c r="N347" s="9" t="b">
        <f t="shared" si="51"/>
        <v>1</v>
      </c>
      <c r="O347" s="9" t="b">
        <f t="shared" si="52"/>
        <v>0</v>
      </c>
      <c r="P347" s="8" t="str">
        <f t="shared" si="53"/>
        <v>FALSE</v>
      </c>
      <c r="Q347" s="8" t="str">
        <f t="shared" si="54"/>
        <v>FALSE</v>
      </c>
      <c r="R347" s="9" t="b">
        <f t="shared" si="55"/>
        <v>0</v>
      </c>
      <c r="S347" s="8" t="b">
        <f t="shared" si="56"/>
        <v>0</v>
      </c>
      <c r="T347" s="10" t="b">
        <f t="shared" si="57"/>
        <v>1</v>
      </c>
      <c r="U347" s="8" t="str">
        <f t="shared" si="58"/>
        <v>TRUE</v>
      </c>
      <c r="V347" s="11" t="str">
        <f t="shared" si="59"/>
        <v>FALSE</v>
      </c>
    </row>
    <row r="348" spans="1:22" ht="15.75">
      <c r="A348" s="21">
        <v>346</v>
      </c>
      <c r="B348" s="5" t="s">
        <v>1046</v>
      </c>
      <c r="C348" s="23" t="s">
        <v>3612</v>
      </c>
      <c r="D348" s="23" t="s">
        <v>59</v>
      </c>
      <c r="E348" s="5" t="s">
        <v>1047</v>
      </c>
      <c r="F348" s="71" t="s">
        <v>6103</v>
      </c>
      <c r="G348" s="22" t="s">
        <v>160</v>
      </c>
      <c r="H348" s="5" t="s">
        <v>36</v>
      </c>
      <c r="I348" s="5" t="s">
        <v>26</v>
      </c>
      <c r="J348" s="5" t="s">
        <v>5559</v>
      </c>
      <c r="K348" s="5" t="s">
        <v>1048</v>
      </c>
      <c r="L348" s="22"/>
      <c r="M348" s="8" t="str">
        <f t="shared" si="50"/>
        <v>Ok</v>
      </c>
      <c r="N348" s="9" t="b">
        <f t="shared" si="51"/>
        <v>1</v>
      </c>
      <c r="O348" s="9" t="b">
        <f t="shared" si="52"/>
        <v>1</v>
      </c>
      <c r="P348" s="8" t="str">
        <f t="shared" si="53"/>
        <v>FALSE</v>
      </c>
      <c r="Q348" s="8" t="str">
        <f t="shared" si="54"/>
        <v>FALSE</v>
      </c>
      <c r="R348" s="9" t="b">
        <f t="shared" si="55"/>
        <v>0</v>
      </c>
      <c r="S348" s="8" t="b">
        <f t="shared" si="56"/>
        <v>1</v>
      </c>
      <c r="T348" s="10" t="b">
        <f t="shared" si="57"/>
        <v>0</v>
      </c>
      <c r="U348" s="8" t="str">
        <f t="shared" si="58"/>
        <v>FALSE</v>
      </c>
      <c r="V348" s="11" t="str">
        <f t="shared" si="59"/>
        <v>TRUE</v>
      </c>
    </row>
    <row r="349" spans="1:22" ht="15.75">
      <c r="A349" s="21">
        <v>347</v>
      </c>
      <c r="B349" s="5" t="s">
        <v>1049</v>
      </c>
      <c r="C349" s="23" t="s">
        <v>3359</v>
      </c>
      <c r="D349" s="23" t="s">
        <v>34</v>
      </c>
      <c r="E349" s="5" t="s">
        <v>1050</v>
      </c>
      <c r="F349" s="71" t="s">
        <v>6103</v>
      </c>
      <c r="G349" s="22" t="s">
        <v>3933</v>
      </c>
      <c r="H349" s="5" t="s">
        <v>3932</v>
      </c>
      <c r="I349" s="5" t="s">
        <v>42</v>
      </c>
      <c r="J349" s="5" t="s">
        <v>4964</v>
      </c>
      <c r="K349" s="5" t="s">
        <v>1051</v>
      </c>
      <c r="L349" s="22"/>
      <c r="M349" s="8" t="str">
        <f t="shared" si="50"/>
        <v>Ok</v>
      </c>
      <c r="N349" s="9" t="b">
        <f t="shared" si="51"/>
        <v>1</v>
      </c>
      <c r="O349" s="9" t="b">
        <f t="shared" si="52"/>
        <v>0</v>
      </c>
      <c r="P349" s="8" t="str">
        <f t="shared" si="53"/>
        <v>FALSE</v>
      </c>
      <c r="Q349" s="8" t="str">
        <f t="shared" si="54"/>
        <v>FALSE</v>
      </c>
      <c r="R349" s="9" t="b">
        <f t="shared" si="55"/>
        <v>0</v>
      </c>
      <c r="S349" s="8" t="b">
        <f t="shared" si="56"/>
        <v>0</v>
      </c>
      <c r="T349" s="10" t="b">
        <f t="shared" si="57"/>
        <v>1</v>
      </c>
      <c r="U349" s="8" t="str">
        <f t="shared" si="58"/>
        <v>TRUE</v>
      </c>
      <c r="V349" s="11" t="str">
        <f t="shared" si="59"/>
        <v>TRUE</v>
      </c>
    </row>
    <row r="350" spans="1:22" ht="15.75">
      <c r="A350" s="21">
        <v>348</v>
      </c>
      <c r="B350" s="5" t="s">
        <v>1052</v>
      </c>
      <c r="C350" s="23" t="s">
        <v>3555</v>
      </c>
      <c r="D350" s="23" t="s">
        <v>77</v>
      </c>
      <c r="E350" s="5" t="s">
        <v>1053</v>
      </c>
      <c r="F350" s="71" t="s">
        <v>6103</v>
      </c>
      <c r="G350" s="22" t="s">
        <v>12</v>
      </c>
      <c r="H350" s="5" t="s">
        <v>13</v>
      </c>
      <c r="I350" s="5" t="s">
        <v>50</v>
      </c>
      <c r="J350" s="5" t="s">
        <v>5387</v>
      </c>
      <c r="K350" s="5" t="s">
        <v>1054</v>
      </c>
      <c r="L350" s="22"/>
      <c r="M350" s="8" t="str">
        <f t="shared" si="50"/>
        <v>Ok</v>
      </c>
      <c r="N350" s="9" t="b">
        <f t="shared" si="51"/>
        <v>1</v>
      </c>
      <c r="O350" s="9" t="b">
        <f t="shared" si="52"/>
        <v>0</v>
      </c>
      <c r="P350" s="8" t="str">
        <f t="shared" si="53"/>
        <v>FALSE</v>
      </c>
      <c r="Q350" s="8" t="str">
        <f t="shared" si="54"/>
        <v>FALSE</v>
      </c>
      <c r="R350" s="9" t="b">
        <f t="shared" si="55"/>
        <v>1</v>
      </c>
      <c r="S350" s="8" t="b">
        <f t="shared" si="56"/>
        <v>0</v>
      </c>
      <c r="T350" s="10" t="b">
        <f t="shared" si="57"/>
        <v>0</v>
      </c>
      <c r="U350" s="8" t="str">
        <f t="shared" si="58"/>
        <v>TRUE</v>
      </c>
      <c r="V350" s="11" t="str">
        <f t="shared" si="59"/>
        <v>TRUE</v>
      </c>
    </row>
    <row r="351" spans="1:22" ht="15.75">
      <c r="A351" s="21">
        <v>349</v>
      </c>
      <c r="B351" s="5" t="s">
        <v>1055</v>
      </c>
      <c r="C351" s="23" t="s">
        <v>3008</v>
      </c>
      <c r="D351" s="23" t="s">
        <v>34</v>
      </c>
      <c r="E351" s="5" t="s">
        <v>1056</v>
      </c>
      <c r="F351" s="71" t="s">
        <v>6103</v>
      </c>
      <c r="G351" s="22" t="s">
        <v>74</v>
      </c>
      <c r="H351" s="5" t="s">
        <v>71</v>
      </c>
      <c r="I351" s="5" t="s">
        <v>14</v>
      </c>
      <c r="J351" s="5" t="s">
        <v>5257</v>
      </c>
      <c r="K351" s="5" t="s">
        <v>1057</v>
      </c>
      <c r="L351" s="22"/>
      <c r="M351" s="8" t="str">
        <f t="shared" si="50"/>
        <v>Ok</v>
      </c>
      <c r="N351" s="9" t="b">
        <f t="shared" si="51"/>
        <v>0</v>
      </c>
      <c r="O351" s="9" t="b">
        <f t="shared" si="52"/>
        <v>0</v>
      </c>
      <c r="P351" s="8" t="str">
        <f t="shared" si="53"/>
        <v>FALSE</v>
      </c>
      <c r="Q351" s="8" t="str">
        <f t="shared" si="54"/>
        <v>FALSE</v>
      </c>
      <c r="R351" s="9" t="b">
        <f t="shared" si="55"/>
        <v>0</v>
      </c>
      <c r="S351" s="8" t="b">
        <f t="shared" si="56"/>
        <v>1</v>
      </c>
      <c r="T351" s="10" t="b">
        <f t="shared" si="57"/>
        <v>1</v>
      </c>
      <c r="U351" s="8" t="str">
        <f t="shared" si="58"/>
        <v>TRUE</v>
      </c>
      <c r="V351" s="11" t="str">
        <f t="shared" si="59"/>
        <v>FALSE</v>
      </c>
    </row>
    <row r="352" spans="1:22" ht="15.75">
      <c r="A352" s="21">
        <v>350</v>
      </c>
      <c r="B352" s="5" t="s">
        <v>1058</v>
      </c>
      <c r="C352" s="23" t="s">
        <v>3556</v>
      </c>
      <c r="D352" s="23" t="s">
        <v>77</v>
      </c>
      <c r="E352" s="5" t="s">
        <v>1059</v>
      </c>
      <c r="F352" s="71" t="s">
        <v>6103</v>
      </c>
      <c r="G352" s="22" t="s">
        <v>12</v>
      </c>
      <c r="H352" s="5" t="s">
        <v>36</v>
      </c>
      <c r="I352" s="5" t="s">
        <v>56</v>
      </c>
      <c r="J352" s="12" t="s">
        <v>5718</v>
      </c>
      <c r="K352" s="5" t="s">
        <v>1060</v>
      </c>
      <c r="L352" s="22"/>
      <c r="M352" s="8" t="str">
        <f t="shared" si="50"/>
        <v>Ok</v>
      </c>
      <c r="N352" s="9" t="b">
        <f t="shared" si="51"/>
        <v>1</v>
      </c>
      <c r="O352" s="9" t="b">
        <f t="shared" si="52"/>
        <v>0</v>
      </c>
      <c r="P352" s="8" t="str">
        <f t="shared" si="53"/>
        <v>FALSE</v>
      </c>
      <c r="Q352" s="8" t="str">
        <f t="shared" si="54"/>
        <v>FALSE</v>
      </c>
      <c r="R352" s="9" t="b">
        <f t="shared" si="55"/>
        <v>1</v>
      </c>
      <c r="S352" s="8" t="b">
        <f t="shared" si="56"/>
        <v>1</v>
      </c>
      <c r="T352" s="10" t="b">
        <f t="shared" si="57"/>
        <v>1</v>
      </c>
      <c r="U352" s="8" t="str">
        <f t="shared" si="58"/>
        <v>FALSE</v>
      </c>
      <c r="V352" s="11" t="str">
        <f t="shared" si="59"/>
        <v>TRUE</v>
      </c>
    </row>
    <row r="353" spans="1:22" ht="15.75">
      <c r="A353" s="21">
        <v>351</v>
      </c>
      <c r="B353" s="5" t="s">
        <v>1061</v>
      </c>
      <c r="C353" s="23" t="s">
        <v>3892</v>
      </c>
      <c r="D353" s="23" t="s">
        <v>17</v>
      </c>
      <c r="E353" s="5" t="s">
        <v>1062</v>
      </c>
      <c r="F353" s="71" t="s">
        <v>6103</v>
      </c>
      <c r="G353" s="22" t="s">
        <v>85</v>
      </c>
      <c r="H353" s="5" t="s">
        <v>86</v>
      </c>
      <c r="I353" s="5" t="s">
        <v>50</v>
      </c>
      <c r="J353" s="5" t="s">
        <v>5339</v>
      </c>
      <c r="K353" s="5">
        <v>8975646562</v>
      </c>
      <c r="L353" s="22"/>
      <c r="M353" s="8" t="str">
        <f t="shared" si="50"/>
        <v>Ok</v>
      </c>
      <c r="N353" s="9" t="b">
        <f t="shared" si="51"/>
        <v>0</v>
      </c>
      <c r="O353" s="9" t="b">
        <f t="shared" si="52"/>
        <v>1</v>
      </c>
      <c r="P353" s="8" t="str">
        <f t="shared" si="53"/>
        <v>FALSE</v>
      </c>
      <c r="Q353" s="8" t="str">
        <f t="shared" si="54"/>
        <v>FALSE</v>
      </c>
      <c r="R353" s="9" t="b">
        <f t="shared" si="55"/>
        <v>1</v>
      </c>
      <c r="S353" s="8" t="b">
        <f t="shared" si="56"/>
        <v>0</v>
      </c>
      <c r="T353" s="10" t="b">
        <f t="shared" si="57"/>
        <v>0</v>
      </c>
      <c r="U353" s="8" t="str">
        <f t="shared" si="58"/>
        <v>TRUE</v>
      </c>
      <c r="V353" s="11" t="str">
        <f t="shared" si="59"/>
        <v>FALSE</v>
      </c>
    </row>
    <row r="354" spans="1:22" ht="15.75">
      <c r="A354" s="21">
        <v>352</v>
      </c>
      <c r="B354" s="5" t="s">
        <v>1063</v>
      </c>
      <c r="C354" s="23" t="s">
        <v>3468</v>
      </c>
      <c r="D354" s="23" t="s">
        <v>17</v>
      </c>
      <c r="E354" s="5" t="s">
        <v>1064</v>
      </c>
      <c r="F354" s="71" t="s">
        <v>6103</v>
      </c>
      <c r="G354" s="22" t="s">
        <v>160</v>
      </c>
      <c r="H354" s="5" t="s">
        <v>3932</v>
      </c>
      <c r="I354" s="5" t="s">
        <v>26</v>
      </c>
      <c r="J354" s="5" t="s">
        <v>5308</v>
      </c>
      <c r="K354" s="5" t="s">
        <v>1065</v>
      </c>
      <c r="L354" s="22"/>
      <c r="M354" s="8" t="str">
        <f t="shared" si="50"/>
        <v>Ok</v>
      </c>
      <c r="N354" s="9" t="b">
        <f t="shared" si="51"/>
        <v>1</v>
      </c>
      <c r="O354" s="9" t="b">
        <f t="shared" si="52"/>
        <v>1</v>
      </c>
      <c r="P354" s="8" t="str">
        <f t="shared" si="53"/>
        <v>FALSE</v>
      </c>
      <c r="Q354" s="8" t="str">
        <f t="shared" si="54"/>
        <v>FALSE</v>
      </c>
      <c r="R354" s="9" t="b">
        <f t="shared" si="55"/>
        <v>0</v>
      </c>
      <c r="S354" s="8" t="b">
        <f t="shared" si="56"/>
        <v>0</v>
      </c>
      <c r="T354" s="10" t="b">
        <f t="shared" si="57"/>
        <v>0</v>
      </c>
      <c r="U354" s="8" t="str">
        <f t="shared" si="58"/>
        <v>TRUE</v>
      </c>
      <c r="V354" s="11" t="str">
        <f t="shared" si="59"/>
        <v>TRUE</v>
      </c>
    </row>
    <row r="355" spans="1:22" ht="15.75">
      <c r="A355" s="21">
        <v>353</v>
      </c>
      <c r="B355" s="5" t="s">
        <v>1066</v>
      </c>
      <c r="C355" s="23" t="s">
        <v>3298</v>
      </c>
      <c r="D355" s="23" t="s">
        <v>77</v>
      </c>
      <c r="E355" s="5" t="s">
        <v>1067</v>
      </c>
      <c r="F355" s="71" t="s">
        <v>6103</v>
      </c>
      <c r="G355" s="22" t="s">
        <v>179</v>
      </c>
      <c r="H355" s="5" t="s">
        <v>3932</v>
      </c>
      <c r="I355" s="5" t="s">
        <v>26</v>
      </c>
      <c r="J355" s="5" t="s">
        <v>5677</v>
      </c>
      <c r="K355" s="5" t="s">
        <v>1068</v>
      </c>
      <c r="L355" s="22"/>
      <c r="M355" s="8" t="str">
        <f t="shared" si="50"/>
        <v>Ok</v>
      </c>
      <c r="N355" s="9" t="b">
        <f t="shared" si="51"/>
        <v>1</v>
      </c>
      <c r="O355" s="9" t="b">
        <f t="shared" si="52"/>
        <v>0</v>
      </c>
      <c r="P355" s="8" t="str">
        <f t="shared" si="53"/>
        <v>FALSE</v>
      </c>
      <c r="Q355" s="8" t="str">
        <f t="shared" si="54"/>
        <v>FALSE</v>
      </c>
      <c r="R355" s="9" t="b">
        <f t="shared" si="55"/>
        <v>1</v>
      </c>
      <c r="S355" s="8" t="b">
        <f t="shared" si="56"/>
        <v>0</v>
      </c>
      <c r="T355" s="10" t="b">
        <f t="shared" si="57"/>
        <v>0</v>
      </c>
      <c r="U355" s="8" t="str">
        <f t="shared" si="58"/>
        <v>FALSE</v>
      </c>
      <c r="V355" s="11" t="str">
        <f t="shared" si="59"/>
        <v>FALSE</v>
      </c>
    </row>
    <row r="356" spans="1:22" ht="15.75">
      <c r="A356" s="21">
        <v>354</v>
      </c>
      <c r="B356" s="5" t="s">
        <v>1069</v>
      </c>
      <c r="C356" s="23" t="s">
        <v>3299</v>
      </c>
      <c r="D356" s="23" t="s">
        <v>77</v>
      </c>
      <c r="E356" s="5" t="s">
        <v>1070</v>
      </c>
      <c r="F356" s="71" t="s">
        <v>6103</v>
      </c>
      <c r="G356" s="22" t="s">
        <v>179</v>
      </c>
      <c r="H356" s="5" t="s">
        <v>3932</v>
      </c>
      <c r="I356" s="5" t="s">
        <v>56</v>
      </c>
      <c r="J356" s="5" t="s">
        <v>5696</v>
      </c>
      <c r="K356" s="5" t="s">
        <v>1071</v>
      </c>
      <c r="L356" s="22"/>
      <c r="M356" s="8" t="str">
        <f t="shared" si="50"/>
        <v>Ok</v>
      </c>
      <c r="N356" s="9" t="b">
        <f t="shared" si="51"/>
        <v>1</v>
      </c>
      <c r="O356" s="9" t="b">
        <f t="shared" si="52"/>
        <v>0</v>
      </c>
      <c r="P356" s="8" t="str">
        <f t="shared" si="53"/>
        <v>FALSE</v>
      </c>
      <c r="Q356" s="8" t="str">
        <f t="shared" si="54"/>
        <v>FALSE</v>
      </c>
      <c r="R356" s="9" t="b">
        <f t="shared" si="55"/>
        <v>1</v>
      </c>
      <c r="S356" s="8" t="b">
        <f t="shared" si="56"/>
        <v>0</v>
      </c>
      <c r="T356" s="10" t="b">
        <f t="shared" si="57"/>
        <v>1</v>
      </c>
      <c r="U356" s="8" t="str">
        <f t="shared" si="58"/>
        <v>FALSE</v>
      </c>
      <c r="V356" s="11" t="str">
        <f t="shared" si="59"/>
        <v>TRUE</v>
      </c>
    </row>
    <row r="357" spans="1:22" ht="15.75">
      <c r="A357" s="21">
        <v>355</v>
      </c>
      <c r="B357" s="5" t="s">
        <v>1072</v>
      </c>
      <c r="C357" s="23" t="s">
        <v>3469</v>
      </c>
      <c r="D357" s="23" t="s">
        <v>77</v>
      </c>
      <c r="E357" s="5" t="s">
        <v>1073</v>
      </c>
      <c r="F357" s="71" t="s">
        <v>6103</v>
      </c>
      <c r="G357" s="22" t="s">
        <v>160</v>
      </c>
      <c r="H357" s="5" t="s">
        <v>3932</v>
      </c>
      <c r="I357" s="5" t="s">
        <v>21</v>
      </c>
      <c r="J357" s="5" t="s">
        <v>5432</v>
      </c>
      <c r="K357" s="5" t="s">
        <v>1074</v>
      </c>
      <c r="L357" s="22"/>
      <c r="M357" s="8" t="str">
        <f t="shared" si="50"/>
        <v>Ok</v>
      </c>
      <c r="N357" s="9" t="b">
        <f t="shared" si="51"/>
        <v>1</v>
      </c>
      <c r="O357" s="9" t="b">
        <f t="shared" si="52"/>
        <v>0</v>
      </c>
      <c r="P357" s="8" t="str">
        <f t="shared" si="53"/>
        <v>FALSE</v>
      </c>
      <c r="Q357" s="8" t="str">
        <f t="shared" si="54"/>
        <v>FALSE</v>
      </c>
      <c r="R357" s="9" t="b">
        <f t="shared" si="55"/>
        <v>0</v>
      </c>
      <c r="S357" s="8" t="b">
        <f t="shared" si="56"/>
        <v>0</v>
      </c>
      <c r="T357" s="10" t="b">
        <f t="shared" si="57"/>
        <v>0</v>
      </c>
      <c r="U357" s="8" t="str">
        <f t="shared" si="58"/>
        <v>TRUE</v>
      </c>
      <c r="V357" s="11" t="str">
        <f t="shared" si="59"/>
        <v>TRUE</v>
      </c>
    </row>
    <row r="358" spans="1:22" ht="15.75">
      <c r="A358" s="21">
        <v>356</v>
      </c>
      <c r="B358" s="5" t="s">
        <v>1075</v>
      </c>
      <c r="C358" s="23" t="s">
        <v>3360</v>
      </c>
      <c r="D358" s="23" t="s">
        <v>34</v>
      </c>
      <c r="E358" s="5" t="s">
        <v>1076</v>
      </c>
      <c r="F358" s="71" t="s">
        <v>6103</v>
      </c>
      <c r="G358" s="22" t="s">
        <v>3933</v>
      </c>
      <c r="H358" s="5" t="s">
        <v>3932</v>
      </c>
      <c r="I358" s="5" t="s">
        <v>26</v>
      </c>
      <c r="J358" s="5" t="s">
        <v>5349</v>
      </c>
      <c r="K358" s="5" t="s">
        <v>1077</v>
      </c>
      <c r="L358" s="22"/>
      <c r="M358" s="8" t="str">
        <f t="shared" si="50"/>
        <v>Ok</v>
      </c>
      <c r="N358" s="9" t="b">
        <f t="shared" si="51"/>
        <v>1</v>
      </c>
      <c r="O358" s="9" t="b">
        <f t="shared" si="52"/>
        <v>0</v>
      </c>
      <c r="P358" s="8" t="str">
        <f t="shared" si="53"/>
        <v>FALSE</v>
      </c>
      <c r="Q358" s="8" t="str">
        <f t="shared" si="54"/>
        <v>FALSE</v>
      </c>
      <c r="R358" s="9" t="b">
        <f t="shared" si="55"/>
        <v>0</v>
      </c>
      <c r="S358" s="8" t="b">
        <f t="shared" si="56"/>
        <v>0</v>
      </c>
      <c r="T358" s="10" t="b">
        <f t="shared" si="57"/>
        <v>0</v>
      </c>
      <c r="U358" s="8" t="str">
        <f t="shared" si="58"/>
        <v>TRUE</v>
      </c>
      <c r="V358" s="11" t="str">
        <f t="shared" si="59"/>
        <v>TRUE</v>
      </c>
    </row>
    <row r="359" spans="1:22" ht="15.75">
      <c r="A359" s="21">
        <v>357</v>
      </c>
      <c r="B359" s="5" t="s">
        <v>1078</v>
      </c>
      <c r="C359" s="23" t="s">
        <v>3090</v>
      </c>
      <c r="D359" s="23" t="s">
        <v>59</v>
      </c>
      <c r="E359" s="5" t="s">
        <v>1079</v>
      </c>
      <c r="F359" s="71" t="s">
        <v>6103</v>
      </c>
      <c r="G359" s="22" t="s">
        <v>3934</v>
      </c>
      <c r="H359" s="5" t="s">
        <v>13</v>
      </c>
      <c r="I359" s="5" t="s">
        <v>21</v>
      </c>
      <c r="J359" s="5" t="s">
        <v>5383</v>
      </c>
      <c r="K359" s="5" t="s">
        <v>1080</v>
      </c>
      <c r="L359" s="22"/>
      <c r="M359" s="8" t="str">
        <f t="shared" si="50"/>
        <v>Ok</v>
      </c>
      <c r="N359" s="9" t="b">
        <f t="shared" si="51"/>
        <v>0</v>
      </c>
      <c r="O359" s="9" t="b">
        <f t="shared" si="52"/>
        <v>1</v>
      </c>
      <c r="P359" s="8" t="str">
        <f t="shared" si="53"/>
        <v>FALSE</v>
      </c>
      <c r="Q359" s="8" t="str">
        <f t="shared" si="54"/>
        <v>FALSE</v>
      </c>
      <c r="R359" s="9" t="b">
        <f t="shared" si="55"/>
        <v>0</v>
      </c>
      <c r="S359" s="8" t="b">
        <f t="shared" si="56"/>
        <v>0</v>
      </c>
      <c r="T359" s="10" t="b">
        <f t="shared" si="57"/>
        <v>0</v>
      </c>
      <c r="U359" s="8" t="str">
        <f t="shared" si="58"/>
        <v>TRUE</v>
      </c>
      <c r="V359" s="11" t="str">
        <f t="shared" si="59"/>
        <v>TRUE</v>
      </c>
    </row>
    <row r="360" spans="1:22" ht="15.75">
      <c r="A360" s="21">
        <v>358</v>
      </c>
      <c r="B360" s="5" t="s">
        <v>1081</v>
      </c>
      <c r="C360" s="23" t="s">
        <v>3781</v>
      </c>
      <c r="D360" s="23" t="s">
        <v>59</v>
      </c>
      <c r="E360" s="5" t="s">
        <v>1082</v>
      </c>
      <c r="F360" s="71" t="s">
        <v>6103</v>
      </c>
      <c r="G360" s="22" t="s">
        <v>24</v>
      </c>
      <c r="H360" s="5" t="s">
        <v>25</v>
      </c>
      <c r="I360" s="5" t="s">
        <v>56</v>
      </c>
      <c r="J360" s="5" t="s">
        <v>5708</v>
      </c>
      <c r="K360" s="5" t="s">
        <v>1083</v>
      </c>
      <c r="L360" s="22"/>
      <c r="M360" s="8" t="str">
        <f t="shared" si="50"/>
        <v>Ok</v>
      </c>
      <c r="N360" s="9" t="b">
        <f t="shared" si="51"/>
        <v>0</v>
      </c>
      <c r="O360" s="9" t="b">
        <f t="shared" si="52"/>
        <v>1</v>
      </c>
      <c r="P360" s="8" t="str">
        <f t="shared" si="53"/>
        <v>FALSE</v>
      </c>
      <c r="Q360" s="8" t="str">
        <f t="shared" si="54"/>
        <v>FALSE</v>
      </c>
      <c r="R360" s="9" t="b">
        <f t="shared" si="55"/>
        <v>0</v>
      </c>
      <c r="S360" s="8" t="b">
        <f t="shared" si="56"/>
        <v>0</v>
      </c>
      <c r="T360" s="10" t="b">
        <f t="shared" si="57"/>
        <v>1</v>
      </c>
      <c r="U360" s="8" t="str">
        <f t="shared" si="58"/>
        <v>FALSE</v>
      </c>
      <c r="V360" s="11" t="str">
        <f t="shared" si="59"/>
        <v>FALSE</v>
      </c>
    </row>
    <row r="361" spans="1:22" ht="15.75">
      <c r="A361" s="21">
        <v>359</v>
      </c>
      <c r="B361" s="5" t="s">
        <v>1084</v>
      </c>
      <c r="C361" s="23" t="s">
        <v>3137</v>
      </c>
      <c r="D361" s="23" t="s">
        <v>77</v>
      </c>
      <c r="E361" s="5" t="s">
        <v>1085</v>
      </c>
      <c r="F361" s="71" t="s">
        <v>6103</v>
      </c>
      <c r="G361" s="22" t="s">
        <v>179</v>
      </c>
      <c r="H361" s="22" t="s">
        <v>3932</v>
      </c>
      <c r="I361" s="5" t="s">
        <v>56</v>
      </c>
      <c r="J361" s="5" t="s">
        <v>5243</v>
      </c>
      <c r="K361" s="5" t="s">
        <v>1086</v>
      </c>
      <c r="L361" s="22"/>
      <c r="M361" s="8" t="str">
        <f t="shared" si="50"/>
        <v>Ok</v>
      </c>
      <c r="N361" s="9" t="b">
        <f t="shared" si="51"/>
        <v>0</v>
      </c>
      <c r="O361" s="9" t="b">
        <f t="shared" si="52"/>
        <v>0</v>
      </c>
      <c r="P361" s="8" t="str">
        <f t="shared" si="53"/>
        <v>FALSE</v>
      </c>
      <c r="Q361" s="8" t="str">
        <f t="shared" si="54"/>
        <v>FALSE</v>
      </c>
      <c r="R361" s="9" t="b">
        <f t="shared" si="55"/>
        <v>1</v>
      </c>
      <c r="S361" s="8" t="b">
        <f t="shared" si="56"/>
        <v>0</v>
      </c>
      <c r="T361" s="10" t="b">
        <f t="shared" si="57"/>
        <v>1</v>
      </c>
      <c r="U361" s="8" t="str">
        <f t="shared" si="58"/>
        <v>TRUE</v>
      </c>
      <c r="V361" s="11" t="str">
        <f t="shared" si="59"/>
        <v>TRUE</v>
      </c>
    </row>
    <row r="362" spans="1:22" ht="15.75">
      <c r="A362" s="21">
        <v>360</v>
      </c>
      <c r="B362" s="5" t="s">
        <v>1087</v>
      </c>
      <c r="C362" s="23" t="s">
        <v>3695</v>
      </c>
      <c r="D362" s="23" t="s">
        <v>59</v>
      </c>
      <c r="E362" s="5" t="s">
        <v>1088</v>
      </c>
      <c r="F362" s="71" t="s">
        <v>6103</v>
      </c>
      <c r="G362" s="22" t="s">
        <v>3934</v>
      </c>
      <c r="H362" s="5" t="s">
        <v>13</v>
      </c>
      <c r="I362" s="5" t="s">
        <v>42</v>
      </c>
      <c r="J362" s="5" t="s">
        <v>5154</v>
      </c>
      <c r="K362" s="5" t="s">
        <v>1089</v>
      </c>
      <c r="L362" s="22"/>
      <c r="M362" s="8" t="str">
        <f t="shared" si="50"/>
        <v>Ok</v>
      </c>
      <c r="N362" s="9" t="b">
        <f t="shared" si="51"/>
        <v>0</v>
      </c>
      <c r="O362" s="9" t="b">
        <f t="shared" si="52"/>
        <v>1</v>
      </c>
      <c r="P362" s="8" t="str">
        <f t="shared" si="53"/>
        <v>FALSE</v>
      </c>
      <c r="Q362" s="8" t="str">
        <f t="shared" si="54"/>
        <v>FALSE</v>
      </c>
      <c r="R362" s="9" t="b">
        <f t="shared" si="55"/>
        <v>0</v>
      </c>
      <c r="S362" s="8" t="b">
        <f t="shared" si="56"/>
        <v>0</v>
      </c>
      <c r="T362" s="10" t="b">
        <f t="shared" si="57"/>
        <v>1</v>
      </c>
      <c r="U362" s="8" t="str">
        <f t="shared" si="58"/>
        <v>TRUE</v>
      </c>
      <c r="V362" s="11" t="str">
        <f t="shared" si="59"/>
        <v>TRUE</v>
      </c>
    </row>
    <row r="363" spans="1:22" ht="15.75">
      <c r="A363" s="21">
        <v>361</v>
      </c>
      <c r="B363" s="5" t="s">
        <v>1090</v>
      </c>
      <c r="C363" s="23" t="s">
        <v>3893</v>
      </c>
      <c r="D363" s="23" t="s">
        <v>17</v>
      </c>
      <c r="E363" s="5" t="s">
        <v>1091</v>
      </c>
      <c r="F363" s="71" t="s">
        <v>6103</v>
      </c>
      <c r="G363" s="22" t="s">
        <v>119</v>
      </c>
      <c r="H363" s="5" t="s">
        <v>120</v>
      </c>
      <c r="I363" s="5" t="s">
        <v>42</v>
      </c>
      <c r="J363" s="5" t="s">
        <v>4995</v>
      </c>
      <c r="K363" s="5" t="s">
        <v>1092</v>
      </c>
      <c r="L363" s="22"/>
      <c r="M363" s="8" t="str">
        <f t="shared" si="50"/>
        <v>Ok</v>
      </c>
      <c r="N363" s="9" t="b">
        <f t="shared" si="51"/>
        <v>0</v>
      </c>
      <c r="O363" s="9" t="b">
        <f t="shared" si="52"/>
        <v>1</v>
      </c>
      <c r="P363" s="8" t="str">
        <f t="shared" si="53"/>
        <v>FALSE</v>
      </c>
      <c r="Q363" s="8" t="str">
        <f t="shared" si="54"/>
        <v>FALSE</v>
      </c>
      <c r="R363" s="9" t="b">
        <f t="shared" si="55"/>
        <v>0</v>
      </c>
      <c r="S363" s="8" t="b">
        <f t="shared" si="56"/>
        <v>1</v>
      </c>
      <c r="T363" s="10" t="b">
        <f t="shared" si="57"/>
        <v>1</v>
      </c>
      <c r="U363" s="8" t="str">
        <f t="shared" si="58"/>
        <v>TRUE</v>
      </c>
      <c r="V363" s="11" t="str">
        <f t="shared" si="59"/>
        <v>TRUE</v>
      </c>
    </row>
    <row r="364" spans="1:22" ht="15.75">
      <c r="A364" s="21">
        <v>362</v>
      </c>
      <c r="B364" s="5" t="s">
        <v>1093</v>
      </c>
      <c r="C364" s="23" t="s">
        <v>3009</v>
      </c>
      <c r="D364" s="23" t="s">
        <v>34</v>
      </c>
      <c r="E364" s="5" t="s">
        <v>1094</v>
      </c>
      <c r="F364" s="71" t="s">
        <v>6103</v>
      </c>
      <c r="G364" s="22" t="s">
        <v>74</v>
      </c>
      <c r="H364" s="5" t="s">
        <v>71</v>
      </c>
      <c r="I364" s="5" t="s">
        <v>21</v>
      </c>
      <c r="J364" s="5" t="s">
        <v>4996</v>
      </c>
      <c r="K364" s="5">
        <v>89756465581</v>
      </c>
      <c r="L364" s="22"/>
      <c r="M364" s="8" t="str">
        <f t="shared" si="50"/>
        <v>Ok</v>
      </c>
      <c r="N364" s="9" t="b">
        <f t="shared" si="51"/>
        <v>0</v>
      </c>
      <c r="O364" s="9" t="b">
        <f t="shared" si="52"/>
        <v>0</v>
      </c>
      <c r="P364" s="8" t="str">
        <f t="shared" si="53"/>
        <v>FALSE</v>
      </c>
      <c r="Q364" s="8" t="str">
        <f t="shared" si="54"/>
        <v>FALSE</v>
      </c>
      <c r="R364" s="9" t="b">
        <f t="shared" si="55"/>
        <v>0</v>
      </c>
      <c r="S364" s="8" t="b">
        <f t="shared" si="56"/>
        <v>1</v>
      </c>
      <c r="T364" s="10" t="b">
        <f t="shared" si="57"/>
        <v>0</v>
      </c>
      <c r="U364" s="8" t="str">
        <f t="shared" si="58"/>
        <v>TRUE</v>
      </c>
      <c r="V364" s="11" t="str">
        <f t="shared" si="59"/>
        <v>FALSE</v>
      </c>
    </row>
    <row r="365" spans="1:22" ht="15.75">
      <c r="A365" s="21">
        <v>363</v>
      </c>
      <c r="B365" s="5" t="s">
        <v>1095</v>
      </c>
      <c r="C365" s="23" t="s">
        <v>3300</v>
      </c>
      <c r="D365" s="23" t="s">
        <v>77</v>
      </c>
      <c r="E365" s="5" t="s">
        <v>1096</v>
      </c>
      <c r="F365" s="71" t="s">
        <v>6103</v>
      </c>
      <c r="G365" s="22" t="s">
        <v>179</v>
      </c>
      <c r="H365" s="5" t="s">
        <v>3932</v>
      </c>
      <c r="I365" s="5" t="s">
        <v>67</v>
      </c>
      <c r="J365" s="5" t="s">
        <v>5277</v>
      </c>
      <c r="K365" s="5" t="s">
        <v>1097</v>
      </c>
      <c r="L365" s="22"/>
      <c r="M365" s="8" t="str">
        <f t="shared" si="50"/>
        <v>Ok</v>
      </c>
      <c r="N365" s="9" t="b">
        <f t="shared" si="51"/>
        <v>1</v>
      </c>
      <c r="O365" s="9" t="b">
        <f t="shared" si="52"/>
        <v>0</v>
      </c>
      <c r="P365" s="8" t="str">
        <f t="shared" si="53"/>
        <v>FALSE</v>
      </c>
      <c r="Q365" s="8" t="str">
        <f t="shared" si="54"/>
        <v>FALSE</v>
      </c>
      <c r="R365" s="9" t="b">
        <f t="shared" si="55"/>
        <v>1</v>
      </c>
      <c r="S365" s="8" t="b">
        <f t="shared" si="56"/>
        <v>0</v>
      </c>
      <c r="T365" s="10" t="b">
        <f t="shared" si="57"/>
        <v>0</v>
      </c>
      <c r="U365" s="8" t="str">
        <f t="shared" si="58"/>
        <v>TRUE</v>
      </c>
      <c r="V365" s="11" t="str">
        <f t="shared" si="59"/>
        <v>TRUE</v>
      </c>
    </row>
    <row r="366" spans="1:22" ht="15.75">
      <c r="A366" s="21">
        <v>364</v>
      </c>
      <c r="B366" s="5" t="s">
        <v>1098</v>
      </c>
      <c r="C366" s="23" t="s">
        <v>3301</v>
      </c>
      <c r="D366" s="23" t="s">
        <v>77</v>
      </c>
      <c r="E366" s="5" t="s">
        <v>1099</v>
      </c>
      <c r="F366" s="71" t="s">
        <v>6103</v>
      </c>
      <c r="G366" s="22" t="s">
        <v>61</v>
      </c>
      <c r="H366" s="5" t="s">
        <v>98</v>
      </c>
      <c r="I366" s="5" t="s">
        <v>56</v>
      </c>
      <c r="J366" s="5" t="s">
        <v>5342</v>
      </c>
      <c r="K366" s="5" t="s">
        <v>1100</v>
      </c>
      <c r="L366" s="22"/>
      <c r="M366" s="8" t="str">
        <f t="shared" si="50"/>
        <v>Ok</v>
      </c>
      <c r="N366" s="9" t="b">
        <f t="shared" si="51"/>
        <v>1</v>
      </c>
      <c r="O366" s="9" t="b">
        <f t="shared" si="52"/>
        <v>0</v>
      </c>
      <c r="P366" s="8" t="str">
        <f t="shared" si="53"/>
        <v>FALSE</v>
      </c>
      <c r="Q366" s="8" t="str">
        <f t="shared" si="54"/>
        <v>FALSE</v>
      </c>
      <c r="R366" s="9" t="b">
        <f t="shared" si="55"/>
        <v>1</v>
      </c>
      <c r="S366" s="8" t="b">
        <f t="shared" si="56"/>
        <v>0</v>
      </c>
      <c r="T366" s="10" t="b">
        <f t="shared" si="57"/>
        <v>1</v>
      </c>
      <c r="U366" s="8" t="str">
        <f t="shared" si="58"/>
        <v>TRUE</v>
      </c>
      <c r="V366" s="11" t="str">
        <f t="shared" si="59"/>
        <v>TRUE</v>
      </c>
    </row>
    <row r="367" spans="1:22" ht="15.75">
      <c r="A367" s="21">
        <v>365</v>
      </c>
      <c r="B367" s="5" t="s">
        <v>1101</v>
      </c>
      <c r="C367" s="23" t="s">
        <v>3089</v>
      </c>
      <c r="D367" s="23" t="s">
        <v>77</v>
      </c>
      <c r="E367" s="5" t="s">
        <v>1102</v>
      </c>
      <c r="F367" s="71" t="s">
        <v>6103</v>
      </c>
      <c r="G367" s="22" t="s">
        <v>179</v>
      </c>
      <c r="H367" s="22" t="s">
        <v>3932</v>
      </c>
      <c r="I367" s="5" t="s">
        <v>56</v>
      </c>
      <c r="J367" s="5" t="s">
        <v>5711</v>
      </c>
      <c r="K367" s="5" t="s">
        <v>1103</v>
      </c>
      <c r="L367" s="22"/>
      <c r="M367" s="8" t="str">
        <f t="shared" si="50"/>
        <v>Ok</v>
      </c>
      <c r="N367" s="9" t="b">
        <f t="shared" si="51"/>
        <v>0</v>
      </c>
      <c r="O367" s="9" t="b">
        <f t="shared" si="52"/>
        <v>0</v>
      </c>
      <c r="P367" s="8" t="str">
        <f t="shared" si="53"/>
        <v>FALSE</v>
      </c>
      <c r="Q367" s="8" t="str">
        <f t="shared" si="54"/>
        <v>FALSE</v>
      </c>
      <c r="R367" s="9" t="b">
        <f t="shared" si="55"/>
        <v>1</v>
      </c>
      <c r="S367" s="8" t="b">
        <f t="shared" si="56"/>
        <v>0</v>
      </c>
      <c r="T367" s="10" t="b">
        <f t="shared" si="57"/>
        <v>1</v>
      </c>
      <c r="U367" s="8" t="str">
        <f t="shared" si="58"/>
        <v>FALSE</v>
      </c>
      <c r="V367" s="11" t="str">
        <f t="shared" si="59"/>
        <v>TRUE</v>
      </c>
    </row>
    <row r="368" spans="1:22" ht="15.75">
      <c r="A368" s="21">
        <v>366</v>
      </c>
      <c r="B368" s="5" t="s">
        <v>1104</v>
      </c>
      <c r="C368" s="23" t="s">
        <v>3470</v>
      </c>
      <c r="D368" s="23" t="s">
        <v>77</v>
      </c>
      <c r="E368" s="5" t="s">
        <v>1105</v>
      </c>
      <c r="F368" s="71" t="s">
        <v>6103</v>
      </c>
      <c r="G368" s="22" t="s">
        <v>160</v>
      </c>
      <c r="H368" s="5" t="s">
        <v>3932</v>
      </c>
      <c r="I368" s="5" t="s">
        <v>56</v>
      </c>
      <c r="J368" s="5" t="s">
        <v>4893</v>
      </c>
      <c r="K368" s="5" t="s">
        <v>1106</v>
      </c>
      <c r="L368" s="22"/>
      <c r="M368" s="8" t="str">
        <f t="shared" si="50"/>
        <v>Ok</v>
      </c>
      <c r="N368" s="9" t="b">
        <f t="shared" si="51"/>
        <v>1</v>
      </c>
      <c r="O368" s="9" t="b">
        <f t="shared" si="52"/>
        <v>0</v>
      </c>
      <c r="P368" s="8" t="str">
        <f t="shared" si="53"/>
        <v>FALSE</v>
      </c>
      <c r="Q368" s="8" t="str">
        <f t="shared" si="54"/>
        <v>FALSE</v>
      </c>
      <c r="R368" s="9" t="b">
        <f t="shared" si="55"/>
        <v>0</v>
      </c>
      <c r="S368" s="8" t="b">
        <f t="shared" si="56"/>
        <v>0</v>
      </c>
      <c r="T368" s="10" t="b">
        <f t="shared" si="57"/>
        <v>1</v>
      </c>
      <c r="U368" s="8" t="str">
        <f t="shared" si="58"/>
        <v>TRUE</v>
      </c>
      <c r="V368" s="11" t="str">
        <f t="shared" si="59"/>
        <v>TRUE</v>
      </c>
    </row>
    <row r="369" spans="1:22" ht="15.75">
      <c r="A369" s="21">
        <v>367</v>
      </c>
      <c r="B369" s="5" t="s">
        <v>1107</v>
      </c>
      <c r="C369" s="23" t="s">
        <v>3825</v>
      </c>
      <c r="D369" s="23" t="s">
        <v>59</v>
      </c>
      <c r="E369" s="5" t="s">
        <v>1108</v>
      </c>
      <c r="F369" s="71" t="s">
        <v>6103</v>
      </c>
      <c r="G369" s="22" t="s">
        <v>144</v>
      </c>
      <c r="H369" s="5" t="s">
        <v>25</v>
      </c>
      <c r="I369" s="5" t="s">
        <v>67</v>
      </c>
      <c r="J369" s="5" t="s">
        <v>4931</v>
      </c>
      <c r="K369" s="5" t="s">
        <v>1109</v>
      </c>
      <c r="L369" s="22"/>
      <c r="M369" s="8" t="str">
        <f t="shared" si="50"/>
        <v>Ok</v>
      </c>
      <c r="N369" s="9" t="b">
        <f t="shared" si="51"/>
        <v>0</v>
      </c>
      <c r="O369" s="9" t="b">
        <f t="shared" si="52"/>
        <v>1</v>
      </c>
      <c r="P369" s="8" t="str">
        <f t="shared" si="53"/>
        <v>FALSE</v>
      </c>
      <c r="Q369" s="8" t="str">
        <f t="shared" si="54"/>
        <v>FALSE</v>
      </c>
      <c r="R369" s="9" t="b">
        <f t="shared" si="55"/>
        <v>1</v>
      </c>
      <c r="S369" s="8" t="b">
        <f t="shared" si="56"/>
        <v>0</v>
      </c>
      <c r="T369" s="10" t="b">
        <f t="shared" si="57"/>
        <v>0</v>
      </c>
      <c r="U369" s="8" t="str">
        <f t="shared" si="58"/>
        <v>TRUE</v>
      </c>
      <c r="V369" s="11" t="str">
        <f t="shared" si="59"/>
        <v>TRUE</v>
      </c>
    </row>
    <row r="370" spans="1:22" ht="15.75">
      <c r="A370" s="21">
        <v>368</v>
      </c>
      <c r="B370" s="5" t="s">
        <v>1110</v>
      </c>
      <c r="C370" s="23" t="s">
        <v>3138</v>
      </c>
      <c r="D370" s="23" t="s">
        <v>77</v>
      </c>
      <c r="E370" s="5" t="s">
        <v>1111</v>
      </c>
      <c r="F370" s="71" t="s">
        <v>6103</v>
      </c>
      <c r="G370" s="22" t="s">
        <v>179</v>
      </c>
      <c r="H370" s="5" t="s">
        <v>3932</v>
      </c>
      <c r="I370" s="5" t="s">
        <v>21</v>
      </c>
      <c r="J370" s="5" t="s">
        <v>5194</v>
      </c>
      <c r="K370" s="5">
        <v>881386486</v>
      </c>
      <c r="L370" s="22"/>
      <c r="M370" s="8" t="str">
        <f t="shared" si="50"/>
        <v>Ok</v>
      </c>
      <c r="N370" s="9" t="b">
        <f t="shared" si="51"/>
        <v>0</v>
      </c>
      <c r="O370" s="9" t="b">
        <f t="shared" si="52"/>
        <v>0</v>
      </c>
      <c r="P370" s="8" t="str">
        <f t="shared" si="53"/>
        <v>FALSE</v>
      </c>
      <c r="Q370" s="8" t="str">
        <f t="shared" si="54"/>
        <v>FALSE</v>
      </c>
      <c r="R370" s="9" t="b">
        <f t="shared" si="55"/>
        <v>1</v>
      </c>
      <c r="S370" s="8" t="b">
        <f t="shared" si="56"/>
        <v>0</v>
      </c>
      <c r="T370" s="10" t="b">
        <f t="shared" si="57"/>
        <v>0</v>
      </c>
      <c r="U370" s="8" t="str">
        <f t="shared" si="58"/>
        <v>TRUE</v>
      </c>
      <c r="V370" s="11" t="str">
        <f t="shared" si="59"/>
        <v>FALSE</v>
      </c>
    </row>
    <row r="371" spans="1:22" ht="15.75">
      <c r="A371" s="21">
        <v>369</v>
      </c>
      <c r="B371" s="5" t="s">
        <v>1112</v>
      </c>
      <c r="C371" s="23" t="s">
        <v>3826</v>
      </c>
      <c r="D371" s="23" t="s">
        <v>59</v>
      </c>
      <c r="E371" s="5" t="s">
        <v>1113</v>
      </c>
      <c r="F371" s="71" t="s">
        <v>6103</v>
      </c>
      <c r="G371" s="22" t="s">
        <v>144</v>
      </c>
      <c r="H371" s="5" t="s">
        <v>25</v>
      </c>
      <c r="I371" s="5" t="s">
        <v>56</v>
      </c>
      <c r="J371" s="5" t="s">
        <v>5553</v>
      </c>
      <c r="K371" s="5">
        <v>89756465582</v>
      </c>
      <c r="L371" s="22"/>
      <c r="M371" s="8" t="str">
        <f t="shared" si="50"/>
        <v>Ok</v>
      </c>
      <c r="N371" s="9" t="b">
        <f t="shared" si="51"/>
        <v>0</v>
      </c>
      <c r="O371" s="9" t="b">
        <f t="shared" si="52"/>
        <v>1</v>
      </c>
      <c r="P371" s="8" t="str">
        <f t="shared" si="53"/>
        <v>FALSE</v>
      </c>
      <c r="Q371" s="8" t="str">
        <f t="shared" si="54"/>
        <v>FALSE</v>
      </c>
      <c r="R371" s="9" t="b">
        <f t="shared" si="55"/>
        <v>1</v>
      </c>
      <c r="S371" s="8" t="b">
        <f t="shared" si="56"/>
        <v>0</v>
      </c>
      <c r="T371" s="10" t="b">
        <f t="shared" si="57"/>
        <v>1</v>
      </c>
      <c r="U371" s="8" t="str">
        <f t="shared" si="58"/>
        <v>FALSE</v>
      </c>
      <c r="V371" s="11" t="str">
        <f t="shared" si="59"/>
        <v>FALSE</v>
      </c>
    </row>
    <row r="372" spans="1:22" ht="15.75">
      <c r="A372" s="21">
        <v>370</v>
      </c>
      <c r="B372" s="5" t="s">
        <v>1114</v>
      </c>
      <c r="C372" s="23" t="s">
        <v>3613</v>
      </c>
      <c r="D372" s="23" t="s">
        <v>59</v>
      </c>
      <c r="E372" s="5" t="s">
        <v>1115</v>
      </c>
      <c r="F372" s="71" t="s">
        <v>6103</v>
      </c>
      <c r="G372" s="22" t="s">
        <v>160</v>
      </c>
      <c r="H372" s="5" t="s">
        <v>13</v>
      </c>
      <c r="I372" s="5" t="s">
        <v>26</v>
      </c>
      <c r="J372" s="5" t="s">
        <v>5045</v>
      </c>
      <c r="K372" s="5" t="s">
        <v>1116</v>
      </c>
      <c r="L372" s="22"/>
      <c r="M372" s="8" t="str">
        <f t="shared" si="50"/>
        <v>Ok</v>
      </c>
      <c r="N372" s="9" t="b">
        <f t="shared" si="51"/>
        <v>1</v>
      </c>
      <c r="O372" s="9" t="b">
        <f t="shared" si="52"/>
        <v>1</v>
      </c>
      <c r="P372" s="8" t="str">
        <f t="shared" si="53"/>
        <v>FALSE</v>
      </c>
      <c r="Q372" s="8" t="str">
        <f t="shared" si="54"/>
        <v>FALSE</v>
      </c>
      <c r="R372" s="9" t="b">
        <f t="shared" si="55"/>
        <v>0</v>
      </c>
      <c r="S372" s="8" t="b">
        <f t="shared" si="56"/>
        <v>0</v>
      </c>
      <c r="T372" s="10" t="b">
        <f t="shared" si="57"/>
        <v>0</v>
      </c>
      <c r="U372" s="8" t="str">
        <f t="shared" si="58"/>
        <v>TRUE</v>
      </c>
      <c r="V372" s="11" t="str">
        <f t="shared" si="59"/>
        <v>TRUE</v>
      </c>
    </row>
    <row r="373" spans="1:22" ht="15.75">
      <c r="A373" s="21">
        <v>371</v>
      </c>
      <c r="B373" s="5" t="s">
        <v>1117</v>
      </c>
      <c r="C373" s="23" t="s">
        <v>3471</v>
      </c>
      <c r="D373" s="23" t="s">
        <v>17</v>
      </c>
      <c r="E373" s="5" t="s">
        <v>1118</v>
      </c>
      <c r="F373" s="71" t="s">
        <v>6103</v>
      </c>
      <c r="G373" s="22" t="s">
        <v>160</v>
      </c>
      <c r="H373" s="5" t="s">
        <v>3932</v>
      </c>
      <c r="I373" s="5" t="s">
        <v>67</v>
      </c>
      <c r="J373" s="5" t="s">
        <v>5647</v>
      </c>
      <c r="K373" s="5" t="s">
        <v>1119</v>
      </c>
      <c r="L373" s="22"/>
      <c r="M373" s="8" t="str">
        <f t="shared" si="50"/>
        <v>Ok</v>
      </c>
      <c r="N373" s="9" t="b">
        <f t="shared" si="51"/>
        <v>1</v>
      </c>
      <c r="O373" s="9" t="b">
        <f t="shared" si="52"/>
        <v>1</v>
      </c>
      <c r="P373" s="8" t="str">
        <f t="shared" si="53"/>
        <v>FALSE</v>
      </c>
      <c r="Q373" s="8" t="str">
        <f t="shared" si="54"/>
        <v>FALSE</v>
      </c>
      <c r="R373" s="9" t="b">
        <f t="shared" si="55"/>
        <v>0</v>
      </c>
      <c r="S373" s="8" t="b">
        <f t="shared" si="56"/>
        <v>0</v>
      </c>
      <c r="T373" s="10" t="b">
        <f t="shared" si="57"/>
        <v>0</v>
      </c>
      <c r="U373" s="8" t="str">
        <f t="shared" si="58"/>
        <v>FALSE</v>
      </c>
      <c r="V373" s="11" t="str">
        <f t="shared" si="59"/>
        <v>TRUE</v>
      </c>
    </row>
    <row r="374" spans="1:22" ht="15.75">
      <c r="A374" s="21">
        <v>372</v>
      </c>
      <c r="B374" s="5" t="s">
        <v>1120</v>
      </c>
      <c r="C374" s="23" t="s">
        <v>3696</v>
      </c>
      <c r="D374" s="23" t="s">
        <v>59</v>
      </c>
      <c r="E374" s="5" t="s">
        <v>1121</v>
      </c>
      <c r="F374" s="71" t="s">
        <v>6103</v>
      </c>
      <c r="G374" s="22" t="s">
        <v>3934</v>
      </c>
      <c r="H374" s="5" t="s">
        <v>13</v>
      </c>
      <c r="I374" s="5" t="s">
        <v>21</v>
      </c>
      <c r="J374" s="5" t="s">
        <v>5129</v>
      </c>
      <c r="K374" s="5" t="s">
        <v>1122</v>
      </c>
      <c r="L374" s="22"/>
      <c r="M374" s="8" t="str">
        <f t="shared" si="50"/>
        <v>Ok</v>
      </c>
      <c r="N374" s="9" t="b">
        <f t="shared" si="51"/>
        <v>0</v>
      </c>
      <c r="O374" s="9" t="b">
        <f t="shared" si="52"/>
        <v>1</v>
      </c>
      <c r="P374" s="8" t="str">
        <f t="shared" si="53"/>
        <v>FALSE</v>
      </c>
      <c r="Q374" s="8" t="str">
        <f t="shared" si="54"/>
        <v>FALSE</v>
      </c>
      <c r="R374" s="9" t="b">
        <f t="shared" si="55"/>
        <v>0</v>
      </c>
      <c r="S374" s="8" t="b">
        <f t="shared" si="56"/>
        <v>0</v>
      </c>
      <c r="T374" s="10" t="b">
        <f t="shared" si="57"/>
        <v>0</v>
      </c>
      <c r="U374" s="8" t="str">
        <f t="shared" si="58"/>
        <v>TRUE</v>
      </c>
      <c r="V374" s="11" t="str">
        <f t="shared" si="59"/>
        <v>TRUE</v>
      </c>
    </row>
    <row r="375" spans="1:22" ht="15.75">
      <c r="A375" s="21">
        <v>373</v>
      </c>
      <c r="B375" s="5" t="s">
        <v>1123</v>
      </c>
      <c r="C375" s="23" t="s">
        <v>3782</v>
      </c>
      <c r="D375" s="23" t="s">
        <v>17</v>
      </c>
      <c r="E375" s="5" t="s">
        <v>1124</v>
      </c>
      <c r="F375" s="71" t="s">
        <v>6103</v>
      </c>
      <c r="G375" s="22" t="s">
        <v>24</v>
      </c>
      <c r="H375" s="5" t="s">
        <v>25</v>
      </c>
      <c r="I375" s="5" t="s">
        <v>14</v>
      </c>
      <c r="J375" s="5" t="s">
        <v>5733</v>
      </c>
      <c r="K375" s="5" t="s">
        <v>1125</v>
      </c>
      <c r="L375" s="22"/>
      <c r="M375" s="8" t="str">
        <f t="shared" si="50"/>
        <v>Ok</v>
      </c>
      <c r="N375" s="9" t="b">
        <f t="shared" si="51"/>
        <v>0</v>
      </c>
      <c r="O375" s="9" t="b">
        <f t="shared" si="52"/>
        <v>1</v>
      </c>
      <c r="P375" s="8" t="str">
        <f t="shared" si="53"/>
        <v>FALSE</v>
      </c>
      <c r="Q375" s="8" t="str">
        <f t="shared" si="54"/>
        <v>FALSE</v>
      </c>
      <c r="R375" s="9" t="b">
        <f t="shared" si="55"/>
        <v>0</v>
      </c>
      <c r="S375" s="8" t="b">
        <f t="shared" si="56"/>
        <v>0</v>
      </c>
      <c r="T375" s="10" t="b">
        <f t="shared" si="57"/>
        <v>1</v>
      </c>
      <c r="U375" s="8" t="str">
        <f t="shared" si="58"/>
        <v>FALSE</v>
      </c>
      <c r="V375" s="11" t="str">
        <f t="shared" si="59"/>
        <v>TRUE</v>
      </c>
    </row>
    <row r="376" spans="1:22" ht="15.75">
      <c r="A376" s="21">
        <v>374</v>
      </c>
      <c r="B376" s="5" t="s">
        <v>1126</v>
      </c>
      <c r="C376" s="23" t="s">
        <v>3090</v>
      </c>
      <c r="D376" s="23" t="s">
        <v>77</v>
      </c>
      <c r="E376" s="5" t="s">
        <v>1127</v>
      </c>
      <c r="F376" s="71" t="s">
        <v>6103</v>
      </c>
      <c r="G376" s="22" t="s">
        <v>179</v>
      </c>
      <c r="H376" s="5" t="s">
        <v>3932</v>
      </c>
      <c r="I376" s="5" t="s">
        <v>21</v>
      </c>
      <c r="J376" s="5" t="s">
        <v>5383</v>
      </c>
      <c r="K376" s="5" t="s">
        <v>1128</v>
      </c>
      <c r="L376" s="22"/>
      <c r="M376" s="8" t="str">
        <f t="shared" si="50"/>
        <v>Ok</v>
      </c>
      <c r="N376" s="9" t="b">
        <f t="shared" si="51"/>
        <v>0</v>
      </c>
      <c r="O376" s="9" t="b">
        <f t="shared" si="52"/>
        <v>0</v>
      </c>
      <c r="P376" s="8" t="str">
        <f t="shared" si="53"/>
        <v>FALSE</v>
      </c>
      <c r="Q376" s="8" t="str">
        <f t="shared" si="54"/>
        <v>FALSE</v>
      </c>
      <c r="R376" s="9" t="b">
        <f t="shared" si="55"/>
        <v>1</v>
      </c>
      <c r="S376" s="8" t="b">
        <f t="shared" si="56"/>
        <v>0</v>
      </c>
      <c r="T376" s="10" t="b">
        <f t="shared" si="57"/>
        <v>0</v>
      </c>
      <c r="U376" s="8" t="str">
        <f t="shared" si="58"/>
        <v>TRUE</v>
      </c>
      <c r="V376" s="11" t="str">
        <f t="shared" si="59"/>
        <v>TRUE</v>
      </c>
    </row>
    <row r="377" spans="1:22" ht="15.75">
      <c r="A377" s="21">
        <v>375</v>
      </c>
      <c r="B377" s="5" t="s">
        <v>1129</v>
      </c>
      <c r="C377" s="23" t="s">
        <v>3229</v>
      </c>
      <c r="D377" s="23" t="s">
        <v>34</v>
      </c>
      <c r="E377" s="5" t="s">
        <v>1130</v>
      </c>
      <c r="F377" s="71" t="s">
        <v>6103</v>
      </c>
      <c r="G377" s="22" t="s">
        <v>172</v>
      </c>
      <c r="H377" s="5" t="s">
        <v>98</v>
      </c>
      <c r="I377" s="5" t="s">
        <v>26</v>
      </c>
      <c r="J377" s="5" t="s">
        <v>5769</v>
      </c>
      <c r="K377" s="5" t="s">
        <v>1131</v>
      </c>
      <c r="L377" s="22"/>
      <c r="M377" s="8" t="str">
        <f t="shared" si="50"/>
        <v>Ok</v>
      </c>
      <c r="N377" s="9" t="b">
        <f t="shared" si="51"/>
        <v>1</v>
      </c>
      <c r="O377" s="9" t="b">
        <f t="shared" si="52"/>
        <v>0</v>
      </c>
      <c r="P377" s="8" t="str">
        <f t="shared" si="53"/>
        <v>FALSE</v>
      </c>
      <c r="Q377" s="8" t="str">
        <f t="shared" si="54"/>
        <v>FALSE</v>
      </c>
      <c r="R377" s="9" t="b">
        <f t="shared" si="55"/>
        <v>0</v>
      </c>
      <c r="S377" s="8" t="b">
        <f t="shared" si="56"/>
        <v>0</v>
      </c>
      <c r="T377" s="10" t="b">
        <f t="shared" si="57"/>
        <v>0</v>
      </c>
      <c r="U377" s="8" t="str">
        <f t="shared" si="58"/>
        <v>FALSE</v>
      </c>
      <c r="V377" s="11" t="str">
        <f t="shared" si="59"/>
        <v>FALSE</v>
      </c>
    </row>
    <row r="378" spans="1:22" ht="15.75">
      <c r="A378" s="21">
        <v>376</v>
      </c>
      <c r="B378" s="5" t="s">
        <v>1132</v>
      </c>
      <c r="C378" s="23" t="s">
        <v>3472</v>
      </c>
      <c r="D378" s="23" t="s">
        <v>77</v>
      </c>
      <c r="E378" s="5" t="s">
        <v>1133</v>
      </c>
      <c r="F378" s="71" t="s">
        <v>6103</v>
      </c>
      <c r="G378" s="22" t="s">
        <v>160</v>
      </c>
      <c r="H378" s="5" t="s">
        <v>3932</v>
      </c>
      <c r="I378" s="5" t="s">
        <v>21</v>
      </c>
      <c r="J378" s="5" t="s">
        <v>5092</v>
      </c>
      <c r="K378" s="5" t="s">
        <v>1134</v>
      </c>
      <c r="L378" s="22"/>
      <c r="M378" s="8" t="str">
        <f t="shared" si="50"/>
        <v>Ok</v>
      </c>
      <c r="N378" s="9" t="b">
        <f t="shared" si="51"/>
        <v>1</v>
      </c>
      <c r="O378" s="9" t="b">
        <f t="shared" si="52"/>
        <v>0</v>
      </c>
      <c r="P378" s="8" t="str">
        <f t="shared" si="53"/>
        <v>FALSE</v>
      </c>
      <c r="Q378" s="8" t="str">
        <f t="shared" si="54"/>
        <v>FALSE</v>
      </c>
      <c r="R378" s="9" t="b">
        <f t="shared" si="55"/>
        <v>0</v>
      </c>
      <c r="S378" s="8" t="b">
        <f t="shared" si="56"/>
        <v>0</v>
      </c>
      <c r="T378" s="10" t="b">
        <f t="shared" si="57"/>
        <v>0</v>
      </c>
      <c r="U378" s="8" t="str">
        <f t="shared" si="58"/>
        <v>TRUE</v>
      </c>
      <c r="V378" s="11" t="str">
        <f t="shared" si="59"/>
        <v>TRUE</v>
      </c>
    </row>
    <row r="379" spans="1:22" ht="15.75">
      <c r="A379" s="21">
        <v>377</v>
      </c>
      <c r="B379" s="5" t="s">
        <v>1135</v>
      </c>
      <c r="C379" s="23" t="s">
        <v>3473</v>
      </c>
      <c r="D379" s="23" t="s">
        <v>77</v>
      </c>
      <c r="E379" s="5" t="s">
        <v>1136</v>
      </c>
      <c r="F379" s="71" t="s">
        <v>6103</v>
      </c>
      <c r="G379" s="22" t="s">
        <v>160</v>
      </c>
      <c r="H379" s="5" t="s">
        <v>3932</v>
      </c>
      <c r="I379" s="5" t="s">
        <v>21</v>
      </c>
      <c r="J379" s="5" t="s">
        <v>5023</v>
      </c>
      <c r="K379" s="5" t="s">
        <v>1137</v>
      </c>
      <c r="L379" s="22"/>
      <c r="M379" s="8" t="str">
        <f t="shared" si="50"/>
        <v>Ok</v>
      </c>
      <c r="N379" s="9" t="b">
        <f t="shared" si="51"/>
        <v>1</v>
      </c>
      <c r="O379" s="9" t="b">
        <f t="shared" si="52"/>
        <v>0</v>
      </c>
      <c r="P379" s="8" t="str">
        <f t="shared" si="53"/>
        <v>FALSE</v>
      </c>
      <c r="Q379" s="8" t="str">
        <f t="shared" si="54"/>
        <v>FALSE</v>
      </c>
      <c r="R379" s="9" t="b">
        <f t="shared" si="55"/>
        <v>0</v>
      </c>
      <c r="S379" s="8" t="b">
        <f t="shared" si="56"/>
        <v>0</v>
      </c>
      <c r="T379" s="10" t="b">
        <f t="shared" si="57"/>
        <v>0</v>
      </c>
      <c r="U379" s="8" t="str">
        <f t="shared" si="58"/>
        <v>TRUE</v>
      </c>
      <c r="V379" s="11" t="str">
        <f t="shared" si="59"/>
        <v>TRUE</v>
      </c>
    </row>
    <row r="380" spans="1:22" ht="15.75">
      <c r="A380" s="21">
        <v>378</v>
      </c>
      <c r="B380" s="5" t="s">
        <v>1138</v>
      </c>
      <c r="C380" s="23" t="s">
        <v>3361</v>
      </c>
      <c r="D380" s="23" t="s">
        <v>34</v>
      </c>
      <c r="E380" s="5" t="s">
        <v>1139</v>
      </c>
      <c r="F380" s="71" t="s">
        <v>6103</v>
      </c>
      <c r="G380" s="22" t="s">
        <v>93</v>
      </c>
      <c r="H380" s="5" t="s">
        <v>217</v>
      </c>
      <c r="I380" s="5" t="s">
        <v>50</v>
      </c>
      <c r="J380" s="5" t="s">
        <v>5354</v>
      </c>
      <c r="K380" s="5" t="s">
        <v>1140</v>
      </c>
      <c r="L380" s="22"/>
      <c r="M380" s="8" t="str">
        <f t="shared" si="50"/>
        <v>Ok</v>
      </c>
      <c r="N380" s="9" t="b">
        <f t="shared" si="51"/>
        <v>1</v>
      </c>
      <c r="O380" s="9" t="b">
        <f t="shared" si="52"/>
        <v>0</v>
      </c>
      <c r="P380" s="8" t="str">
        <f t="shared" si="53"/>
        <v>FALSE</v>
      </c>
      <c r="Q380" s="8" t="str">
        <f t="shared" si="54"/>
        <v>FALSE</v>
      </c>
      <c r="R380" s="9" t="b">
        <f t="shared" si="55"/>
        <v>0</v>
      </c>
      <c r="S380" s="8" t="b">
        <f t="shared" si="56"/>
        <v>0</v>
      </c>
      <c r="T380" s="10" t="b">
        <f t="shared" si="57"/>
        <v>0</v>
      </c>
      <c r="U380" s="8" t="str">
        <f t="shared" si="58"/>
        <v>TRUE</v>
      </c>
      <c r="V380" s="11" t="str">
        <f t="shared" si="59"/>
        <v>FALSE</v>
      </c>
    </row>
    <row r="381" spans="1:22" ht="15.75">
      <c r="A381" s="21">
        <v>379</v>
      </c>
      <c r="B381" s="5" t="s">
        <v>1141</v>
      </c>
      <c r="C381" s="23" t="s">
        <v>3230</v>
      </c>
      <c r="D381" s="23" t="s">
        <v>77</v>
      </c>
      <c r="E381" s="5" t="s">
        <v>1142</v>
      </c>
      <c r="F381" s="71" t="s">
        <v>6103</v>
      </c>
      <c r="G381" s="22" t="s">
        <v>179</v>
      </c>
      <c r="H381" s="5" t="s">
        <v>3932</v>
      </c>
      <c r="I381" s="5" t="s">
        <v>14</v>
      </c>
      <c r="J381" s="5" t="s">
        <v>5740</v>
      </c>
      <c r="K381" s="5" t="s">
        <v>1143</v>
      </c>
      <c r="L381" s="22"/>
      <c r="M381" s="8" t="str">
        <f t="shared" si="50"/>
        <v>Ok</v>
      </c>
      <c r="N381" s="9" t="b">
        <f t="shared" si="51"/>
        <v>1</v>
      </c>
      <c r="O381" s="9" t="b">
        <f t="shared" si="52"/>
        <v>0</v>
      </c>
      <c r="P381" s="8" t="str">
        <f t="shared" si="53"/>
        <v>FALSE</v>
      </c>
      <c r="Q381" s="8" t="str">
        <f t="shared" si="54"/>
        <v>FALSE</v>
      </c>
      <c r="R381" s="9" t="b">
        <f t="shared" si="55"/>
        <v>1</v>
      </c>
      <c r="S381" s="8" t="b">
        <f t="shared" si="56"/>
        <v>0</v>
      </c>
      <c r="T381" s="10" t="b">
        <f t="shared" si="57"/>
        <v>1</v>
      </c>
      <c r="U381" s="8" t="str">
        <f t="shared" si="58"/>
        <v>FALSE</v>
      </c>
      <c r="V381" s="11" t="str">
        <f t="shared" si="59"/>
        <v>TRUE</v>
      </c>
    </row>
    <row r="382" spans="1:22" ht="15.75">
      <c r="A382" s="21">
        <v>380</v>
      </c>
      <c r="B382" s="5" t="s">
        <v>1144</v>
      </c>
      <c r="C382" s="23" t="s">
        <v>3362</v>
      </c>
      <c r="D382" s="23" t="s">
        <v>34</v>
      </c>
      <c r="E382" s="5" t="s">
        <v>1145</v>
      </c>
      <c r="F382" s="71" t="s">
        <v>6103</v>
      </c>
      <c r="G382" s="22" t="s">
        <v>93</v>
      </c>
      <c r="H382" s="5" t="s">
        <v>94</v>
      </c>
      <c r="I382" s="5" t="s">
        <v>50</v>
      </c>
      <c r="J382" s="5" t="s">
        <v>5323</v>
      </c>
      <c r="K382" s="5" t="s">
        <v>1146</v>
      </c>
      <c r="L382" s="22"/>
      <c r="M382" s="8" t="str">
        <f t="shared" si="50"/>
        <v>Ok</v>
      </c>
      <c r="N382" s="9" t="b">
        <f t="shared" si="51"/>
        <v>1</v>
      </c>
      <c r="O382" s="9" t="b">
        <f t="shared" si="52"/>
        <v>0</v>
      </c>
      <c r="P382" s="8" t="str">
        <f t="shared" si="53"/>
        <v>FALSE</v>
      </c>
      <c r="Q382" s="8" t="str">
        <f t="shared" si="54"/>
        <v>FALSE</v>
      </c>
      <c r="R382" s="9" t="b">
        <f t="shared" si="55"/>
        <v>0</v>
      </c>
      <c r="S382" s="8" t="b">
        <f t="shared" si="56"/>
        <v>0</v>
      </c>
      <c r="T382" s="10" t="b">
        <f t="shared" si="57"/>
        <v>0</v>
      </c>
      <c r="U382" s="8" t="str">
        <f t="shared" si="58"/>
        <v>TRUE</v>
      </c>
      <c r="V382" s="11" t="str">
        <f t="shared" si="59"/>
        <v>FALSE</v>
      </c>
    </row>
    <row r="383" spans="1:22" ht="15.75">
      <c r="A383" s="21">
        <v>381</v>
      </c>
      <c r="B383" s="5" t="s">
        <v>1147</v>
      </c>
      <c r="C383" s="23" t="s">
        <v>3697</v>
      </c>
      <c r="D383" s="23" t="s">
        <v>59</v>
      </c>
      <c r="E383" s="5" t="s">
        <v>1148</v>
      </c>
      <c r="F383" s="71" t="s">
        <v>6103</v>
      </c>
      <c r="G383" s="22" t="s">
        <v>3934</v>
      </c>
      <c r="H383" s="5" t="s">
        <v>13</v>
      </c>
      <c r="I383" s="5" t="s">
        <v>42</v>
      </c>
      <c r="J383" s="5" t="s">
        <v>5263</v>
      </c>
      <c r="K383" s="5" t="s">
        <v>1149</v>
      </c>
      <c r="L383" s="22"/>
      <c r="M383" s="8" t="str">
        <f t="shared" si="50"/>
        <v>Ok</v>
      </c>
      <c r="N383" s="9" t="b">
        <f t="shared" si="51"/>
        <v>0</v>
      </c>
      <c r="O383" s="9" t="b">
        <f t="shared" si="52"/>
        <v>1</v>
      </c>
      <c r="P383" s="8" t="str">
        <f t="shared" si="53"/>
        <v>FALSE</v>
      </c>
      <c r="Q383" s="8" t="str">
        <f t="shared" si="54"/>
        <v>FALSE</v>
      </c>
      <c r="R383" s="9" t="b">
        <f t="shared" si="55"/>
        <v>0</v>
      </c>
      <c r="S383" s="8" t="b">
        <f t="shared" si="56"/>
        <v>0</v>
      </c>
      <c r="T383" s="10" t="b">
        <f t="shared" si="57"/>
        <v>1</v>
      </c>
      <c r="U383" s="8" t="str">
        <f t="shared" si="58"/>
        <v>TRUE</v>
      </c>
      <c r="V383" s="11" t="str">
        <f t="shared" si="59"/>
        <v>TRUE</v>
      </c>
    </row>
    <row r="384" spans="1:22" ht="15.75">
      <c r="A384" s="21">
        <v>382</v>
      </c>
      <c r="B384" s="5" t="s">
        <v>1150</v>
      </c>
      <c r="C384" s="23" t="s">
        <v>3614</v>
      </c>
      <c r="D384" s="23" t="s">
        <v>59</v>
      </c>
      <c r="E384" s="5" t="s">
        <v>1151</v>
      </c>
      <c r="F384" s="71" t="s">
        <v>6103</v>
      </c>
      <c r="G384" s="22" t="s">
        <v>160</v>
      </c>
      <c r="H384" s="5" t="s">
        <v>36</v>
      </c>
      <c r="I384" s="5" t="s">
        <v>67</v>
      </c>
      <c r="J384" s="5" t="s">
        <v>5441</v>
      </c>
      <c r="K384" s="5" t="s">
        <v>1152</v>
      </c>
      <c r="L384" s="22"/>
      <c r="M384" s="8" t="str">
        <f t="shared" si="50"/>
        <v>Ok</v>
      </c>
      <c r="N384" s="9" t="b">
        <f t="shared" si="51"/>
        <v>1</v>
      </c>
      <c r="O384" s="9" t="b">
        <f t="shared" si="52"/>
        <v>1</v>
      </c>
      <c r="P384" s="8" t="str">
        <f t="shared" si="53"/>
        <v>FALSE</v>
      </c>
      <c r="Q384" s="8" t="str">
        <f t="shared" si="54"/>
        <v>FALSE</v>
      </c>
      <c r="R384" s="9" t="b">
        <f t="shared" si="55"/>
        <v>0</v>
      </c>
      <c r="S384" s="8" t="b">
        <f t="shared" si="56"/>
        <v>1</v>
      </c>
      <c r="T384" s="10" t="b">
        <f t="shared" si="57"/>
        <v>0</v>
      </c>
      <c r="U384" s="8" t="str">
        <f t="shared" si="58"/>
        <v>TRUE</v>
      </c>
      <c r="V384" s="11" t="str">
        <f t="shared" si="59"/>
        <v>FALSE</v>
      </c>
    </row>
    <row r="385" spans="1:22" ht="15.75">
      <c r="A385" s="21">
        <v>383</v>
      </c>
      <c r="B385" s="5" t="s">
        <v>1153</v>
      </c>
      <c r="C385" s="23" t="s">
        <v>3894</v>
      </c>
      <c r="D385" s="23" t="s">
        <v>17</v>
      </c>
      <c r="E385" s="5" t="s">
        <v>1154</v>
      </c>
      <c r="F385" s="71" t="s">
        <v>6103</v>
      </c>
      <c r="G385" s="22" t="s">
        <v>119</v>
      </c>
      <c r="H385" s="5" t="s">
        <v>120</v>
      </c>
      <c r="I385" s="5" t="s">
        <v>14</v>
      </c>
      <c r="J385" s="5" t="s">
        <v>5123</v>
      </c>
      <c r="K385" s="5" t="s">
        <v>1155</v>
      </c>
      <c r="L385" s="22"/>
      <c r="M385" s="8" t="str">
        <f t="shared" si="50"/>
        <v>Ok</v>
      </c>
      <c r="N385" s="9" t="b">
        <f t="shared" si="51"/>
        <v>0</v>
      </c>
      <c r="O385" s="9" t="b">
        <f t="shared" si="52"/>
        <v>1</v>
      </c>
      <c r="P385" s="8" t="str">
        <f t="shared" si="53"/>
        <v>FALSE</v>
      </c>
      <c r="Q385" s="8" t="str">
        <f t="shared" si="54"/>
        <v>FALSE</v>
      </c>
      <c r="R385" s="9" t="b">
        <f t="shared" si="55"/>
        <v>0</v>
      </c>
      <c r="S385" s="8" t="b">
        <f t="shared" si="56"/>
        <v>1</v>
      </c>
      <c r="T385" s="10" t="b">
        <f t="shared" si="57"/>
        <v>1</v>
      </c>
      <c r="U385" s="8" t="str">
        <f t="shared" si="58"/>
        <v>TRUE</v>
      </c>
      <c r="V385" s="11" t="str">
        <f t="shared" si="59"/>
        <v>TRUE</v>
      </c>
    </row>
    <row r="386" spans="1:22" ht="15.75">
      <c r="A386" s="21">
        <v>384</v>
      </c>
      <c r="B386" s="5" t="s">
        <v>1156</v>
      </c>
      <c r="C386" s="23" t="s">
        <v>3895</v>
      </c>
      <c r="D386" s="23" t="s">
        <v>17</v>
      </c>
      <c r="E386" s="5" t="s">
        <v>1157</v>
      </c>
      <c r="F386" s="71" t="s">
        <v>6103</v>
      </c>
      <c r="G386" s="22" t="s">
        <v>119</v>
      </c>
      <c r="H386" s="5" t="s">
        <v>120</v>
      </c>
      <c r="I386" s="5" t="s">
        <v>56</v>
      </c>
      <c r="J386" s="5" t="s">
        <v>5171</v>
      </c>
      <c r="K386" s="5" t="s">
        <v>1158</v>
      </c>
      <c r="L386" s="22"/>
      <c r="M386" s="8" t="str">
        <f t="shared" si="50"/>
        <v>Ok</v>
      </c>
      <c r="N386" s="9" t="b">
        <f t="shared" si="51"/>
        <v>0</v>
      </c>
      <c r="O386" s="9" t="b">
        <f t="shared" si="52"/>
        <v>1</v>
      </c>
      <c r="P386" s="8" t="str">
        <f t="shared" si="53"/>
        <v>FALSE</v>
      </c>
      <c r="Q386" s="8" t="str">
        <f t="shared" si="54"/>
        <v>FALSE</v>
      </c>
      <c r="R386" s="9" t="b">
        <f t="shared" si="55"/>
        <v>0</v>
      </c>
      <c r="S386" s="8" t="b">
        <f t="shared" si="56"/>
        <v>1</v>
      </c>
      <c r="T386" s="10" t="b">
        <f t="shared" si="57"/>
        <v>1</v>
      </c>
      <c r="U386" s="8" t="str">
        <f t="shared" si="58"/>
        <v>TRUE</v>
      </c>
      <c r="V386" s="11" t="str">
        <f t="shared" si="59"/>
        <v>TRUE</v>
      </c>
    </row>
    <row r="387" spans="1:22" ht="15.75">
      <c r="A387" s="21">
        <v>385</v>
      </c>
      <c r="B387" s="5" t="s">
        <v>1159</v>
      </c>
      <c r="C387" s="23" t="s">
        <v>3231</v>
      </c>
      <c r="D387" s="23" t="s">
        <v>77</v>
      </c>
      <c r="E387" s="5" t="s">
        <v>1160</v>
      </c>
      <c r="F387" s="71" t="s">
        <v>6103</v>
      </c>
      <c r="G387" s="22" t="s">
        <v>179</v>
      </c>
      <c r="H387" s="5" t="s">
        <v>3932</v>
      </c>
      <c r="I387" s="5" t="s">
        <v>14</v>
      </c>
      <c r="J387" s="5" t="s">
        <v>5343</v>
      </c>
      <c r="K387" s="5" t="s">
        <v>1161</v>
      </c>
      <c r="L387" s="22"/>
      <c r="M387" s="8" t="str">
        <f t="shared" ref="M387:M450" si="60">IF(COUNTIF($B$3:$B$1002,B387)&gt;1,"Duplicate","Ok")</f>
        <v>Ok</v>
      </c>
      <c r="N387" s="9" t="b">
        <f t="shared" ref="N387:N450" si="61">EXACT(C387,PROPER(C387))</f>
        <v>1</v>
      </c>
      <c r="O387" s="9" t="b">
        <f t="shared" ref="O387:O450" si="62">EXACT(D387,PROPER(D387))</f>
        <v>0</v>
      </c>
      <c r="P387" s="8" t="str">
        <f t="shared" ref="P387:P450" si="63">IF(ISNUMBER(E387),"TRUE","FALSE")</f>
        <v>FALSE</v>
      </c>
      <c r="Q387" s="8" t="str">
        <f t="shared" ref="Q387:Q450" si="64">IF(ISNUMBER(F387),"TRUE","FALSE")</f>
        <v>FALSE</v>
      </c>
      <c r="R387" s="9" t="b">
        <f t="shared" ref="R387:R450" si="65">EXACT(G387,PROPER(G387))</f>
        <v>1</v>
      </c>
      <c r="S387" s="8" t="b">
        <f t="shared" ref="S387:S450" si="66">EXACT(H387,PROPER(H387))</f>
        <v>0</v>
      </c>
      <c r="T387" s="10" t="b">
        <f t="shared" ref="T387:T450" si="67">EXACT(I387,PROPER(I387))</f>
        <v>1</v>
      </c>
      <c r="U387" s="8" t="str">
        <f t="shared" ref="U387:U450" si="68">IF(RIGHT(J387,10)="@email.com","TRUE","FALSE")</f>
        <v>TRUE</v>
      </c>
      <c r="V387" s="11" t="str">
        <f t="shared" ref="V387:V450" si="69">IF(LEFT(K387,2)="08","TRUE","FALSE")</f>
        <v>TRUE</v>
      </c>
    </row>
    <row r="388" spans="1:22" ht="15.75">
      <c r="A388" s="21">
        <v>386</v>
      </c>
      <c r="B388" s="5" t="s">
        <v>1162</v>
      </c>
      <c r="C388" s="23" t="s">
        <v>3474</v>
      </c>
      <c r="D388" s="23" t="s">
        <v>77</v>
      </c>
      <c r="E388" s="5" t="s">
        <v>923</v>
      </c>
      <c r="F388" s="71" t="s">
        <v>6103</v>
      </c>
      <c r="G388" s="22" t="s">
        <v>160</v>
      </c>
      <c r="H388" s="5" t="s">
        <v>3932</v>
      </c>
      <c r="I388" s="5" t="s">
        <v>26</v>
      </c>
      <c r="J388" s="5" t="s">
        <v>4832</v>
      </c>
      <c r="K388" s="5">
        <v>89756465583</v>
      </c>
      <c r="L388" s="22"/>
      <c r="M388" s="8" t="str">
        <f t="shared" si="60"/>
        <v>Ok</v>
      </c>
      <c r="N388" s="9" t="b">
        <f t="shared" si="61"/>
        <v>1</v>
      </c>
      <c r="O388" s="9" t="b">
        <f t="shared" si="62"/>
        <v>0</v>
      </c>
      <c r="P388" s="8" t="str">
        <f t="shared" si="63"/>
        <v>FALSE</v>
      </c>
      <c r="Q388" s="8" t="str">
        <f t="shared" si="64"/>
        <v>FALSE</v>
      </c>
      <c r="R388" s="9" t="b">
        <f t="shared" si="65"/>
        <v>0</v>
      </c>
      <c r="S388" s="8" t="b">
        <f t="shared" si="66"/>
        <v>0</v>
      </c>
      <c r="T388" s="10" t="b">
        <f t="shared" si="67"/>
        <v>0</v>
      </c>
      <c r="U388" s="8" t="str">
        <f t="shared" si="68"/>
        <v>TRUE</v>
      </c>
      <c r="V388" s="11" t="str">
        <f t="shared" si="69"/>
        <v>FALSE</v>
      </c>
    </row>
    <row r="389" spans="1:22" ht="15.75">
      <c r="A389" s="21">
        <v>387</v>
      </c>
      <c r="B389" s="5" t="s">
        <v>1163</v>
      </c>
      <c r="C389" s="23" t="s">
        <v>3363</v>
      </c>
      <c r="D389" s="23" t="s">
        <v>34</v>
      </c>
      <c r="E389" s="5" t="s">
        <v>1164</v>
      </c>
      <c r="F389" s="71" t="s">
        <v>6103</v>
      </c>
      <c r="G389" s="22" t="s">
        <v>3933</v>
      </c>
      <c r="H389" s="5" t="s">
        <v>3932</v>
      </c>
      <c r="I389" s="5" t="s">
        <v>56</v>
      </c>
      <c r="J389" s="5" t="s">
        <v>4968</v>
      </c>
      <c r="K389" s="5" t="s">
        <v>1165</v>
      </c>
      <c r="L389" s="22"/>
      <c r="M389" s="8" t="str">
        <f t="shared" si="60"/>
        <v>Ok</v>
      </c>
      <c r="N389" s="9" t="b">
        <f t="shared" si="61"/>
        <v>1</v>
      </c>
      <c r="O389" s="9" t="b">
        <f t="shared" si="62"/>
        <v>0</v>
      </c>
      <c r="P389" s="8" t="str">
        <f t="shared" si="63"/>
        <v>FALSE</v>
      </c>
      <c r="Q389" s="8" t="str">
        <f t="shared" si="64"/>
        <v>FALSE</v>
      </c>
      <c r="R389" s="9" t="b">
        <f t="shared" si="65"/>
        <v>0</v>
      </c>
      <c r="S389" s="8" t="b">
        <f t="shared" si="66"/>
        <v>0</v>
      </c>
      <c r="T389" s="10" t="b">
        <f t="shared" si="67"/>
        <v>1</v>
      </c>
      <c r="U389" s="8" t="str">
        <f t="shared" si="68"/>
        <v>TRUE</v>
      </c>
      <c r="V389" s="11" t="str">
        <f t="shared" si="69"/>
        <v>TRUE</v>
      </c>
    </row>
    <row r="390" spans="1:22" ht="15.75">
      <c r="A390" s="21">
        <v>388</v>
      </c>
      <c r="B390" s="5" t="s">
        <v>1166</v>
      </c>
      <c r="C390" s="23" t="s">
        <v>3698</v>
      </c>
      <c r="D390" s="23" t="s">
        <v>59</v>
      </c>
      <c r="E390" s="5" t="s">
        <v>1167</v>
      </c>
      <c r="F390" s="71" t="s">
        <v>6103</v>
      </c>
      <c r="G390" s="22" t="s">
        <v>3934</v>
      </c>
      <c r="H390" s="5" t="s">
        <v>13</v>
      </c>
      <c r="I390" s="5" t="s">
        <v>67</v>
      </c>
      <c r="J390" s="5" t="s">
        <v>5046</v>
      </c>
      <c r="K390" s="5" t="s">
        <v>1168</v>
      </c>
      <c r="L390" s="22"/>
      <c r="M390" s="8" t="str">
        <f t="shared" si="60"/>
        <v>Ok</v>
      </c>
      <c r="N390" s="9" t="b">
        <f t="shared" si="61"/>
        <v>0</v>
      </c>
      <c r="O390" s="9" t="b">
        <f t="shared" si="62"/>
        <v>1</v>
      </c>
      <c r="P390" s="8" t="str">
        <f t="shared" si="63"/>
        <v>FALSE</v>
      </c>
      <c r="Q390" s="8" t="str">
        <f t="shared" si="64"/>
        <v>FALSE</v>
      </c>
      <c r="R390" s="9" t="b">
        <f t="shared" si="65"/>
        <v>0</v>
      </c>
      <c r="S390" s="8" t="b">
        <f t="shared" si="66"/>
        <v>0</v>
      </c>
      <c r="T390" s="10" t="b">
        <f t="shared" si="67"/>
        <v>0</v>
      </c>
      <c r="U390" s="8" t="str">
        <f t="shared" si="68"/>
        <v>TRUE</v>
      </c>
      <c r="V390" s="11" t="str">
        <f t="shared" si="69"/>
        <v>TRUE</v>
      </c>
    </row>
    <row r="391" spans="1:22" ht="15.75">
      <c r="A391" s="21">
        <v>389</v>
      </c>
      <c r="B391" s="5" t="s">
        <v>1169</v>
      </c>
      <c r="C391" s="23" t="s">
        <v>3699</v>
      </c>
      <c r="D391" s="23" t="s">
        <v>59</v>
      </c>
      <c r="E391" s="5" t="s">
        <v>1170</v>
      </c>
      <c r="F391" s="71" t="s">
        <v>6103</v>
      </c>
      <c r="G391" s="22" t="s">
        <v>3934</v>
      </c>
      <c r="H391" s="5" t="s">
        <v>13</v>
      </c>
      <c r="I391" s="5" t="s">
        <v>14</v>
      </c>
      <c r="J391" s="5" t="s">
        <v>5039</v>
      </c>
      <c r="K391" s="5" t="s">
        <v>1171</v>
      </c>
      <c r="L391" s="22"/>
      <c r="M391" s="8" t="str">
        <f t="shared" si="60"/>
        <v>Ok</v>
      </c>
      <c r="N391" s="9" t="b">
        <f t="shared" si="61"/>
        <v>0</v>
      </c>
      <c r="O391" s="9" t="b">
        <f t="shared" si="62"/>
        <v>1</v>
      </c>
      <c r="P391" s="8" t="str">
        <f t="shared" si="63"/>
        <v>FALSE</v>
      </c>
      <c r="Q391" s="8" t="str">
        <f t="shared" si="64"/>
        <v>FALSE</v>
      </c>
      <c r="R391" s="9" t="b">
        <f t="shared" si="65"/>
        <v>0</v>
      </c>
      <c r="S391" s="8" t="b">
        <f t="shared" si="66"/>
        <v>0</v>
      </c>
      <c r="T391" s="10" t="b">
        <f t="shared" si="67"/>
        <v>1</v>
      </c>
      <c r="U391" s="8" t="str">
        <f t="shared" si="68"/>
        <v>TRUE</v>
      </c>
      <c r="V391" s="11" t="str">
        <f t="shared" si="69"/>
        <v>TRUE</v>
      </c>
    </row>
    <row r="392" spans="1:22" ht="15.75">
      <c r="A392" s="21">
        <v>390</v>
      </c>
      <c r="B392" s="5" t="s">
        <v>1172</v>
      </c>
      <c r="C392" s="23" t="s">
        <v>3010</v>
      </c>
      <c r="D392" s="23" t="s">
        <v>34</v>
      </c>
      <c r="E392" s="5" t="s">
        <v>1173</v>
      </c>
      <c r="F392" s="71" t="s">
        <v>6103</v>
      </c>
      <c r="G392" s="22" t="s">
        <v>40</v>
      </c>
      <c r="H392" s="5" t="s">
        <v>41</v>
      </c>
      <c r="I392" s="5" t="s">
        <v>42</v>
      </c>
      <c r="J392" s="5" t="s">
        <v>5595</v>
      </c>
      <c r="K392" s="5" t="s">
        <v>1174</v>
      </c>
      <c r="L392" s="22"/>
      <c r="M392" s="8" t="str">
        <f t="shared" si="60"/>
        <v>Ok</v>
      </c>
      <c r="N392" s="9" t="b">
        <f t="shared" si="61"/>
        <v>0</v>
      </c>
      <c r="O392" s="9" t="b">
        <f t="shared" si="62"/>
        <v>0</v>
      </c>
      <c r="P392" s="8" t="str">
        <f t="shared" si="63"/>
        <v>FALSE</v>
      </c>
      <c r="Q392" s="8" t="str">
        <f t="shared" si="64"/>
        <v>FALSE</v>
      </c>
      <c r="R392" s="9" t="b">
        <f t="shared" si="65"/>
        <v>1</v>
      </c>
      <c r="S392" s="8" t="b">
        <f t="shared" si="66"/>
        <v>0</v>
      </c>
      <c r="T392" s="10" t="b">
        <f t="shared" si="67"/>
        <v>1</v>
      </c>
      <c r="U392" s="8" t="str">
        <f t="shared" si="68"/>
        <v>FALSE</v>
      </c>
      <c r="V392" s="11" t="str">
        <f t="shared" si="69"/>
        <v>TRUE</v>
      </c>
    </row>
    <row r="393" spans="1:22" ht="15.75">
      <c r="A393" s="21">
        <v>391</v>
      </c>
      <c r="B393" s="5" t="s">
        <v>1175</v>
      </c>
      <c r="C393" s="23" t="s">
        <v>3896</v>
      </c>
      <c r="D393" s="23" t="s">
        <v>17</v>
      </c>
      <c r="E393" s="5" t="s">
        <v>1176</v>
      </c>
      <c r="F393" s="71" t="s">
        <v>6103</v>
      </c>
      <c r="G393" s="22" t="s">
        <v>119</v>
      </c>
      <c r="H393" s="5" t="s">
        <v>120</v>
      </c>
      <c r="I393" s="5" t="s">
        <v>67</v>
      </c>
      <c r="J393" s="5" t="s">
        <v>5562</v>
      </c>
      <c r="K393" s="5" t="s">
        <v>1177</v>
      </c>
      <c r="L393" s="22"/>
      <c r="M393" s="8" t="str">
        <f t="shared" si="60"/>
        <v>Ok</v>
      </c>
      <c r="N393" s="9" t="b">
        <f t="shared" si="61"/>
        <v>0</v>
      </c>
      <c r="O393" s="9" t="b">
        <f t="shared" si="62"/>
        <v>1</v>
      </c>
      <c r="P393" s="8" t="str">
        <f t="shared" si="63"/>
        <v>FALSE</v>
      </c>
      <c r="Q393" s="8" t="str">
        <f t="shared" si="64"/>
        <v>FALSE</v>
      </c>
      <c r="R393" s="9" t="b">
        <f t="shared" si="65"/>
        <v>0</v>
      </c>
      <c r="S393" s="8" t="b">
        <f t="shared" si="66"/>
        <v>1</v>
      </c>
      <c r="T393" s="10" t="b">
        <f t="shared" si="67"/>
        <v>0</v>
      </c>
      <c r="U393" s="8" t="str">
        <f t="shared" si="68"/>
        <v>FALSE</v>
      </c>
      <c r="V393" s="11" t="str">
        <f t="shared" si="69"/>
        <v>TRUE</v>
      </c>
    </row>
    <row r="394" spans="1:22" ht="15.75">
      <c r="A394" s="21">
        <v>392</v>
      </c>
      <c r="B394" s="5" t="s">
        <v>1178</v>
      </c>
      <c r="C394" s="23" t="s">
        <v>3091</v>
      </c>
      <c r="D394" s="23" t="s">
        <v>77</v>
      </c>
      <c r="E394" s="5" t="s">
        <v>1179</v>
      </c>
      <c r="F394" s="71" t="s">
        <v>6103</v>
      </c>
      <c r="G394" s="22" t="s">
        <v>179</v>
      </c>
      <c r="H394" s="5" t="s">
        <v>3932</v>
      </c>
      <c r="I394" s="5" t="s">
        <v>21</v>
      </c>
      <c r="J394" s="5" t="s">
        <v>5101</v>
      </c>
      <c r="K394" s="5" t="s">
        <v>1180</v>
      </c>
      <c r="L394" s="22"/>
      <c r="M394" s="8" t="str">
        <f t="shared" si="60"/>
        <v>Ok</v>
      </c>
      <c r="N394" s="9" t="b">
        <f t="shared" si="61"/>
        <v>0</v>
      </c>
      <c r="O394" s="9" t="b">
        <f t="shared" si="62"/>
        <v>0</v>
      </c>
      <c r="P394" s="8" t="str">
        <f t="shared" si="63"/>
        <v>FALSE</v>
      </c>
      <c r="Q394" s="8" t="str">
        <f t="shared" si="64"/>
        <v>FALSE</v>
      </c>
      <c r="R394" s="9" t="b">
        <f t="shared" si="65"/>
        <v>1</v>
      </c>
      <c r="S394" s="8" t="b">
        <f t="shared" si="66"/>
        <v>0</v>
      </c>
      <c r="T394" s="10" t="b">
        <f t="shared" si="67"/>
        <v>0</v>
      </c>
      <c r="U394" s="8" t="str">
        <f t="shared" si="68"/>
        <v>TRUE</v>
      </c>
      <c r="V394" s="11" t="str">
        <f t="shared" si="69"/>
        <v>TRUE</v>
      </c>
    </row>
    <row r="395" spans="1:22" ht="15.75">
      <c r="A395" s="21">
        <v>393</v>
      </c>
      <c r="B395" s="5" t="s">
        <v>1181</v>
      </c>
      <c r="C395" s="23" t="s">
        <v>3475</v>
      </c>
      <c r="D395" s="23" t="s">
        <v>77</v>
      </c>
      <c r="E395" s="5" t="s">
        <v>1182</v>
      </c>
      <c r="F395" s="71" t="s">
        <v>6103</v>
      </c>
      <c r="G395" s="22" t="s">
        <v>160</v>
      </c>
      <c r="H395" s="5" t="s">
        <v>3932</v>
      </c>
      <c r="I395" s="5" t="s">
        <v>50</v>
      </c>
      <c r="J395" s="5" t="s">
        <v>5761</v>
      </c>
      <c r="K395" s="5" t="s">
        <v>1183</v>
      </c>
      <c r="L395" s="22"/>
      <c r="M395" s="8" t="str">
        <f t="shared" si="60"/>
        <v>Ok</v>
      </c>
      <c r="N395" s="9" t="b">
        <f t="shared" si="61"/>
        <v>1</v>
      </c>
      <c r="O395" s="9" t="b">
        <f t="shared" si="62"/>
        <v>0</v>
      </c>
      <c r="P395" s="8" t="str">
        <f t="shared" si="63"/>
        <v>FALSE</v>
      </c>
      <c r="Q395" s="8" t="str">
        <f t="shared" si="64"/>
        <v>FALSE</v>
      </c>
      <c r="R395" s="9" t="b">
        <f t="shared" si="65"/>
        <v>0</v>
      </c>
      <c r="S395" s="8" t="b">
        <f t="shared" si="66"/>
        <v>0</v>
      </c>
      <c r="T395" s="10" t="b">
        <f t="shared" si="67"/>
        <v>0</v>
      </c>
      <c r="U395" s="8" t="str">
        <f t="shared" si="68"/>
        <v>FALSE</v>
      </c>
      <c r="V395" s="11" t="str">
        <f t="shared" si="69"/>
        <v>TRUE</v>
      </c>
    </row>
    <row r="396" spans="1:22" ht="15.75">
      <c r="A396" s="21">
        <v>394</v>
      </c>
      <c r="B396" s="5" t="s">
        <v>1184</v>
      </c>
      <c r="C396" s="23" t="s">
        <v>3011</v>
      </c>
      <c r="D396" s="23" t="s">
        <v>34</v>
      </c>
      <c r="E396" s="5" t="s">
        <v>1185</v>
      </c>
      <c r="F396" s="71" t="s">
        <v>6103</v>
      </c>
      <c r="G396" s="22" t="s">
        <v>179</v>
      </c>
      <c r="H396" s="5" t="s">
        <v>3932</v>
      </c>
      <c r="I396" s="5" t="s">
        <v>67</v>
      </c>
      <c r="J396" s="5" t="s">
        <v>5566</v>
      </c>
      <c r="K396" s="5" t="s">
        <v>1186</v>
      </c>
      <c r="L396" s="22"/>
      <c r="M396" s="8" t="str">
        <f t="shared" si="60"/>
        <v>Ok</v>
      </c>
      <c r="N396" s="9" t="b">
        <f t="shared" si="61"/>
        <v>0</v>
      </c>
      <c r="O396" s="9" t="b">
        <f t="shared" si="62"/>
        <v>0</v>
      </c>
      <c r="P396" s="8" t="str">
        <f t="shared" si="63"/>
        <v>FALSE</v>
      </c>
      <c r="Q396" s="8" t="str">
        <f t="shared" si="64"/>
        <v>FALSE</v>
      </c>
      <c r="R396" s="9" t="b">
        <f t="shared" si="65"/>
        <v>1</v>
      </c>
      <c r="S396" s="8" t="b">
        <f t="shared" si="66"/>
        <v>0</v>
      </c>
      <c r="T396" s="10" t="b">
        <f t="shared" si="67"/>
        <v>0</v>
      </c>
      <c r="U396" s="8" t="str">
        <f t="shared" si="68"/>
        <v>FALSE</v>
      </c>
      <c r="V396" s="11" t="str">
        <f t="shared" si="69"/>
        <v>TRUE</v>
      </c>
    </row>
    <row r="397" spans="1:22" ht="15.75">
      <c r="A397" s="21">
        <v>395</v>
      </c>
      <c r="B397" s="5" t="s">
        <v>1187</v>
      </c>
      <c r="C397" s="23" t="s">
        <v>3783</v>
      </c>
      <c r="D397" s="23" t="s">
        <v>59</v>
      </c>
      <c r="E397" s="5" t="s">
        <v>1188</v>
      </c>
      <c r="F397" s="71" t="s">
        <v>6103</v>
      </c>
      <c r="G397" s="22" t="s">
        <v>24</v>
      </c>
      <c r="H397" s="5" t="s">
        <v>25</v>
      </c>
      <c r="I397" s="5" t="s">
        <v>14</v>
      </c>
      <c r="J397" s="5" t="s">
        <v>5139</v>
      </c>
      <c r="K397" s="5" t="s">
        <v>1189</v>
      </c>
      <c r="L397" s="22"/>
      <c r="M397" s="8" t="str">
        <f t="shared" si="60"/>
        <v>Ok</v>
      </c>
      <c r="N397" s="9" t="b">
        <f t="shared" si="61"/>
        <v>0</v>
      </c>
      <c r="O397" s="9" t="b">
        <f t="shared" si="62"/>
        <v>1</v>
      </c>
      <c r="P397" s="8" t="str">
        <f t="shared" si="63"/>
        <v>FALSE</v>
      </c>
      <c r="Q397" s="8" t="str">
        <f t="shared" si="64"/>
        <v>FALSE</v>
      </c>
      <c r="R397" s="9" t="b">
        <f t="shared" si="65"/>
        <v>0</v>
      </c>
      <c r="S397" s="8" t="b">
        <f t="shared" si="66"/>
        <v>0</v>
      </c>
      <c r="T397" s="10" t="b">
        <f t="shared" si="67"/>
        <v>1</v>
      </c>
      <c r="U397" s="8" t="str">
        <f t="shared" si="68"/>
        <v>TRUE</v>
      </c>
      <c r="V397" s="11" t="str">
        <f t="shared" si="69"/>
        <v>TRUE</v>
      </c>
    </row>
    <row r="398" spans="1:22" ht="15.75">
      <c r="A398" s="21">
        <v>396</v>
      </c>
      <c r="B398" s="5" t="s">
        <v>1190</v>
      </c>
      <c r="C398" s="23" t="s">
        <v>3476</v>
      </c>
      <c r="D398" s="23" t="s">
        <v>17</v>
      </c>
      <c r="E398" s="5" t="s">
        <v>1191</v>
      </c>
      <c r="F398" s="71" t="s">
        <v>6103</v>
      </c>
      <c r="G398" s="22" t="s">
        <v>160</v>
      </c>
      <c r="H398" s="5" t="s">
        <v>3932</v>
      </c>
      <c r="I398" s="5" t="s">
        <v>67</v>
      </c>
      <c r="J398" s="5" t="s">
        <v>5447</v>
      </c>
      <c r="K398" s="5" t="s">
        <v>1192</v>
      </c>
      <c r="L398" s="22"/>
      <c r="M398" s="8" t="str">
        <f t="shared" si="60"/>
        <v>Ok</v>
      </c>
      <c r="N398" s="9" t="b">
        <f t="shared" si="61"/>
        <v>1</v>
      </c>
      <c r="O398" s="9" t="b">
        <f t="shared" si="62"/>
        <v>1</v>
      </c>
      <c r="P398" s="8" t="str">
        <f t="shared" si="63"/>
        <v>FALSE</v>
      </c>
      <c r="Q398" s="8" t="str">
        <f t="shared" si="64"/>
        <v>FALSE</v>
      </c>
      <c r="R398" s="9" t="b">
        <f t="shared" si="65"/>
        <v>0</v>
      </c>
      <c r="S398" s="8" t="b">
        <f t="shared" si="66"/>
        <v>0</v>
      </c>
      <c r="T398" s="10" t="b">
        <f t="shared" si="67"/>
        <v>0</v>
      </c>
      <c r="U398" s="8" t="str">
        <f t="shared" si="68"/>
        <v>TRUE</v>
      </c>
      <c r="V398" s="11" t="str">
        <f t="shared" si="69"/>
        <v>TRUE</v>
      </c>
    </row>
    <row r="399" spans="1:22" ht="15.75">
      <c r="A399" s="21">
        <v>397</v>
      </c>
      <c r="B399" s="5" t="s">
        <v>1193</v>
      </c>
      <c r="C399" s="23" t="s">
        <v>3364</v>
      </c>
      <c r="D399" s="23" t="s">
        <v>34</v>
      </c>
      <c r="E399" s="5" t="s">
        <v>1194</v>
      </c>
      <c r="F399" s="71" t="s">
        <v>6103</v>
      </c>
      <c r="G399" s="22" t="s">
        <v>216</v>
      </c>
      <c r="H399" s="5" t="s">
        <v>217</v>
      </c>
      <c r="I399" s="5" t="s">
        <v>14</v>
      </c>
      <c r="J399" s="5" t="s">
        <v>5358</v>
      </c>
      <c r="K399" s="5" t="s">
        <v>1195</v>
      </c>
      <c r="L399" s="22"/>
      <c r="M399" s="8" t="str">
        <f t="shared" si="60"/>
        <v>Ok</v>
      </c>
      <c r="N399" s="9" t="b">
        <f t="shared" si="61"/>
        <v>1</v>
      </c>
      <c r="O399" s="9" t="b">
        <f t="shared" si="62"/>
        <v>0</v>
      </c>
      <c r="P399" s="8" t="str">
        <f t="shared" si="63"/>
        <v>FALSE</v>
      </c>
      <c r="Q399" s="8" t="str">
        <f t="shared" si="64"/>
        <v>FALSE</v>
      </c>
      <c r="R399" s="9" t="b">
        <f t="shared" si="65"/>
        <v>0</v>
      </c>
      <c r="S399" s="8" t="b">
        <f t="shared" si="66"/>
        <v>0</v>
      </c>
      <c r="T399" s="10" t="b">
        <f t="shared" si="67"/>
        <v>1</v>
      </c>
      <c r="U399" s="8" t="str">
        <f t="shared" si="68"/>
        <v>TRUE</v>
      </c>
      <c r="V399" s="11" t="str">
        <f t="shared" si="69"/>
        <v>FALSE</v>
      </c>
    </row>
    <row r="400" spans="1:22" ht="15.75">
      <c r="A400" s="21">
        <v>398</v>
      </c>
      <c r="B400" s="5" t="s">
        <v>1196</v>
      </c>
      <c r="C400" s="23" t="s">
        <v>3477</v>
      </c>
      <c r="D400" s="23" t="s">
        <v>77</v>
      </c>
      <c r="E400" s="5" t="s">
        <v>1197</v>
      </c>
      <c r="F400" s="71" t="s">
        <v>6103</v>
      </c>
      <c r="G400" s="22" t="s">
        <v>160</v>
      </c>
      <c r="H400" s="5" t="s">
        <v>3932</v>
      </c>
      <c r="I400" s="5" t="s">
        <v>50</v>
      </c>
      <c r="J400" s="5" t="s">
        <v>5302</v>
      </c>
      <c r="K400" s="5" t="s">
        <v>1198</v>
      </c>
      <c r="L400" s="22"/>
      <c r="M400" s="8" t="str">
        <f t="shared" si="60"/>
        <v>Ok</v>
      </c>
      <c r="N400" s="9" t="b">
        <f t="shared" si="61"/>
        <v>1</v>
      </c>
      <c r="O400" s="9" t="b">
        <f t="shared" si="62"/>
        <v>0</v>
      </c>
      <c r="P400" s="8" t="str">
        <f t="shared" si="63"/>
        <v>FALSE</v>
      </c>
      <c r="Q400" s="8" t="str">
        <f t="shared" si="64"/>
        <v>FALSE</v>
      </c>
      <c r="R400" s="9" t="b">
        <f t="shared" si="65"/>
        <v>0</v>
      </c>
      <c r="S400" s="8" t="b">
        <f t="shared" si="66"/>
        <v>0</v>
      </c>
      <c r="T400" s="10" t="b">
        <f t="shared" si="67"/>
        <v>0</v>
      </c>
      <c r="U400" s="8" t="str">
        <f t="shared" si="68"/>
        <v>TRUE</v>
      </c>
      <c r="V400" s="11" t="str">
        <f t="shared" si="69"/>
        <v>TRUE</v>
      </c>
    </row>
    <row r="401" spans="1:22" ht="15.75">
      <c r="A401" s="21">
        <v>399</v>
      </c>
      <c r="B401" s="5" t="s">
        <v>1199</v>
      </c>
      <c r="C401" s="23" t="s">
        <v>3478</v>
      </c>
      <c r="D401" s="23" t="s">
        <v>77</v>
      </c>
      <c r="E401" s="5" t="s">
        <v>1200</v>
      </c>
      <c r="F401" s="71" t="s">
        <v>6103</v>
      </c>
      <c r="G401" s="22" t="s">
        <v>160</v>
      </c>
      <c r="H401" s="5" t="s">
        <v>3932</v>
      </c>
      <c r="I401" s="5" t="s">
        <v>21</v>
      </c>
      <c r="J401" s="5" t="s">
        <v>4940</v>
      </c>
      <c r="K401" s="5" t="s">
        <v>1201</v>
      </c>
      <c r="L401" s="22"/>
      <c r="M401" s="8" t="str">
        <f t="shared" si="60"/>
        <v>Ok</v>
      </c>
      <c r="N401" s="9" t="b">
        <f t="shared" si="61"/>
        <v>1</v>
      </c>
      <c r="O401" s="9" t="b">
        <f t="shared" si="62"/>
        <v>0</v>
      </c>
      <c r="P401" s="8" t="str">
        <f t="shared" si="63"/>
        <v>FALSE</v>
      </c>
      <c r="Q401" s="8" t="str">
        <f t="shared" si="64"/>
        <v>FALSE</v>
      </c>
      <c r="R401" s="9" t="b">
        <f t="shared" si="65"/>
        <v>0</v>
      </c>
      <c r="S401" s="8" t="b">
        <f t="shared" si="66"/>
        <v>0</v>
      </c>
      <c r="T401" s="10" t="b">
        <f t="shared" si="67"/>
        <v>0</v>
      </c>
      <c r="U401" s="8" t="str">
        <f t="shared" si="68"/>
        <v>TRUE</v>
      </c>
      <c r="V401" s="11" t="str">
        <f t="shared" si="69"/>
        <v>TRUE</v>
      </c>
    </row>
    <row r="402" spans="1:22" ht="15.75">
      <c r="A402" s="21">
        <v>400</v>
      </c>
      <c r="B402" s="5" t="s">
        <v>1202</v>
      </c>
      <c r="C402" s="23" t="s">
        <v>3784</v>
      </c>
      <c r="D402" s="23" t="s">
        <v>59</v>
      </c>
      <c r="E402" s="5" t="s">
        <v>1203</v>
      </c>
      <c r="F402" s="71" t="s">
        <v>6103</v>
      </c>
      <c r="G402" s="22" t="s">
        <v>24</v>
      </c>
      <c r="H402" s="5" t="s">
        <v>25</v>
      </c>
      <c r="I402" s="5" t="s">
        <v>14</v>
      </c>
      <c r="J402" s="5" t="s">
        <v>5082</v>
      </c>
      <c r="K402" s="5" t="s">
        <v>1204</v>
      </c>
      <c r="L402" s="22"/>
      <c r="M402" s="8" t="str">
        <f t="shared" si="60"/>
        <v>Ok</v>
      </c>
      <c r="N402" s="9" t="b">
        <f t="shared" si="61"/>
        <v>0</v>
      </c>
      <c r="O402" s="9" t="b">
        <f t="shared" si="62"/>
        <v>1</v>
      </c>
      <c r="P402" s="8" t="str">
        <f t="shared" si="63"/>
        <v>FALSE</v>
      </c>
      <c r="Q402" s="8" t="str">
        <f t="shared" si="64"/>
        <v>FALSE</v>
      </c>
      <c r="R402" s="9" t="b">
        <f t="shared" si="65"/>
        <v>0</v>
      </c>
      <c r="S402" s="8" t="b">
        <f t="shared" si="66"/>
        <v>0</v>
      </c>
      <c r="T402" s="10" t="b">
        <f t="shared" si="67"/>
        <v>1</v>
      </c>
      <c r="U402" s="8" t="str">
        <f t="shared" si="68"/>
        <v>TRUE</v>
      </c>
      <c r="V402" s="11" t="str">
        <f t="shared" si="69"/>
        <v>TRUE</v>
      </c>
    </row>
    <row r="403" spans="1:22" ht="15.75">
      <c r="A403" s="21">
        <v>401</v>
      </c>
      <c r="B403" s="5" t="s">
        <v>1205</v>
      </c>
      <c r="C403" s="23" t="s">
        <v>3365</v>
      </c>
      <c r="D403" s="23" t="s">
        <v>34</v>
      </c>
      <c r="E403" s="5" t="s">
        <v>1206</v>
      </c>
      <c r="F403" s="71" t="s">
        <v>6103</v>
      </c>
      <c r="G403" s="22" t="s">
        <v>3933</v>
      </c>
      <c r="H403" s="5" t="s">
        <v>3932</v>
      </c>
      <c r="I403" s="5" t="s">
        <v>56</v>
      </c>
      <c r="J403" s="5" t="s">
        <v>5367</v>
      </c>
      <c r="K403" s="5" t="s">
        <v>1207</v>
      </c>
      <c r="L403" s="22"/>
      <c r="M403" s="8" t="str">
        <f t="shared" si="60"/>
        <v>Ok</v>
      </c>
      <c r="N403" s="9" t="b">
        <f t="shared" si="61"/>
        <v>1</v>
      </c>
      <c r="O403" s="9" t="b">
        <f t="shared" si="62"/>
        <v>0</v>
      </c>
      <c r="P403" s="8" t="str">
        <f t="shared" si="63"/>
        <v>FALSE</v>
      </c>
      <c r="Q403" s="8" t="str">
        <f t="shared" si="64"/>
        <v>FALSE</v>
      </c>
      <c r="R403" s="9" t="b">
        <f t="shared" si="65"/>
        <v>0</v>
      </c>
      <c r="S403" s="8" t="b">
        <f t="shared" si="66"/>
        <v>0</v>
      </c>
      <c r="T403" s="10" t="b">
        <f t="shared" si="67"/>
        <v>1</v>
      </c>
      <c r="U403" s="8" t="str">
        <f t="shared" si="68"/>
        <v>TRUE</v>
      </c>
      <c r="V403" s="11" t="str">
        <f t="shared" si="69"/>
        <v>FALSE</v>
      </c>
    </row>
    <row r="404" spans="1:22" ht="15.75">
      <c r="A404" s="21">
        <v>402</v>
      </c>
      <c r="B404" s="5" t="s">
        <v>1208</v>
      </c>
      <c r="C404" s="23" t="s">
        <v>3139</v>
      </c>
      <c r="D404" s="23" t="s">
        <v>77</v>
      </c>
      <c r="E404" s="5" t="s">
        <v>1209</v>
      </c>
      <c r="F404" s="71" t="s">
        <v>6103</v>
      </c>
      <c r="G404" s="22" t="s">
        <v>179</v>
      </c>
      <c r="H404" s="22" t="s">
        <v>179</v>
      </c>
      <c r="I404" s="5" t="s">
        <v>50</v>
      </c>
      <c r="J404" s="5" t="s">
        <v>5695</v>
      </c>
      <c r="K404" s="5" t="s">
        <v>1210</v>
      </c>
      <c r="L404" s="22"/>
      <c r="M404" s="8" t="str">
        <f t="shared" si="60"/>
        <v>Ok</v>
      </c>
      <c r="N404" s="9" t="b">
        <f t="shared" si="61"/>
        <v>0</v>
      </c>
      <c r="O404" s="9" t="b">
        <f t="shared" si="62"/>
        <v>0</v>
      </c>
      <c r="P404" s="8" t="str">
        <f t="shared" si="63"/>
        <v>FALSE</v>
      </c>
      <c r="Q404" s="8" t="str">
        <f t="shared" si="64"/>
        <v>FALSE</v>
      </c>
      <c r="R404" s="9" t="b">
        <f t="shared" si="65"/>
        <v>1</v>
      </c>
      <c r="S404" s="8" t="b">
        <f t="shared" si="66"/>
        <v>1</v>
      </c>
      <c r="T404" s="10" t="b">
        <f t="shared" si="67"/>
        <v>0</v>
      </c>
      <c r="U404" s="8" t="str">
        <f t="shared" si="68"/>
        <v>FALSE</v>
      </c>
      <c r="V404" s="11" t="str">
        <f t="shared" si="69"/>
        <v>TRUE</v>
      </c>
    </row>
    <row r="405" spans="1:22" ht="15.75">
      <c r="A405" s="21">
        <v>403</v>
      </c>
      <c r="B405" s="5" t="s">
        <v>1211</v>
      </c>
      <c r="C405" s="23" t="s">
        <v>3615</v>
      </c>
      <c r="D405" s="23" t="s">
        <v>59</v>
      </c>
      <c r="E405" s="5" t="s">
        <v>1212</v>
      </c>
      <c r="F405" s="71" t="s">
        <v>6103</v>
      </c>
      <c r="G405" s="22" t="s">
        <v>160</v>
      </c>
      <c r="H405" s="5" t="s">
        <v>36</v>
      </c>
      <c r="I405" s="5" t="s">
        <v>26</v>
      </c>
      <c r="J405" s="5" t="s">
        <v>5648</v>
      </c>
      <c r="K405" s="5" t="s">
        <v>1213</v>
      </c>
      <c r="L405" s="22"/>
      <c r="M405" s="8" t="str">
        <f t="shared" si="60"/>
        <v>Ok</v>
      </c>
      <c r="N405" s="9" t="b">
        <f t="shared" si="61"/>
        <v>1</v>
      </c>
      <c r="O405" s="9" t="b">
        <f t="shared" si="62"/>
        <v>1</v>
      </c>
      <c r="P405" s="8" t="str">
        <f t="shared" si="63"/>
        <v>FALSE</v>
      </c>
      <c r="Q405" s="8" t="str">
        <f t="shared" si="64"/>
        <v>FALSE</v>
      </c>
      <c r="R405" s="9" t="b">
        <f t="shared" si="65"/>
        <v>0</v>
      </c>
      <c r="S405" s="8" t="b">
        <f t="shared" si="66"/>
        <v>1</v>
      </c>
      <c r="T405" s="10" t="b">
        <f t="shared" si="67"/>
        <v>0</v>
      </c>
      <c r="U405" s="8" t="str">
        <f t="shared" si="68"/>
        <v>FALSE</v>
      </c>
      <c r="V405" s="11" t="str">
        <f t="shared" si="69"/>
        <v>FALSE</v>
      </c>
    </row>
    <row r="406" spans="1:22" ht="15.75">
      <c r="A406" s="21">
        <v>404</v>
      </c>
      <c r="B406" s="5" t="s">
        <v>1214</v>
      </c>
      <c r="C406" s="23" t="s">
        <v>3232</v>
      </c>
      <c r="D406" s="23" t="s">
        <v>77</v>
      </c>
      <c r="E406" s="5" t="s">
        <v>1215</v>
      </c>
      <c r="F406" s="71" t="s">
        <v>6103</v>
      </c>
      <c r="G406" s="22" t="s">
        <v>179</v>
      </c>
      <c r="H406" s="5" t="s">
        <v>3932</v>
      </c>
      <c r="I406" s="5" t="s">
        <v>21</v>
      </c>
      <c r="J406" s="5" t="s">
        <v>5268</v>
      </c>
      <c r="K406" s="5" t="s">
        <v>1216</v>
      </c>
      <c r="L406" s="22"/>
      <c r="M406" s="8" t="str">
        <f t="shared" si="60"/>
        <v>Ok</v>
      </c>
      <c r="N406" s="9" t="b">
        <f t="shared" si="61"/>
        <v>1</v>
      </c>
      <c r="O406" s="9" t="b">
        <f t="shared" si="62"/>
        <v>0</v>
      </c>
      <c r="P406" s="8" t="str">
        <f t="shared" si="63"/>
        <v>FALSE</v>
      </c>
      <c r="Q406" s="8" t="str">
        <f t="shared" si="64"/>
        <v>FALSE</v>
      </c>
      <c r="R406" s="9" t="b">
        <f t="shared" si="65"/>
        <v>1</v>
      </c>
      <c r="S406" s="8" t="b">
        <f t="shared" si="66"/>
        <v>0</v>
      </c>
      <c r="T406" s="10" t="b">
        <f t="shared" si="67"/>
        <v>0</v>
      </c>
      <c r="U406" s="8" t="str">
        <f t="shared" si="68"/>
        <v>TRUE</v>
      </c>
      <c r="V406" s="11" t="str">
        <f t="shared" si="69"/>
        <v>TRUE</v>
      </c>
    </row>
    <row r="407" spans="1:22" ht="15.75">
      <c r="A407" s="21">
        <v>405</v>
      </c>
      <c r="B407" s="5" t="s">
        <v>1217</v>
      </c>
      <c r="C407" s="23" t="s">
        <v>3140</v>
      </c>
      <c r="D407" s="23" t="s">
        <v>77</v>
      </c>
      <c r="E407" s="5" t="s">
        <v>1218</v>
      </c>
      <c r="F407" s="71" t="s">
        <v>6103</v>
      </c>
      <c r="G407" s="22" t="s">
        <v>179</v>
      </c>
      <c r="H407" s="5" t="s">
        <v>3932</v>
      </c>
      <c r="I407" s="5" t="s">
        <v>21</v>
      </c>
      <c r="J407" s="5" t="s">
        <v>5142</v>
      </c>
      <c r="K407" s="5" t="s">
        <v>1219</v>
      </c>
      <c r="L407" s="22"/>
      <c r="M407" s="8" t="str">
        <f t="shared" si="60"/>
        <v>Ok</v>
      </c>
      <c r="N407" s="9" t="b">
        <f t="shared" si="61"/>
        <v>0</v>
      </c>
      <c r="O407" s="9" t="b">
        <f t="shared" si="62"/>
        <v>0</v>
      </c>
      <c r="P407" s="8" t="str">
        <f t="shared" si="63"/>
        <v>FALSE</v>
      </c>
      <c r="Q407" s="8" t="str">
        <f t="shared" si="64"/>
        <v>FALSE</v>
      </c>
      <c r="R407" s="9" t="b">
        <f t="shared" si="65"/>
        <v>1</v>
      </c>
      <c r="S407" s="8" t="b">
        <f t="shared" si="66"/>
        <v>0</v>
      </c>
      <c r="T407" s="10" t="b">
        <f t="shared" si="67"/>
        <v>0</v>
      </c>
      <c r="U407" s="8" t="str">
        <f t="shared" si="68"/>
        <v>TRUE</v>
      </c>
      <c r="V407" s="11" t="str">
        <f t="shared" si="69"/>
        <v>TRUE</v>
      </c>
    </row>
    <row r="408" spans="1:22" ht="15.75">
      <c r="A408" s="21">
        <v>406</v>
      </c>
      <c r="B408" s="5" t="s">
        <v>1220</v>
      </c>
      <c r="C408" s="23" t="s">
        <v>3897</v>
      </c>
      <c r="D408" s="23" t="s">
        <v>17</v>
      </c>
      <c r="E408" s="5" t="s">
        <v>1221</v>
      </c>
      <c r="F408" s="71" t="s">
        <v>6103</v>
      </c>
      <c r="G408" s="22" t="s">
        <v>85</v>
      </c>
      <c r="H408" s="5" t="s">
        <v>86</v>
      </c>
      <c r="I408" s="5" t="s">
        <v>21</v>
      </c>
      <c r="J408" s="5" t="s">
        <v>5495</v>
      </c>
      <c r="K408" s="5" t="s">
        <v>1222</v>
      </c>
      <c r="L408" s="22"/>
      <c r="M408" s="8" t="str">
        <f t="shared" si="60"/>
        <v>Ok</v>
      </c>
      <c r="N408" s="9" t="b">
        <f t="shared" si="61"/>
        <v>0</v>
      </c>
      <c r="O408" s="9" t="b">
        <f t="shared" si="62"/>
        <v>1</v>
      </c>
      <c r="P408" s="8" t="str">
        <f t="shared" si="63"/>
        <v>FALSE</v>
      </c>
      <c r="Q408" s="8" t="str">
        <f t="shared" si="64"/>
        <v>FALSE</v>
      </c>
      <c r="R408" s="9" t="b">
        <f t="shared" si="65"/>
        <v>1</v>
      </c>
      <c r="S408" s="8" t="b">
        <f t="shared" si="66"/>
        <v>0</v>
      </c>
      <c r="T408" s="10" t="b">
        <f t="shared" si="67"/>
        <v>0</v>
      </c>
      <c r="U408" s="8" t="str">
        <f t="shared" si="68"/>
        <v>FALSE</v>
      </c>
      <c r="V408" s="11" t="str">
        <f t="shared" si="69"/>
        <v>TRUE</v>
      </c>
    </row>
    <row r="409" spans="1:22" ht="15.75">
      <c r="A409" s="21">
        <v>407</v>
      </c>
      <c r="B409" s="5" t="s">
        <v>1223</v>
      </c>
      <c r="C409" s="23" t="s">
        <v>3366</v>
      </c>
      <c r="D409" s="23" t="s">
        <v>34</v>
      </c>
      <c r="E409" s="5" t="s">
        <v>1224</v>
      </c>
      <c r="F409" s="71" t="s">
        <v>6103</v>
      </c>
      <c r="G409" s="22" t="s">
        <v>3933</v>
      </c>
      <c r="H409" s="5" t="s">
        <v>3932</v>
      </c>
      <c r="I409" s="5" t="s">
        <v>67</v>
      </c>
      <c r="J409" s="5" t="s">
        <v>4849</v>
      </c>
      <c r="K409" s="5" t="s">
        <v>1225</v>
      </c>
      <c r="L409" s="22"/>
      <c r="M409" s="8" t="str">
        <f t="shared" si="60"/>
        <v>Ok</v>
      </c>
      <c r="N409" s="9" t="b">
        <f t="shared" si="61"/>
        <v>1</v>
      </c>
      <c r="O409" s="9" t="b">
        <f t="shared" si="62"/>
        <v>0</v>
      </c>
      <c r="P409" s="8" t="str">
        <f t="shared" si="63"/>
        <v>FALSE</v>
      </c>
      <c r="Q409" s="8" t="str">
        <f t="shared" si="64"/>
        <v>FALSE</v>
      </c>
      <c r="R409" s="9" t="b">
        <f t="shared" si="65"/>
        <v>0</v>
      </c>
      <c r="S409" s="8" t="b">
        <f t="shared" si="66"/>
        <v>0</v>
      </c>
      <c r="T409" s="10" t="b">
        <f t="shared" si="67"/>
        <v>0</v>
      </c>
      <c r="U409" s="8" t="str">
        <f t="shared" si="68"/>
        <v>TRUE</v>
      </c>
      <c r="V409" s="11" t="str">
        <f t="shared" si="69"/>
        <v>TRUE</v>
      </c>
    </row>
    <row r="410" spans="1:22" ht="15.75">
      <c r="A410" s="21">
        <v>408</v>
      </c>
      <c r="B410" s="5" t="s">
        <v>1226</v>
      </c>
      <c r="C410" s="23" t="s">
        <v>3700</v>
      </c>
      <c r="D410" s="23" t="s">
        <v>59</v>
      </c>
      <c r="E410" s="5" t="s">
        <v>1227</v>
      </c>
      <c r="F410" s="71" t="s">
        <v>6103</v>
      </c>
      <c r="G410" s="22" t="s">
        <v>3934</v>
      </c>
      <c r="H410" s="5" t="s">
        <v>13</v>
      </c>
      <c r="I410" s="5" t="s">
        <v>56</v>
      </c>
      <c r="J410" s="5" t="s">
        <v>5522</v>
      </c>
      <c r="K410" s="5" t="s">
        <v>1228</v>
      </c>
      <c r="L410" s="22"/>
      <c r="M410" s="8" t="str">
        <f t="shared" si="60"/>
        <v>Ok</v>
      </c>
      <c r="N410" s="9" t="b">
        <f t="shared" si="61"/>
        <v>0</v>
      </c>
      <c r="O410" s="9" t="b">
        <f t="shared" si="62"/>
        <v>1</v>
      </c>
      <c r="P410" s="8" t="str">
        <f t="shared" si="63"/>
        <v>FALSE</v>
      </c>
      <c r="Q410" s="8" t="str">
        <f t="shared" si="64"/>
        <v>FALSE</v>
      </c>
      <c r="R410" s="9" t="b">
        <f t="shared" si="65"/>
        <v>0</v>
      </c>
      <c r="S410" s="8" t="b">
        <f t="shared" si="66"/>
        <v>0</v>
      </c>
      <c r="T410" s="10" t="b">
        <f t="shared" si="67"/>
        <v>1</v>
      </c>
      <c r="U410" s="8" t="str">
        <f t="shared" si="68"/>
        <v>FALSE</v>
      </c>
      <c r="V410" s="11" t="str">
        <f t="shared" si="69"/>
        <v>TRUE</v>
      </c>
    </row>
    <row r="411" spans="1:22" ht="15.75">
      <c r="A411" s="21">
        <v>409</v>
      </c>
      <c r="B411" s="5" t="s">
        <v>1229</v>
      </c>
      <c r="C411" s="23" t="s">
        <v>3557</v>
      </c>
      <c r="D411" s="23" t="s">
        <v>77</v>
      </c>
      <c r="E411" s="5" t="s">
        <v>1230</v>
      </c>
      <c r="F411" s="71" t="s">
        <v>6103</v>
      </c>
      <c r="G411" s="22" t="s">
        <v>12</v>
      </c>
      <c r="H411" s="5" t="s">
        <v>13</v>
      </c>
      <c r="I411" s="5" t="s">
        <v>26</v>
      </c>
      <c r="J411" s="5" t="s">
        <v>5684</v>
      </c>
      <c r="K411" s="5" t="s">
        <v>1231</v>
      </c>
      <c r="L411" s="22"/>
      <c r="M411" s="8" t="str">
        <f t="shared" si="60"/>
        <v>Ok</v>
      </c>
      <c r="N411" s="9" t="b">
        <f t="shared" si="61"/>
        <v>1</v>
      </c>
      <c r="O411" s="9" t="b">
        <f t="shared" si="62"/>
        <v>0</v>
      </c>
      <c r="P411" s="8" t="str">
        <f t="shared" si="63"/>
        <v>FALSE</v>
      </c>
      <c r="Q411" s="8" t="str">
        <f t="shared" si="64"/>
        <v>FALSE</v>
      </c>
      <c r="R411" s="9" t="b">
        <f t="shared" si="65"/>
        <v>1</v>
      </c>
      <c r="S411" s="8" t="b">
        <f t="shared" si="66"/>
        <v>0</v>
      </c>
      <c r="T411" s="10" t="b">
        <f t="shared" si="67"/>
        <v>0</v>
      </c>
      <c r="U411" s="8" t="str">
        <f t="shared" si="68"/>
        <v>FALSE</v>
      </c>
      <c r="V411" s="11" t="str">
        <f t="shared" si="69"/>
        <v>FALSE</v>
      </c>
    </row>
    <row r="412" spans="1:22" ht="15.75">
      <c r="A412" s="21">
        <v>410</v>
      </c>
      <c r="B412" s="5" t="s">
        <v>1232</v>
      </c>
      <c r="C412" s="23" t="s">
        <v>3558</v>
      </c>
      <c r="D412" s="23" t="s">
        <v>77</v>
      </c>
      <c r="E412" s="5" t="s">
        <v>1233</v>
      </c>
      <c r="F412" s="71" t="s">
        <v>6103</v>
      </c>
      <c r="G412" s="22" t="s">
        <v>12</v>
      </c>
      <c r="H412" s="5" t="s">
        <v>13</v>
      </c>
      <c r="I412" s="5" t="s">
        <v>14</v>
      </c>
      <c r="J412" s="5" t="s">
        <v>4891</v>
      </c>
      <c r="K412" s="5" t="s">
        <v>1234</v>
      </c>
      <c r="L412" s="22"/>
      <c r="M412" s="8" t="str">
        <f t="shared" si="60"/>
        <v>Ok</v>
      </c>
      <c r="N412" s="9" t="b">
        <f t="shared" si="61"/>
        <v>1</v>
      </c>
      <c r="O412" s="9" t="b">
        <f t="shared" si="62"/>
        <v>0</v>
      </c>
      <c r="P412" s="8" t="str">
        <f t="shared" si="63"/>
        <v>FALSE</v>
      </c>
      <c r="Q412" s="8" t="str">
        <f t="shared" si="64"/>
        <v>FALSE</v>
      </c>
      <c r="R412" s="9" t="b">
        <f t="shared" si="65"/>
        <v>1</v>
      </c>
      <c r="S412" s="8" t="b">
        <f t="shared" si="66"/>
        <v>0</v>
      </c>
      <c r="T412" s="10" t="b">
        <f t="shared" si="67"/>
        <v>1</v>
      </c>
      <c r="U412" s="8" t="str">
        <f t="shared" si="68"/>
        <v>TRUE</v>
      </c>
      <c r="V412" s="11" t="str">
        <f t="shared" si="69"/>
        <v>TRUE</v>
      </c>
    </row>
    <row r="413" spans="1:22" ht="15.75">
      <c r="A413" s="21">
        <v>411</v>
      </c>
      <c r="B413" s="5" t="s">
        <v>1235</v>
      </c>
      <c r="C413" s="23" t="s">
        <v>3233</v>
      </c>
      <c r="D413" s="23" t="s">
        <v>77</v>
      </c>
      <c r="E413" s="5" t="s">
        <v>1236</v>
      </c>
      <c r="F413" s="71" t="s">
        <v>6103</v>
      </c>
      <c r="G413" s="22" t="s">
        <v>179</v>
      </c>
      <c r="H413" s="5" t="s">
        <v>3932</v>
      </c>
      <c r="I413" s="5" t="s">
        <v>21</v>
      </c>
      <c r="J413" s="5" t="s">
        <v>5217</v>
      </c>
      <c r="K413" s="5" t="s">
        <v>1237</v>
      </c>
      <c r="L413" s="22"/>
      <c r="M413" s="8" t="str">
        <f t="shared" si="60"/>
        <v>Ok</v>
      </c>
      <c r="N413" s="9" t="b">
        <f t="shared" si="61"/>
        <v>1</v>
      </c>
      <c r="O413" s="9" t="b">
        <f t="shared" si="62"/>
        <v>0</v>
      </c>
      <c r="P413" s="8" t="str">
        <f t="shared" si="63"/>
        <v>FALSE</v>
      </c>
      <c r="Q413" s="8" t="str">
        <f t="shared" si="64"/>
        <v>FALSE</v>
      </c>
      <c r="R413" s="9" t="b">
        <f t="shared" si="65"/>
        <v>1</v>
      </c>
      <c r="S413" s="8" t="b">
        <f t="shared" si="66"/>
        <v>0</v>
      </c>
      <c r="T413" s="10" t="b">
        <f t="shared" si="67"/>
        <v>0</v>
      </c>
      <c r="U413" s="8" t="str">
        <f t="shared" si="68"/>
        <v>TRUE</v>
      </c>
      <c r="V413" s="11" t="str">
        <f t="shared" si="69"/>
        <v>TRUE</v>
      </c>
    </row>
    <row r="414" spans="1:22" ht="15.75">
      <c r="A414" s="21">
        <v>412</v>
      </c>
      <c r="B414" s="5" t="s">
        <v>1238</v>
      </c>
      <c r="C414" s="23" t="s">
        <v>3141</v>
      </c>
      <c r="D414" s="23" t="s">
        <v>34</v>
      </c>
      <c r="E414" s="5" t="s">
        <v>1239</v>
      </c>
      <c r="F414" s="71" t="s">
        <v>6103</v>
      </c>
      <c r="G414" s="22" t="s">
        <v>179</v>
      </c>
      <c r="H414" s="5" t="s">
        <v>3932</v>
      </c>
      <c r="I414" s="5" t="s">
        <v>21</v>
      </c>
      <c r="J414" s="5" t="s">
        <v>4973</v>
      </c>
      <c r="K414" s="5" t="s">
        <v>1240</v>
      </c>
      <c r="L414" s="22"/>
      <c r="M414" s="8" t="str">
        <f t="shared" si="60"/>
        <v>Ok</v>
      </c>
      <c r="N414" s="9" t="b">
        <f t="shared" si="61"/>
        <v>0</v>
      </c>
      <c r="O414" s="9" t="b">
        <f t="shared" si="62"/>
        <v>0</v>
      </c>
      <c r="P414" s="8" t="str">
        <f t="shared" si="63"/>
        <v>FALSE</v>
      </c>
      <c r="Q414" s="8" t="str">
        <f t="shared" si="64"/>
        <v>FALSE</v>
      </c>
      <c r="R414" s="9" t="b">
        <f t="shared" si="65"/>
        <v>1</v>
      </c>
      <c r="S414" s="8" t="b">
        <f t="shared" si="66"/>
        <v>0</v>
      </c>
      <c r="T414" s="10" t="b">
        <f t="shared" si="67"/>
        <v>0</v>
      </c>
      <c r="U414" s="8" t="str">
        <f t="shared" si="68"/>
        <v>TRUE</v>
      </c>
      <c r="V414" s="11" t="str">
        <f t="shared" si="69"/>
        <v>TRUE</v>
      </c>
    </row>
    <row r="415" spans="1:22" ht="15.75">
      <c r="A415" s="21">
        <v>413</v>
      </c>
      <c r="B415" s="5" t="s">
        <v>1241</v>
      </c>
      <c r="C415" s="23" t="s">
        <v>3785</v>
      </c>
      <c r="D415" s="23" t="s">
        <v>59</v>
      </c>
      <c r="E415" s="5" t="s">
        <v>1242</v>
      </c>
      <c r="F415" s="71" t="s">
        <v>6103</v>
      </c>
      <c r="G415" s="22" t="s">
        <v>24</v>
      </c>
      <c r="H415" s="5" t="s">
        <v>25</v>
      </c>
      <c r="I415" s="5" t="s">
        <v>14</v>
      </c>
      <c r="J415" s="5" t="s">
        <v>5066</v>
      </c>
      <c r="K415" s="5" t="s">
        <v>1243</v>
      </c>
      <c r="L415" s="22"/>
      <c r="M415" s="8" t="str">
        <f t="shared" si="60"/>
        <v>Ok</v>
      </c>
      <c r="N415" s="9" t="b">
        <f t="shared" si="61"/>
        <v>0</v>
      </c>
      <c r="O415" s="9" t="b">
        <f t="shared" si="62"/>
        <v>1</v>
      </c>
      <c r="P415" s="8" t="str">
        <f t="shared" si="63"/>
        <v>FALSE</v>
      </c>
      <c r="Q415" s="8" t="str">
        <f t="shared" si="64"/>
        <v>FALSE</v>
      </c>
      <c r="R415" s="9" t="b">
        <f t="shared" si="65"/>
        <v>0</v>
      </c>
      <c r="S415" s="8" t="b">
        <f t="shared" si="66"/>
        <v>0</v>
      </c>
      <c r="T415" s="10" t="b">
        <f t="shared" si="67"/>
        <v>1</v>
      </c>
      <c r="U415" s="8" t="str">
        <f t="shared" si="68"/>
        <v>TRUE</v>
      </c>
      <c r="V415" s="11" t="str">
        <f t="shared" si="69"/>
        <v>TRUE</v>
      </c>
    </row>
    <row r="416" spans="1:22" ht="15.75">
      <c r="A416" s="21">
        <v>414</v>
      </c>
      <c r="B416" s="5" t="s">
        <v>1244</v>
      </c>
      <c r="C416" s="23" t="s">
        <v>3827</v>
      </c>
      <c r="D416" s="23" t="s">
        <v>59</v>
      </c>
      <c r="E416" s="5" t="s">
        <v>1245</v>
      </c>
      <c r="F416" s="71" t="s">
        <v>6103</v>
      </c>
      <c r="G416" s="22" t="s">
        <v>144</v>
      </c>
      <c r="H416" s="5" t="s">
        <v>25</v>
      </c>
      <c r="I416" s="5" t="s">
        <v>56</v>
      </c>
      <c r="J416" s="5" t="s">
        <v>5402</v>
      </c>
      <c r="K416" s="5" t="s">
        <v>1246</v>
      </c>
      <c r="L416" s="22"/>
      <c r="M416" s="8" t="str">
        <f t="shared" si="60"/>
        <v>Ok</v>
      </c>
      <c r="N416" s="9" t="b">
        <f t="shared" si="61"/>
        <v>0</v>
      </c>
      <c r="O416" s="9" t="b">
        <f t="shared" si="62"/>
        <v>1</v>
      </c>
      <c r="P416" s="8" t="str">
        <f t="shared" si="63"/>
        <v>FALSE</v>
      </c>
      <c r="Q416" s="8" t="str">
        <f t="shared" si="64"/>
        <v>FALSE</v>
      </c>
      <c r="R416" s="9" t="b">
        <f t="shared" si="65"/>
        <v>1</v>
      </c>
      <c r="S416" s="8" t="b">
        <f t="shared" si="66"/>
        <v>0</v>
      </c>
      <c r="T416" s="10" t="b">
        <f t="shared" si="67"/>
        <v>1</v>
      </c>
      <c r="U416" s="8" t="str">
        <f t="shared" si="68"/>
        <v>TRUE</v>
      </c>
      <c r="V416" s="11" t="str">
        <f t="shared" si="69"/>
        <v>FALSE</v>
      </c>
    </row>
    <row r="417" spans="1:22" ht="15.75">
      <c r="A417" s="21">
        <v>415</v>
      </c>
      <c r="B417" s="5" t="s">
        <v>1247</v>
      </c>
      <c r="C417" s="23" t="s">
        <v>3092</v>
      </c>
      <c r="D417" s="23" t="s">
        <v>77</v>
      </c>
      <c r="E417" s="5" t="s">
        <v>1248</v>
      </c>
      <c r="F417" s="71" t="s">
        <v>6103</v>
      </c>
      <c r="G417" s="22" t="s">
        <v>179</v>
      </c>
      <c r="H417" s="5" t="s">
        <v>3932</v>
      </c>
      <c r="I417" s="5" t="s">
        <v>21</v>
      </c>
      <c r="J417" s="5" t="s">
        <v>5240</v>
      </c>
      <c r="K417" s="5" t="s">
        <v>1249</v>
      </c>
      <c r="L417" s="22"/>
      <c r="M417" s="8" t="str">
        <f t="shared" si="60"/>
        <v>Ok</v>
      </c>
      <c r="N417" s="9" t="b">
        <f t="shared" si="61"/>
        <v>0</v>
      </c>
      <c r="O417" s="9" t="b">
        <f t="shared" si="62"/>
        <v>0</v>
      </c>
      <c r="P417" s="8" t="str">
        <f t="shared" si="63"/>
        <v>FALSE</v>
      </c>
      <c r="Q417" s="8" t="str">
        <f t="shared" si="64"/>
        <v>FALSE</v>
      </c>
      <c r="R417" s="9" t="b">
        <f t="shared" si="65"/>
        <v>1</v>
      </c>
      <c r="S417" s="8" t="b">
        <f t="shared" si="66"/>
        <v>0</v>
      </c>
      <c r="T417" s="10" t="b">
        <f t="shared" si="67"/>
        <v>0</v>
      </c>
      <c r="U417" s="8" t="str">
        <f t="shared" si="68"/>
        <v>TRUE</v>
      </c>
      <c r="V417" s="11" t="str">
        <f t="shared" si="69"/>
        <v>TRUE</v>
      </c>
    </row>
    <row r="418" spans="1:22" ht="15.75">
      <c r="A418" s="21">
        <v>416</v>
      </c>
      <c r="B418" s="5" t="s">
        <v>1250</v>
      </c>
      <c r="C418" s="23" t="s">
        <v>3012</v>
      </c>
      <c r="D418" s="23" t="s">
        <v>34</v>
      </c>
      <c r="E418" s="5" t="s">
        <v>1212</v>
      </c>
      <c r="F418" s="71" t="s">
        <v>6103</v>
      </c>
      <c r="G418" s="22" t="s">
        <v>40</v>
      </c>
      <c r="H418" s="5" t="s">
        <v>71</v>
      </c>
      <c r="I418" s="5" t="s">
        <v>50</v>
      </c>
      <c r="J418" s="5" t="s">
        <v>4835</v>
      </c>
      <c r="K418" s="5" t="s">
        <v>1251</v>
      </c>
      <c r="L418" s="22"/>
      <c r="M418" s="8" t="str">
        <f t="shared" si="60"/>
        <v>Ok</v>
      </c>
      <c r="N418" s="9" t="b">
        <f t="shared" si="61"/>
        <v>0</v>
      </c>
      <c r="O418" s="9" t="b">
        <f t="shared" si="62"/>
        <v>0</v>
      </c>
      <c r="P418" s="8" t="str">
        <f t="shared" si="63"/>
        <v>FALSE</v>
      </c>
      <c r="Q418" s="8" t="str">
        <f t="shared" si="64"/>
        <v>FALSE</v>
      </c>
      <c r="R418" s="9" t="b">
        <f t="shared" si="65"/>
        <v>1</v>
      </c>
      <c r="S418" s="8" t="b">
        <f t="shared" si="66"/>
        <v>1</v>
      </c>
      <c r="T418" s="10" t="b">
        <f t="shared" si="67"/>
        <v>0</v>
      </c>
      <c r="U418" s="8" t="str">
        <f t="shared" si="68"/>
        <v>TRUE</v>
      </c>
      <c r="V418" s="11" t="str">
        <f t="shared" si="69"/>
        <v>TRUE</v>
      </c>
    </row>
    <row r="419" spans="1:22" ht="15.75">
      <c r="A419" s="21">
        <v>417</v>
      </c>
      <c r="B419" s="5" t="s">
        <v>1252</v>
      </c>
      <c r="C419" s="23" t="s">
        <v>3367</v>
      </c>
      <c r="D419" s="23" t="s">
        <v>34</v>
      </c>
      <c r="E419" s="5" t="s">
        <v>1253</v>
      </c>
      <c r="F419" s="71" t="s">
        <v>6103</v>
      </c>
      <c r="G419" s="22" t="s">
        <v>216</v>
      </c>
      <c r="H419" s="5" t="s">
        <v>217</v>
      </c>
      <c r="I419" s="5" t="s">
        <v>50</v>
      </c>
      <c r="J419" s="5" t="s">
        <v>5148</v>
      </c>
      <c r="K419" s="5" t="s">
        <v>1254</v>
      </c>
      <c r="L419" s="22"/>
      <c r="M419" s="8" t="str">
        <f t="shared" si="60"/>
        <v>Ok</v>
      </c>
      <c r="N419" s="9" t="b">
        <f t="shared" si="61"/>
        <v>1</v>
      </c>
      <c r="O419" s="9" t="b">
        <f t="shared" si="62"/>
        <v>0</v>
      </c>
      <c r="P419" s="8" t="str">
        <f t="shared" si="63"/>
        <v>FALSE</v>
      </c>
      <c r="Q419" s="8" t="str">
        <f t="shared" si="64"/>
        <v>FALSE</v>
      </c>
      <c r="R419" s="9" t="b">
        <f t="shared" si="65"/>
        <v>0</v>
      </c>
      <c r="S419" s="8" t="b">
        <f t="shared" si="66"/>
        <v>0</v>
      </c>
      <c r="T419" s="10" t="b">
        <f t="shared" si="67"/>
        <v>0</v>
      </c>
      <c r="U419" s="8" t="str">
        <f t="shared" si="68"/>
        <v>TRUE</v>
      </c>
      <c r="V419" s="11" t="str">
        <f t="shared" si="69"/>
        <v>TRUE</v>
      </c>
    </row>
    <row r="420" spans="1:22" ht="15.75">
      <c r="A420" s="21">
        <v>418</v>
      </c>
      <c r="B420" s="5" t="s">
        <v>1255</v>
      </c>
      <c r="C420" s="23" t="s">
        <v>3479</v>
      </c>
      <c r="D420" s="23" t="s">
        <v>17</v>
      </c>
      <c r="E420" s="5" t="s">
        <v>1256</v>
      </c>
      <c r="F420" s="71" t="s">
        <v>6103</v>
      </c>
      <c r="G420" s="22" t="s">
        <v>160</v>
      </c>
      <c r="H420" s="5" t="s">
        <v>3932</v>
      </c>
      <c r="I420" s="5" t="s">
        <v>21</v>
      </c>
      <c r="J420" s="5" t="s">
        <v>5231</v>
      </c>
      <c r="K420" s="5" t="s">
        <v>1257</v>
      </c>
      <c r="L420" s="22"/>
      <c r="M420" s="8" t="str">
        <f t="shared" si="60"/>
        <v>Ok</v>
      </c>
      <c r="N420" s="9" t="b">
        <f t="shared" si="61"/>
        <v>1</v>
      </c>
      <c r="O420" s="9" t="b">
        <f t="shared" si="62"/>
        <v>1</v>
      </c>
      <c r="P420" s="8" t="str">
        <f t="shared" si="63"/>
        <v>FALSE</v>
      </c>
      <c r="Q420" s="8" t="str">
        <f t="shared" si="64"/>
        <v>FALSE</v>
      </c>
      <c r="R420" s="9" t="b">
        <f t="shared" si="65"/>
        <v>0</v>
      </c>
      <c r="S420" s="8" t="b">
        <f t="shared" si="66"/>
        <v>0</v>
      </c>
      <c r="T420" s="10" t="b">
        <f t="shared" si="67"/>
        <v>0</v>
      </c>
      <c r="U420" s="8" t="str">
        <f t="shared" si="68"/>
        <v>TRUE</v>
      </c>
      <c r="V420" s="11" t="str">
        <f t="shared" si="69"/>
        <v>FALSE</v>
      </c>
    </row>
    <row r="421" spans="1:22" ht="15.75">
      <c r="A421" s="21">
        <v>419</v>
      </c>
      <c r="B421" s="5" t="s">
        <v>1258</v>
      </c>
      <c r="C421" s="23" t="s">
        <v>3234</v>
      </c>
      <c r="D421" s="23" t="s">
        <v>77</v>
      </c>
      <c r="E421" s="5" t="s">
        <v>1259</v>
      </c>
      <c r="F421" s="71" t="s">
        <v>6103</v>
      </c>
      <c r="G421" s="22" t="s">
        <v>179</v>
      </c>
      <c r="H421" s="5" t="s">
        <v>3932</v>
      </c>
      <c r="I421" s="5" t="s">
        <v>67</v>
      </c>
      <c r="J421" s="5" t="s">
        <v>5719</v>
      </c>
      <c r="K421" s="5" t="s">
        <v>1260</v>
      </c>
      <c r="L421" s="22"/>
      <c r="M421" s="8" t="str">
        <f t="shared" si="60"/>
        <v>Ok</v>
      </c>
      <c r="N421" s="9" t="b">
        <f t="shared" si="61"/>
        <v>1</v>
      </c>
      <c r="O421" s="9" t="b">
        <f t="shared" si="62"/>
        <v>0</v>
      </c>
      <c r="P421" s="8" t="str">
        <f t="shared" si="63"/>
        <v>FALSE</v>
      </c>
      <c r="Q421" s="8" t="str">
        <f t="shared" si="64"/>
        <v>FALSE</v>
      </c>
      <c r="R421" s="9" t="b">
        <f t="shared" si="65"/>
        <v>1</v>
      </c>
      <c r="S421" s="8" t="b">
        <f t="shared" si="66"/>
        <v>0</v>
      </c>
      <c r="T421" s="10" t="b">
        <f t="shared" si="67"/>
        <v>0</v>
      </c>
      <c r="U421" s="8" t="str">
        <f t="shared" si="68"/>
        <v>FALSE</v>
      </c>
      <c r="V421" s="11" t="str">
        <f t="shared" si="69"/>
        <v>TRUE</v>
      </c>
    </row>
    <row r="422" spans="1:22" ht="15.75">
      <c r="A422" s="21">
        <v>420</v>
      </c>
      <c r="B422" s="5" t="s">
        <v>1261</v>
      </c>
      <c r="C422" s="23" t="s">
        <v>3302</v>
      </c>
      <c r="D422" s="23" t="s">
        <v>77</v>
      </c>
      <c r="E422" s="5" t="s">
        <v>1262</v>
      </c>
      <c r="F422" s="71" t="s">
        <v>6103</v>
      </c>
      <c r="G422" s="22" t="s">
        <v>179</v>
      </c>
      <c r="H422" s="5" t="s">
        <v>3932</v>
      </c>
      <c r="I422" s="5" t="s">
        <v>14</v>
      </c>
      <c r="J422" s="5" t="s">
        <v>4941</v>
      </c>
      <c r="K422" s="5" t="s">
        <v>1263</v>
      </c>
      <c r="L422" s="22"/>
      <c r="M422" s="8" t="str">
        <f t="shared" si="60"/>
        <v>Ok</v>
      </c>
      <c r="N422" s="9" t="b">
        <f t="shared" si="61"/>
        <v>1</v>
      </c>
      <c r="O422" s="9" t="b">
        <f t="shared" si="62"/>
        <v>0</v>
      </c>
      <c r="P422" s="8" t="str">
        <f t="shared" si="63"/>
        <v>FALSE</v>
      </c>
      <c r="Q422" s="8" t="str">
        <f t="shared" si="64"/>
        <v>FALSE</v>
      </c>
      <c r="R422" s="9" t="b">
        <f t="shared" si="65"/>
        <v>1</v>
      </c>
      <c r="S422" s="8" t="b">
        <f t="shared" si="66"/>
        <v>0</v>
      </c>
      <c r="T422" s="10" t="b">
        <f t="shared" si="67"/>
        <v>1</v>
      </c>
      <c r="U422" s="8" t="str">
        <f t="shared" si="68"/>
        <v>TRUE</v>
      </c>
      <c r="V422" s="11" t="str">
        <f t="shared" si="69"/>
        <v>FALSE</v>
      </c>
    </row>
    <row r="423" spans="1:22" ht="15.75">
      <c r="A423" s="21">
        <v>421</v>
      </c>
      <c r="B423" s="5" t="s">
        <v>1264</v>
      </c>
      <c r="C423" s="23" t="s">
        <v>3368</v>
      </c>
      <c r="D423" s="23" t="s">
        <v>34</v>
      </c>
      <c r="E423" s="5" t="s">
        <v>1265</v>
      </c>
      <c r="F423" s="71" t="s">
        <v>6103</v>
      </c>
      <c r="G423" s="22" t="s">
        <v>3933</v>
      </c>
      <c r="H423" s="5" t="s">
        <v>3932</v>
      </c>
      <c r="I423" s="5" t="s">
        <v>14</v>
      </c>
      <c r="J423" s="5" t="s">
        <v>5602</v>
      </c>
      <c r="K423" s="5" t="s">
        <v>1266</v>
      </c>
      <c r="L423" s="22"/>
      <c r="M423" s="8" t="str">
        <f t="shared" si="60"/>
        <v>Ok</v>
      </c>
      <c r="N423" s="9" t="b">
        <f t="shared" si="61"/>
        <v>1</v>
      </c>
      <c r="O423" s="9" t="b">
        <f t="shared" si="62"/>
        <v>0</v>
      </c>
      <c r="P423" s="8" t="str">
        <f t="shared" si="63"/>
        <v>FALSE</v>
      </c>
      <c r="Q423" s="8" t="str">
        <f t="shared" si="64"/>
        <v>FALSE</v>
      </c>
      <c r="R423" s="9" t="b">
        <f t="shared" si="65"/>
        <v>0</v>
      </c>
      <c r="S423" s="8" t="b">
        <f t="shared" si="66"/>
        <v>0</v>
      </c>
      <c r="T423" s="10" t="b">
        <f t="shared" si="67"/>
        <v>1</v>
      </c>
      <c r="U423" s="8" t="str">
        <f t="shared" si="68"/>
        <v>FALSE</v>
      </c>
      <c r="V423" s="11" t="str">
        <f t="shared" si="69"/>
        <v>TRUE</v>
      </c>
    </row>
    <row r="424" spans="1:22" ht="15.75">
      <c r="A424" s="21">
        <v>422</v>
      </c>
      <c r="B424" s="5" t="s">
        <v>1267</v>
      </c>
      <c r="C424" s="23" t="s">
        <v>3480</v>
      </c>
      <c r="D424" s="23" t="s">
        <v>77</v>
      </c>
      <c r="E424" s="5" t="s">
        <v>1268</v>
      </c>
      <c r="F424" s="71" t="s">
        <v>6103</v>
      </c>
      <c r="G424" s="22" t="s">
        <v>160</v>
      </c>
      <c r="H424" s="5" t="s">
        <v>3932</v>
      </c>
      <c r="I424" s="5" t="s">
        <v>42</v>
      </c>
      <c r="J424" s="5" t="s">
        <v>5365</v>
      </c>
      <c r="K424" s="5" t="s">
        <v>1269</v>
      </c>
      <c r="L424" s="22"/>
      <c r="M424" s="8" t="str">
        <f t="shared" si="60"/>
        <v>Ok</v>
      </c>
      <c r="N424" s="9" t="b">
        <f t="shared" si="61"/>
        <v>1</v>
      </c>
      <c r="O424" s="9" t="b">
        <f t="shared" si="62"/>
        <v>0</v>
      </c>
      <c r="P424" s="8" t="str">
        <f t="shared" si="63"/>
        <v>FALSE</v>
      </c>
      <c r="Q424" s="8" t="str">
        <f t="shared" si="64"/>
        <v>FALSE</v>
      </c>
      <c r="R424" s="9" t="b">
        <f t="shared" si="65"/>
        <v>0</v>
      </c>
      <c r="S424" s="8" t="b">
        <f t="shared" si="66"/>
        <v>0</v>
      </c>
      <c r="T424" s="10" t="b">
        <f t="shared" si="67"/>
        <v>1</v>
      </c>
      <c r="U424" s="8" t="str">
        <f t="shared" si="68"/>
        <v>TRUE</v>
      </c>
      <c r="V424" s="11" t="str">
        <f t="shared" si="69"/>
        <v>TRUE</v>
      </c>
    </row>
    <row r="425" spans="1:22" ht="15.75">
      <c r="A425" s="21">
        <v>423</v>
      </c>
      <c r="B425" s="5" t="s">
        <v>1270</v>
      </c>
      <c r="C425" s="23" t="s">
        <v>3303</v>
      </c>
      <c r="D425" s="23" t="s">
        <v>77</v>
      </c>
      <c r="E425" s="5" t="s">
        <v>1271</v>
      </c>
      <c r="F425" s="71" t="s">
        <v>6103</v>
      </c>
      <c r="G425" s="22" t="s">
        <v>179</v>
      </c>
      <c r="H425" s="5" t="s">
        <v>3932</v>
      </c>
      <c r="I425" s="5" t="s">
        <v>50</v>
      </c>
      <c r="J425" s="5" t="s">
        <v>4807</v>
      </c>
      <c r="K425" s="5" t="s">
        <v>1272</v>
      </c>
      <c r="L425" s="22"/>
      <c r="M425" s="8" t="str">
        <f t="shared" si="60"/>
        <v>Ok</v>
      </c>
      <c r="N425" s="9" t="b">
        <f t="shared" si="61"/>
        <v>1</v>
      </c>
      <c r="O425" s="9" t="b">
        <f t="shared" si="62"/>
        <v>0</v>
      </c>
      <c r="P425" s="8" t="str">
        <f t="shared" si="63"/>
        <v>FALSE</v>
      </c>
      <c r="Q425" s="8" t="str">
        <f t="shared" si="64"/>
        <v>FALSE</v>
      </c>
      <c r="R425" s="9" t="b">
        <f t="shared" si="65"/>
        <v>1</v>
      </c>
      <c r="S425" s="8" t="b">
        <f t="shared" si="66"/>
        <v>0</v>
      </c>
      <c r="T425" s="10" t="b">
        <f t="shared" si="67"/>
        <v>0</v>
      </c>
      <c r="U425" s="8" t="str">
        <f t="shared" si="68"/>
        <v>TRUE</v>
      </c>
      <c r="V425" s="11" t="str">
        <f t="shared" si="69"/>
        <v>TRUE</v>
      </c>
    </row>
    <row r="426" spans="1:22" ht="15.75">
      <c r="A426" s="21">
        <v>424</v>
      </c>
      <c r="B426" s="5" t="s">
        <v>1273</v>
      </c>
      <c r="C426" s="23" t="s">
        <v>3616</v>
      </c>
      <c r="D426" s="23" t="s">
        <v>59</v>
      </c>
      <c r="E426" s="5" t="s">
        <v>1274</v>
      </c>
      <c r="F426" s="71" t="s">
        <v>6103</v>
      </c>
      <c r="G426" s="22" t="s">
        <v>179</v>
      </c>
      <c r="H426" s="5" t="s">
        <v>36</v>
      </c>
      <c r="I426" s="5" t="s">
        <v>42</v>
      </c>
      <c r="J426" s="5" t="s">
        <v>5182</v>
      </c>
      <c r="K426" s="5" t="s">
        <v>1275</v>
      </c>
      <c r="L426" s="22"/>
      <c r="M426" s="8" t="str">
        <f t="shared" si="60"/>
        <v>Ok</v>
      </c>
      <c r="N426" s="9" t="b">
        <f t="shared" si="61"/>
        <v>1</v>
      </c>
      <c r="O426" s="9" t="b">
        <f t="shared" si="62"/>
        <v>1</v>
      </c>
      <c r="P426" s="8" t="str">
        <f t="shared" si="63"/>
        <v>FALSE</v>
      </c>
      <c r="Q426" s="8" t="str">
        <f t="shared" si="64"/>
        <v>FALSE</v>
      </c>
      <c r="R426" s="9" t="b">
        <f t="shared" si="65"/>
        <v>1</v>
      </c>
      <c r="S426" s="8" t="b">
        <f t="shared" si="66"/>
        <v>1</v>
      </c>
      <c r="T426" s="10" t="b">
        <f t="shared" si="67"/>
        <v>1</v>
      </c>
      <c r="U426" s="8" t="str">
        <f t="shared" si="68"/>
        <v>TRUE</v>
      </c>
      <c r="V426" s="11" t="str">
        <f t="shared" si="69"/>
        <v>TRUE</v>
      </c>
    </row>
    <row r="427" spans="1:22" ht="15.75">
      <c r="A427" s="21">
        <v>425</v>
      </c>
      <c r="B427" s="5" t="s">
        <v>1276</v>
      </c>
      <c r="C427" s="23" t="s">
        <v>3013</v>
      </c>
      <c r="D427" s="23" t="s">
        <v>34</v>
      </c>
      <c r="E427" s="5" t="s">
        <v>1277</v>
      </c>
      <c r="F427" s="71" t="s">
        <v>6103</v>
      </c>
      <c r="G427" s="22" t="s">
        <v>40</v>
      </c>
      <c r="H427" s="5" t="s">
        <v>71</v>
      </c>
      <c r="I427" s="5" t="s">
        <v>14</v>
      </c>
      <c r="J427" s="5" t="s">
        <v>5714</v>
      </c>
      <c r="K427" s="5" t="s">
        <v>1278</v>
      </c>
      <c r="L427" s="22"/>
      <c r="M427" s="8" t="str">
        <f t="shared" si="60"/>
        <v>Ok</v>
      </c>
      <c r="N427" s="9" t="b">
        <f t="shared" si="61"/>
        <v>0</v>
      </c>
      <c r="O427" s="9" t="b">
        <f t="shared" si="62"/>
        <v>0</v>
      </c>
      <c r="P427" s="8" t="str">
        <f t="shared" si="63"/>
        <v>FALSE</v>
      </c>
      <c r="Q427" s="8" t="str">
        <f t="shared" si="64"/>
        <v>FALSE</v>
      </c>
      <c r="R427" s="9" t="b">
        <f t="shared" si="65"/>
        <v>1</v>
      </c>
      <c r="S427" s="8" t="b">
        <f t="shared" si="66"/>
        <v>1</v>
      </c>
      <c r="T427" s="10" t="b">
        <f t="shared" si="67"/>
        <v>1</v>
      </c>
      <c r="U427" s="8" t="str">
        <f t="shared" si="68"/>
        <v>FALSE</v>
      </c>
      <c r="V427" s="11" t="str">
        <f t="shared" si="69"/>
        <v>TRUE</v>
      </c>
    </row>
    <row r="428" spans="1:22" ht="15.75">
      <c r="A428" s="21">
        <v>426</v>
      </c>
      <c r="B428" s="5" t="s">
        <v>1279</v>
      </c>
      <c r="C428" s="23" t="s">
        <v>3701</v>
      </c>
      <c r="D428" s="23" t="s">
        <v>17</v>
      </c>
      <c r="E428" s="5" t="s">
        <v>1280</v>
      </c>
      <c r="F428" s="71" t="s">
        <v>6103</v>
      </c>
      <c r="G428" s="22" t="s">
        <v>3934</v>
      </c>
      <c r="H428" s="5" t="s">
        <v>13</v>
      </c>
      <c r="I428" s="5" t="s">
        <v>56</v>
      </c>
      <c r="J428" s="5" t="s">
        <v>5503</v>
      </c>
      <c r="K428" s="5" t="s">
        <v>1281</v>
      </c>
      <c r="L428" s="22"/>
      <c r="M428" s="8" t="str">
        <f t="shared" si="60"/>
        <v>Ok</v>
      </c>
      <c r="N428" s="9" t="b">
        <f t="shared" si="61"/>
        <v>0</v>
      </c>
      <c r="O428" s="9" t="b">
        <f t="shared" si="62"/>
        <v>1</v>
      </c>
      <c r="P428" s="8" t="str">
        <f t="shared" si="63"/>
        <v>FALSE</v>
      </c>
      <c r="Q428" s="8" t="str">
        <f t="shared" si="64"/>
        <v>FALSE</v>
      </c>
      <c r="R428" s="9" t="b">
        <f t="shared" si="65"/>
        <v>0</v>
      </c>
      <c r="S428" s="8" t="b">
        <f t="shared" si="66"/>
        <v>0</v>
      </c>
      <c r="T428" s="10" t="b">
        <f t="shared" si="67"/>
        <v>1</v>
      </c>
      <c r="U428" s="8" t="str">
        <f t="shared" si="68"/>
        <v>FALSE</v>
      </c>
      <c r="V428" s="11" t="str">
        <f t="shared" si="69"/>
        <v>TRUE</v>
      </c>
    </row>
    <row r="429" spans="1:22" ht="15.75">
      <c r="A429" s="21">
        <v>427</v>
      </c>
      <c r="B429" s="5" t="s">
        <v>1282</v>
      </c>
      <c r="C429" s="23" t="s">
        <v>3369</v>
      </c>
      <c r="D429" s="23" t="s">
        <v>34</v>
      </c>
      <c r="E429" s="5" t="s">
        <v>1283</v>
      </c>
      <c r="F429" s="71" t="s">
        <v>6103</v>
      </c>
      <c r="G429" s="22" t="s">
        <v>3933</v>
      </c>
      <c r="H429" s="5" t="s">
        <v>3932</v>
      </c>
      <c r="I429" s="5" t="s">
        <v>67</v>
      </c>
      <c r="J429" s="5" t="s">
        <v>5565</v>
      </c>
      <c r="K429" s="5" t="s">
        <v>1284</v>
      </c>
      <c r="L429" s="22"/>
      <c r="M429" s="8" t="str">
        <f t="shared" si="60"/>
        <v>Ok</v>
      </c>
      <c r="N429" s="9" t="b">
        <f t="shared" si="61"/>
        <v>1</v>
      </c>
      <c r="O429" s="9" t="b">
        <f t="shared" si="62"/>
        <v>0</v>
      </c>
      <c r="P429" s="8" t="str">
        <f t="shared" si="63"/>
        <v>FALSE</v>
      </c>
      <c r="Q429" s="8" t="str">
        <f t="shared" si="64"/>
        <v>FALSE</v>
      </c>
      <c r="R429" s="9" t="b">
        <f t="shared" si="65"/>
        <v>0</v>
      </c>
      <c r="S429" s="8" t="b">
        <f t="shared" si="66"/>
        <v>0</v>
      </c>
      <c r="T429" s="10" t="b">
        <f t="shared" si="67"/>
        <v>0</v>
      </c>
      <c r="U429" s="8" t="str">
        <f t="shared" si="68"/>
        <v>FALSE</v>
      </c>
      <c r="V429" s="11" t="str">
        <f t="shared" si="69"/>
        <v>TRUE</v>
      </c>
    </row>
    <row r="430" spans="1:22" ht="15.75">
      <c r="A430" s="21">
        <v>428</v>
      </c>
      <c r="B430" s="5" t="s">
        <v>1285</v>
      </c>
      <c r="C430" s="23" t="s">
        <v>3235</v>
      </c>
      <c r="D430" s="23" t="s">
        <v>77</v>
      </c>
      <c r="E430" s="5" t="s">
        <v>1286</v>
      </c>
      <c r="F430" s="71" t="s">
        <v>6103</v>
      </c>
      <c r="G430" s="22" t="s">
        <v>179</v>
      </c>
      <c r="H430" s="5" t="s">
        <v>3932</v>
      </c>
      <c r="I430" s="5" t="s">
        <v>50</v>
      </c>
      <c r="J430" s="5" t="s">
        <v>5359</v>
      </c>
      <c r="K430" s="5" t="s">
        <v>1287</v>
      </c>
      <c r="L430" s="22"/>
      <c r="M430" s="8" t="str">
        <f t="shared" si="60"/>
        <v>Ok</v>
      </c>
      <c r="N430" s="9" t="b">
        <f t="shared" si="61"/>
        <v>1</v>
      </c>
      <c r="O430" s="9" t="b">
        <f t="shared" si="62"/>
        <v>0</v>
      </c>
      <c r="P430" s="8" t="str">
        <f t="shared" si="63"/>
        <v>FALSE</v>
      </c>
      <c r="Q430" s="8" t="str">
        <f t="shared" si="64"/>
        <v>FALSE</v>
      </c>
      <c r="R430" s="9" t="b">
        <f t="shared" si="65"/>
        <v>1</v>
      </c>
      <c r="S430" s="8" t="b">
        <f t="shared" si="66"/>
        <v>0</v>
      </c>
      <c r="T430" s="10" t="b">
        <f t="shared" si="67"/>
        <v>0</v>
      </c>
      <c r="U430" s="8" t="str">
        <f t="shared" si="68"/>
        <v>TRUE</v>
      </c>
      <c r="V430" s="11" t="str">
        <f t="shared" si="69"/>
        <v>TRUE</v>
      </c>
    </row>
    <row r="431" spans="1:22" ht="15.75">
      <c r="A431" s="21">
        <v>429</v>
      </c>
      <c r="B431" s="5" t="s">
        <v>1288</v>
      </c>
      <c r="C431" s="23" t="s">
        <v>3236</v>
      </c>
      <c r="D431" s="23" t="s">
        <v>77</v>
      </c>
      <c r="E431" s="5" t="s">
        <v>1289</v>
      </c>
      <c r="F431" s="71" t="s">
        <v>6103</v>
      </c>
      <c r="G431" s="22" t="s">
        <v>172</v>
      </c>
      <c r="H431" s="5" t="s">
        <v>98</v>
      </c>
      <c r="I431" s="5" t="s">
        <v>42</v>
      </c>
      <c r="J431" s="5" t="s">
        <v>5515</v>
      </c>
      <c r="K431" s="5">
        <v>801700903</v>
      </c>
      <c r="L431" s="22"/>
      <c r="M431" s="8" t="str">
        <f t="shared" si="60"/>
        <v>Ok</v>
      </c>
      <c r="N431" s="9" t="b">
        <f t="shared" si="61"/>
        <v>1</v>
      </c>
      <c r="O431" s="9" t="b">
        <f t="shared" si="62"/>
        <v>0</v>
      </c>
      <c r="P431" s="8" t="str">
        <f t="shared" si="63"/>
        <v>FALSE</v>
      </c>
      <c r="Q431" s="8" t="str">
        <f t="shared" si="64"/>
        <v>FALSE</v>
      </c>
      <c r="R431" s="9" t="b">
        <f t="shared" si="65"/>
        <v>0</v>
      </c>
      <c r="S431" s="8" t="b">
        <f t="shared" si="66"/>
        <v>0</v>
      </c>
      <c r="T431" s="10" t="b">
        <f t="shared" si="67"/>
        <v>1</v>
      </c>
      <c r="U431" s="8" t="str">
        <f t="shared" si="68"/>
        <v>FALSE</v>
      </c>
      <c r="V431" s="11" t="str">
        <f t="shared" si="69"/>
        <v>FALSE</v>
      </c>
    </row>
    <row r="432" spans="1:22" ht="15.75">
      <c r="A432" s="21">
        <v>430</v>
      </c>
      <c r="B432" s="5" t="s">
        <v>1290</v>
      </c>
      <c r="C432" s="23" t="s">
        <v>3142</v>
      </c>
      <c r="D432" s="23" t="s">
        <v>77</v>
      </c>
      <c r="E432" s="5" t="s">
        <v>1291</v>
      </c>
      <c r="F432" s="71" t="s">
        <v>6103</v>
      </c>
      <c r="G432" s="22" t="s">
        <v>179</v>
      </c>
      <c r="H432" s="22" t="s">
        <v>179</v>
      </c>
      <c r="I432" s="5" t="s">
        <v>50</v>
      </c>
      <c r="J432" s="5" t="s">
        <v>5068</v>
      </c>
      <c r="K432" s="5" t="s">
        <v>1292</v>
      </c>
      <c r="L432" s="22"/>
      <c r="M432" s="8" t="str">
        <f t="shared" si="60"/>
        <v>Ok</v>
      </c>
      <c r="N432" s="9" t="b">
        <f t="shared" si="61"/>
        <v>0</v>
      </c>
      <c r="O432" s="9" t="b">
        <f t="shared" si="62"/>
        <v>0</v>
      </c>
      <c r="P432" s="8" t="str">
        <f t="shared" si="63"/>
        <v>FALSE</v>
      </c>
      <c r="Q432" s="8" t="str">
        <f t="shared" si="64"/>
        <v>FALSE</v>
      </c>
      <c r="R432" s="9" t="b">
        <f t="shared" si="65"/>
        <v>1</v>
      </c>
      <c r="S432" s="8" t="b">
        <f t="shared" si="66"/>
        <v>1</v>
      </c>
      <c r="T432" s="10" t="b">
        <f t="shared" si="67"/>
        <v>0</v>
      </c>
      <c r="U432" s="8" t="str">
        <f t="shared" si="68"/>
        <v>TRUE</v>
      </c>
      <c r="V432" s="11" t="str">
        <f t="shared" si="69"/>
        <v>TRUE</v>
      </c>
    </row>
    <row r="433" spans="1:22" ht="15.75">
      <c r="A433" s="21">
        <v>431</v>
      </c>
      <c r="B433" s="5" t="s">
        <v>1293</v>
      </c>
      <c r="C433" s="23" t="s">
        <v>3014</v>
      </c>
      <c r="D433" s="23" t="s">
        <v>34</v>
      </c>
      <c r="E433" s="5" t="s">
        <v>1294</v>
      </c>
      <c r="F433" s="71" t="s">
        <v>6103</v>
      </c>
      <c r="G433" s="22" t="s">
        <v>74</v>
      </c>
      <c r="H433" s="5" t="s">
        <v>41</v>
      </c>
      <c r="I433" s="5" t="s">
        <v>26</v>
      </c>
      <c r="J433" s="5" t="s">
        <v>5309</v>
      </c>
      <c r="K433" s="5" t="s">
        <v>1295</v>
      </c>
      <c r="L433" s="22"/>
      <c r="M433" s="8" t="str">
        <f t="shared" si="60"/>
        <v>Ok</v>
      </c>
      <c r="N433" s="9" t="b">
        <f t="shared" si="61"/>
        <v>0</v>
      </c>
      <c r="O433" s="9" t="b">
        <f t="shared" si="62"/>
        <v>0</v>
      </c>
      <c r="P433" s="8" t="str">
        <f t="shared" si="63"/>
        <v>FALSE</v>
      </c>
      <c r="Q433" s="8" t="str">
        <f t="shared" si="64"/>
        <v>FALSE</v>
      </c>
      <c r="R433" s="9" t="b">
        <f t="shared" si="65"/>
        <v>0</v>
      </c>
      <c r="S433" s="8" t="b">
        <f t="shared" si="66"/>
        <v>0</v>
      </c>
      <c r="T433" s="10" t="b">
        <f t="shared" si="67"/>
        <v>0</v>
      </c>
      <c r="U433" s="8" t="str">
        <f t="shared" si="68"/>
        <v>TRUE</v>
      </c>
      <c r="V433" s="11" t="str">
        <f t="shared" si="69"/>
        <v>TRUE</v>
      </c>
    </row>
    <row r="434" spans="1:22" ht="15.75">
      <c r="A434" s="21">
        <v>432</v>
      </c>
      <c r="B434" s="5" t="s">
        <v>1296</v>
      </c>
      <c r="C434" s="23" t="s">
        <v>3237</v>
      </c>
      <c r="D434" s="23" t="s">
        <v>77</v>
      </c>
      <c r="E434" s="5" t="s">
        <v>1297</v>
      </c>
      <c r="F434" s="71" t="s">
        <v>6103</v>
      </c>
      <c r="G434" s="22" t="s">
        <v>179</v>
      </c>
      <c r="H434" s="5" t="s">
        <v>3932</v>
      </c>
      <c r="I434" s="5" t="s">
        <v>56</v>
      </c>
      <c r="J434" s="5" t="s">
        <v>5611</v>
      </c>
      <c r="K434" s="5" t="s">
        <v>1298</v>
      </c>
      <c r="L434" s="22"/>
      <c r="M434" s="8" t="str">
        <f t="shared" si="60"/>
        <v>Ok</v>
      </c>
      <c r="N434" s="9" t="b">
        <f t="shared" si="61"/>
        <v>1</v>
      </c>
      <c r="O434" s="9" t="b">
        <f t="shared" si="62"/>
        <v>0</v>
      </c>
      <c r="P434" s="8" t="str">
        <f t="shared" si="63"/>
        <v>FALSE</v>
      </c>
      <c r="Q434" s="8" t="str">
        <f t="shared" si="64"/>
        <v>FALSE</v>
      </c>
      <c r="R434" s="9" t="b">
        <f t="shared" si="65"/>
        <v>1</v>
      </c>
      <c r="S434" s="8" t="b">
        <f t="shared" si="66"/>
        <v>0</v>
      </c>
      <c r="T434" s="10" t="b">
        <f t="shared" si="67"/>
        <v>1</v>
      </c>
      <c r="U434" s="8" t="str">
        <f t="shared" si="68"/>
        <v>FALSE</v>
      </c>
      <c r="V434" s="11" t="str">
        <f t="shared" si="69"/>
        <v>TRUE</v>
      </c>
    </row>
    <row r="435" spans="1:22" ht="15.75">
      <c r="A435" s="21">
        <v>433</v>
      </c>
      <c r="B435" s="5" t="s">
        <v>3948</v>
      </c>
      <c r="C435" s="23" t="s">
        <v>3559</v>
      </c>
      <c r="D435" s="23" t="s">
        <v>77</v>
      </c>
      <c r="E435" s="5" t="s">
        <v>1299</v>
      </c>
      <c r="F435" s="71" t="s">
        <v>6103</v>
      </c>
      <c r="G435" s="22" t="s">
        <v>12</v>
      </c>
      <c r="H435" s="5" t="s">
        <v>36</v>
      </c>
      <c r="I435" s="5" t="s">
        <v>14</v>
      </c>
      <c r="J435" s="5" t="s">
        <v>5751</v>
      </c>
      <c r="K435" s="5" t="s">
        <v>1300</v>
      </c>
      <c r="L435" s="22"/>
      <c r="M435" s="8" t="str">
        <f t="shared" si="60"/>
        <v>Ok</v>
      </c>
      <c r="N435" s="9" t="b">
        <f t="shared" si="61"/>
        <v>1</v>
      </c>
      <c r="O435" s="9" t="b">
        <f t="shared" si="62"/>
        <v>0</v>
      </c>
      <c r="P435" s="8" t="str">
        <f t="shared" si="63"/>
        <v>FALSE</v>
      </c>
      <c r="Q435" s="8" t="str">
        <f t="shared" si="64"/>
        <v>FALSE</v>
      </c>
      <c r="R435" s="9" t="b">
        <f t="shared" si="65"/>
        <v>1</v>
      </c>
      <c r="S435" s="8" t="b">
        <f t="shared" si="66"/>
        <v>1</v>
      </c>
      <c r="T435" s="10" t="b">
        <f t="shared" si="67"/>
        <v>1</v>
      </c>
      <c r="U435" s="8" t="str">
        <f t="shared" si="68"/>
        <v>FALSE</v>
      </c>
      <c r="V435" s="11" t="str">
        <f t="shared" si="69"/>
        <v>TRUE</v>
      </c>
    </row>
    <row r="436" spans="1:22" ht="15.75">
      <c r="A436" s="21">
        <v>434</v>
      </c>
      <c r="B436" s="5" t="s">
        <v>1301</v>
      </c>
      <c r="C436" s="23" t="s">
        <v>3786</v>
      </c>
      <c r="D436" s="23" t="s">
        <v>59</v>
      </c>
      <c r="E436" s="5" t="s">
        <v>1302</v>
      </c>
      <c r="F436" s="71" t="s">
        <v>6103</v>
      </c>
      <c r="G436" s="22" t="s">
        <v>24</v>
      </c>
      <c r="H436" s="5" t="s">
        <v>25</v>
      </c>
      <c r="I436" s="5" t="s">
        <v>50</v>
      </c>
      <c r="J436" s="5" t="s">
        <v>5307</v>
      </c>
      <c r="K436" s="5">
        <v>89756465584</v>
      </c>
      <c r="L436" s="22"/>
      <c r="M436" s="8" t="str">
        <f t="shared" si="60"/>
        <v>Ok</v>
      </c>
      <c r="N436" s="9" t="b">
        <f t="shared" si="61"/>
        <v>0</v>
      </c>
      <c r="O436" s="9" t="b">
        <f t="shared" si="62"/>
        <v>1</v>
      </c>
      <c r="P436" s="8" t="str">
        <f t="shared" si="63"/>
        <v>FALSE</v>
      </c>
      <c r="Q436" s="8" t="str">
        <f t="shared" si="64"/>
        <v>FALSE</v>
      </c>
      <c r="R436" s="9" t="b">
        <f t="shared" si="65"/>
        <v>0</v>
      </c>
      <c r="S436" s="8" t="b">
        <f t="shared" si="66"/>
        <v>0</v>
      </c>
      <c r="T436" s="10" t="b">
        <f t="shared" si="67"/>
        <v>0</v>
      </c>
      <c r="U436" s="8" t="str">
        <f t="shared" si="68"/>
        <v>TRUE</v>
      </c>
      <c r="V436" s="11" t="str">
        <f t="shared" si="69"/>
        <v>FALSE</v>
      </c>
    </row>
    <row r="437" spans="1:22" ht="15.75">
      <c r="A437" s="21">
        <v>435</v>
      </c>
      <c r="B437" s="5" t="s">
        <v>1303</v>
      </c>
      <c r="C437" s="23" t="s">
        <v>3143</v>
      </c>
      <c r="D437" s="23" t="s">
        <v>77</v>
      </c>
      <c r="E437" s="5" t="s">
        <v>1304</v>
      </c>
      <c r="F437" s="71" t="s">
        <v>6103</v>
      </c>
      <c r="G437" s="22" t="s">
        <v>179</v>
      </c>
      <c r="H437" s="22" t="s">
        <v>179</v>
      </c>
      <c r="I437" s="5" t="s">
        <v>14</v>
      </c>
      <c r="J437" s="5" t="s">
        <v>5235</v>
      </c>
      <c r="K437" s="5" t="s">
        <v>1305</v>
      </c>
      <c r="L437" s="22"/>
      <c r="M437" s="8" t="str">
        <f t="shared" si="60"/>
        <v>Ok</v>
      </c>
      <c r="N437" s="9" t="b">
        <f t="shared" si="61"/>
        <v>0</v>
      </c>
      <c r="O437" s="9" t="b">
        <f t="shared" si="62"/>
        <v>0</v>
      </c>
      <c r="P437" s="8" t="str">
        <f t="shared" si="63"/>
        <v>FALSE</v>
      </c>
      <c r="Q437" s="8" t="str">
        <f t="shared" si="64"/>
        <v>FALSE</v>
      </c>
      <c r="R437" s="9" t="b">
        <f t="shared" si="65"/>
        <v>1</v>
      </c>
      <c r="S437" s="8" t="b">
        <f t="shared" si="66"/>
        <v>1</v>
      </c>
      <c r="T437" s="10" t="b">
        <f t="shared" si="67"/>
        <v>1</v>
      </c>
      <c r="U437" s="8" t="str">
        <f t="shared" si="68"/>
        <v>TRUE</v>
      </c>
      <c r="V437" s="11" t="str">
        <f t="shared" si="69"/>
        <v>TRUE</v>
      </c>
    </row>
    <row r="438" spans="1:22" ht="15.75">
      <c r="A438" s="21">
        <v>436</v>
      </c>
      <c r="B438" s="5" t="s">
        <v>1306</v>
      </c>
      <c r="C438" s="23" t="s">
        <v>3481</v>
      </c>
      <c r="D438" s="23" t="s">
        <v>77</v>
      </c>
      <c r="E438" s="5" t="s">
        <v>1307</v>
      </c>
      <c r="F438" s="71" t="s">
        <v>6103</v>
      </c>
      <c r="G438" s="22" t="s">
        <v>160</v>
      </c>
      <c r="H438" s="5" t="s">
        <v>3932</v>
      </c>
      <c r="I438" s="5" t="s">
        <v>67</v>
      </c>
      <c r="J438" s="5" t="s">
        <v>5651</v>
      </c>
      <c r="K438" s="5">
        <v>827320628</v>
      </c>
      <c r="L438" s="22"/>
      <c r="M438" s="8" t="str">
        <f t="shared" si="60"/>
        <v>Ok</v>
      </c>
      <c r="N438" s="9" t="b">
        <f t="shared" si="61"/>
        <v>1</v>
      </c>
      <c r="O438" s="9" t="b">
        <f t="shared" si="62"/>
        <v>0</v>
      </c>
      <c r="P438" s="8" t="str">
        <f t="shared" si="63"/>
        <v>FALSE</v>
      </c>
      <c r="Q438" s="8" t="str">
        <f t="shared" si="64"/>
        <v>FALSE</v>
      </c>
      <c r="R438" s="9" t="b">
        <f t="shared" si="65"/>
        <v>0</v>
      </c>
      <c r="S438" s="8" t="b">
        <f t="shared" si="66"/>
        <v>0</v>
      </c>
      <c r="T438" s="10" t="b">
        <f t="shared" si="67"/>
        <v>0</v>
      </c>
      <c r="U438" s="8" t="str">
        <f t="shared" si="68"/>
        <v>FALSE</v>
      </c>
      <c r="V438" s="11" t="str">
        <f t="shared" si="69"/>
        <v>FALSE</v>
      </c>
    </row>
    <row r="439" spans="1:22" ht="15.75">
      <c r="A439" s="21">
        <v>437</v>
      </c>
      <c r="B439" s="5" t="s">
        <v>1308</v>
      </c>
      <c r="C439" s="23" t="s">
        <v>3828</v>
      </c>
      <c r="D439" s="23" t="s">
        <v>59</v>
      </c>
      <c r="E439" s="5" t="s">
        <v>1309</v>
      </c>
      <c r="F439" s="71" t="s">
        <v>6104</v>
      </c>
      <c r="G439" s="22" t="s">
        <v>144</v>
      </c>
      <c r="H439" s="5" t="s">
        <v>25</v>
      </c>
      <c r="I439" s="5" t="s">
        <v>14</v>
      </c>
      <c r="J439" s="5" t="s">
        <v>5534</v>
      </c>
      <c r="K439" s="5">
        <v>89756465585</v>
      </c>
      <c r="L439" s="22"/>
      <c r="M439" s="8" t="str">
        <f t="shared" si="60"/>
        <v>Ok</v>
      </c>
      <c r="N439" s="9" t="b">
        <f t="shared" si="61"/>
        <v>0</v>
      </c>
      <c r="O439" s="9" t="b">
        <f t="shared" si="62"/>
        <v>1</v>
      </c>
      <c r="P439" s="8" t="str">
        <f t="shared" si="63"/>
        <v>FALSE</v>
      </c>
      <c r="Q439" s="8" t="str">
        <f t="shared" si="64"/>
        <v>FALSE</v>
      </c>
      <c r="R439" s="9" t="b">
        <f t="shared" si="65"/>
        <v>1</v>
      </c>
      <c r="S439" s="8" t="b">
        <f t="shared" si="66"/>
        <v>0</v>
      </c>
      <c r="T439" s="10" t="b">
        <f t="shared" si="67"/>
        <v>1</v>
      </c>
      <c r="U439" s="8" t="str">
        <f t="shared" si="68"/>
        <v>FALSE</v>
      </c>
      <c r="V439" s="11" t="str">
        <f t="shared" si="69"/>
        <v>FALSE</v>
      </c>
    </row>
    <row r="440" spans="1:22" ht="15.75">
      <c r="A440" s="21">
        <v>438</v>
      </c>
      <c r="B440" s="5" t="s">
        <v>1310</v>
      </c>
      <c r="C440" s="23" t="s">
        <v>3304</v>
      </c>
      <c r="D440" s="23" t="s">
        <v>77</v>
      </c>
      <c r="E440" s="5" t="s">
        <v>1311</v>
      </c>
      <c r="F440" s="71" t="s">
        <v>6104</v>
      </c>
      <c r="G440" s="22" t="s">
        <v>179</v>
      </c>
      <c r="H440" s="5" t="s">
        <v>3932</v>
      </c>
      <c r="I440" s="5" t="s">
        <v>50</v>
      </c>
      <c r="J440" s="5" t="s">
        <v>5155</v>
      </c>
      <c r="K440" s="5" t="s">
        <v>1312</v>
      </c>
      <c r="L440" s="22"/>
      <c r="M440" s="8" t="str">
        <f t="shared" si="60"/>
        <v>Ok</v>
      </c>
      <c r="N440" s="9" t="b">
        <f t="shared" si="61"/>
        <v>1</v>
      </c>
      <c r="O440" s="9" t="b">
        <f t="shared" si="62"/>
        <v>0</v>
      </c>
      <c r="P440" s="8" t="str">
        <f t="shared" si="63"/>
        <v>FALSE</v>
      </c>
      <c r="Q440" s="8" t="str">
        <f t="shared" si="64"/>
        <v>FALSE</v>
      </c>
      <c r="R440" s="9" t="b">
        <f t="shared" si="65"/>
        <v>1</v>
      </c>
      <c r="S440" s="8" t="b">
        <f t="shared" si="66"/>
        <v>0</v>
      </c>
      <c r="T440" s="10" t="b">
        <f t="shared" si="67"/>
        <v>0</v>
      </c>
      <c r="U440" s="8" t="str">
        <f t="shared" si="68"/>
        <v>TRUE</v>
      </c>
      <c r="V440" s="11" t="str">
        <f t="shared" si="69"/>
        <v>TRUE</v>
      </c>
    </row>
    <row r="441" spans="1:22" ht="15.75">
      <c r="A441" s="21">
        <v>439</v>
      </c>
      <c r="B441" s="5" t="s">
        <v>1313</v>
      </c>
      <c r="C441" s="23" t="s">
        <v>3898</v>
      </c>
      <c r="D441" s="23" t="s">
        <v>17</v>
      </c>
      <c r="E441" s="5" t="s">
        <v>1314</v>
      </c>
      <c r="F441" s="71" t="s">
        <v>6104</v>
      </c>
      <c r="G441" s="22" t="s">
        <v>85</v>
      </c>
      <c r="H441" s="5" t="s">
        <v>120</v>
      </c>
      <c r="I441" s="5" t="s">
        <v>21</v>
      </c>
      <c r="J441" s="5" t="s">
        <v>5409</v>
      </c>
      <c r="K441" s="5" t="s">
        <v>1315</v>
      </c>
      <c r="L441" s="22"/>
      <c r="M441" s="8" t="str">
        <f t="shared" si="60"/>
        <v>Ok</v>
      </c>
      <c r="N441" s="9" t="b">
        <f t="shared" si="61"/>
        <v>0</v>
      </c>
      <c r="O441" s="9" t="b">
        <f t="shared" si="62"/>
        <v>1</v>
      </c>
      <c r="P441" s="8" t="str">
        <f t="shared" si="63"/>
        <v>FALSE</v>
      </c>
      <c r="Q441" s="8" t="str">
        <f t="shared" si="64"/>
        <v>FALSE</v>
      </c>
      <c r="R441" s="9" t="b">
        <f t="shared" si="65"/>
        <v>1</v>
      </c>
      <c r="S441" s="8" t="b">
        <f t="shared" si="66"/>
        <v>1</v>
      </c>
      <c r="T441" s="10" t="b">
        <f t="shared" si="67"/>
        <v>0</v>
      </c>
      <c r="U441" s="8" t="str">
        <f t="shared" si="68"/>
        <v>TRUE</v>
      </c>
      <c r="V441" s="11" t="str">
        <f t="shared" si="69"/>
        <v>TRUE</v>
      </c>
    </row>
    <row r="442" spans="1:22" ht="15.75">
      <c r="A442" s="21">
        <v>440</v>
      </c>
      <c r="B442" s="5" t="s">
        <v>1316</v>
      </c>
      <c r="C442" s="23" t="s">
        <v>3144</v>
      </c>
      <c r="D442" s="23" t="s">
        <v>77</v>
      </c>
      <c r="E442" s="5" t="s">
        <v>1317</v>
      </c>
      <c r="F442" s="71" t="s">
        <v>6104</v>
      </c>
      <c r="G442" s="22" t="s">
        <v>179</v>
      </c>
      <c r="H442" s="5" t="s">
        <v>3932</v>
      </c>
      <c r="I442" s="5" t="s">
        <v>21</v>
      </c>
      <c r="J442" s="5" t="s">
        <v>5035</v>
      </c>
      <c r="K442" s="5" t="s">
        <v>1318</v>
      </c>
      <c r="L442" s="22"/>
      <c r="M442" s="8" t="str">
        <f t="shared" si="60"/>
        <v>Ok</v>
      </c>
      <c r="N442" s="9" t="b">
        <f t="shared" si="61"/>
        <v>0</v>
      </c>
      <c r="O442" s="9" t="b">
        <f t="shared" si="62"/>
        <v>0</v>
      </c>
      <c r="P442" s="8" t="str">
        <f t="shared" si="63"/>
        <v>FALSE</v>
      </c>
      <c r="Q442" s="8" t="str">
        <f t="shared" si="64"/>
        <v>FALSE</v>
      </c>
      <c r="R442" s="9" t="b">
        <f t="shared" si="65"/>
        <v>1</v>
      </c>
      <c r="S442" s="8" t="b">
        <f t="shared" si="66"/>
        <v>0</v>
      </c>
      <c r="T442" s="10" t="b">
        <f t="shared" si="67"/>
        <v>0</v>
      </c>
      <c r="U442" s="8" t="str">
        <f t="shared" si="68"/>
        <v>TRUE</v>
      </c>
      <c r="V442" s="11" t="str">
        <f t="shared" si="69"/>
        <v>TRUE</v>
      </c>
    </row>
    <row r="443" spans="1:22" ht="15.75">
      <c r="A443" s="21">
        <v>441</v>
      </c>
      <c r="B443" s="5" t="s">
        <v>1319</v>
      </c>
      <c r="C443" s="23" t="s">
        <v>3702</v>
      </c>
      <c r="D443" s="23" t="s">
        <v>59</v>
      </c>
      <c r="E443" s="5" t="s">
        <v>1320</v>
      </c>
      <c r="F443" s="71" t="s">
        <v>6104</v>
      </c>
      <c r="G443" s="22" t="s">
        <v>3934</v>
      </c>
      <c r="H443" s="5" t="s">
        <v>13</v>
      </c>
      <c r="I443" s="5" t="s">
        <v>42</v>
      </c>
      <c r="J443" s="5" t="s">
        <v>5680</v>
      </c>
      <c r="K443" s="5" t="s">
        <v>1321</v>
      </c>
      <c r="L443" s="22"/>
      <c r="M443" s="8" t="str">
        <f t="shared" si="60"/>
        <v>Ok</v>
      </c>
      <c r="N443" s="9" t="b">
        <f t="shared" si="61"/>
        <v>0</v>
      </c>
      <c r="O443" s="9" t="b">
        <f t="shared" si="62"/>
        <v>1</v>
      </c>
      <c r="P443" s="8" t="str">
        <f t="shared" si="63"/>
        <v>FALSE</v>
      </c>
      <c r="Q443" s="8" t="str">
        <f t="shared" si="64"/>
        <v>FALSE</v>
      </c>
      <c r="R443" s="9" t="b">
        <f t="shared" si="65"/>
        <v>0</v>
      </c>
      <c r="S443" s="8" t="b">
        <f t="shared" si="66"/>
        <v>0</v>
      </c>
      <c r="T443" s="10" t="b">
        <f t="shared" si="67"/>
        <v>1</v>
      </c>
      <c r="U443" s="8" t="str">
        <f t="shared" si="68"/>
        <v>FALSE</v>
      </c>
      <c r="V443" s="11" t="str">
        <f t="shared" si="69"/>
        <v>TRUE</v>
      </c>
    </row>
    <row r="444" spans="1:22" ht="15.75">
      <c r="A444" s="21">
        <v>442</v>
      </c>
      <c r="B444" s="5" t="s">
        <v>1322</v>
      </c>
      <c r="C444" s="23" t="s">
        <v>3238</v>
      </c>
      <c r="D444" s="23" t="s">
        <v>77</v>
      </c>
      <c r="E444" s="5" t="s">
        <v>1323</v>
      </c>
      <c r="F444" s="71" t="s">
        <v>6104</v>
      </c>
      <c r="G444" s="22" t="s">
        <v>179</v>
      </c>
      <c r="H444" s="5" t="s">
        <v>3932</v>
      </c>
      <c r="I444" s="5" t="s">
        <v>21</v>
      </c>
      <c r="J444" s="5" t="s">
        <v>5024</v>
      </c>
      <c r="K444" s="5" t="s">
        <v>1324</v>
      </c>
      <c r="L444" s="22"/>
      <c r="M444" s="8" t="str">
        <f t="shared" si="60"/>
        <v>Ok</v>
      </c>
      <c r="N444" s="9" t="b">
        <f t="shared" si="61"/>
        <v>1</v>
      </c>
      <c r="O444" s="9" t="b">
        <f t="shared" si="62"/>
        <v>0</v>
      </c>
      <c r="P444" s="8" t="str">
        <f t="shared" si="63"/>
        <v>FALSE</v>
      </c>
      <c r="Q444" s="8" t="str">
        <f t="shared" si="64"/>
        <v>FALSE</v>
      </c>
      <c r="R444" s="9" t="b">
        <f t="shared" si="65"/>
        <v>1</v>
      </c>
      <c r="S444" s="8" t="b">
        <f t="shared" si="66"/>
        <v>0</v>
      </c>
      <c r="T444" s="10" t="b">
        <f t="shared" si="67"/>
        <v>0</v>
      </c>
      <c r="U444" s="8" t="str">
        <f t="shared" si="68"/>
        <v>TRUE</v>
      </c>
      <c r="V444" s="11" t="str">
        <f t="shared" si="69"/>
        <v>TRUE</v>
      </c>
    </row>
    <row r="445" spans="1:22" ht="15.75">
      <c r="A445" s="21">
        <v>443</v>
      </c>
      <c r="B445" s="5" t="s">
        <v>1325</v>
      </c>
      <c r="C445" s="23" t="s">
        <v>3239</v>
      </c>
      <c r="D445" s="23" t="s">
        <v>77</v>
      </c>
      <c r="E445" s="5" t="s">
        <v>1326</v>
      </c>
      <c r="F445" s="71" t="s">
        <v>6104</v>
      </c>
      <c r="G445" s="22" t="s">
        <v>179</v>
      </c>
      <c r="H445" s="5" t="s">
        <v>3932</v>
      </c>
      <c r="I445" s="5" t="s">
        <v>50</v>
      </c>
      <c r="J445" s="5" t="s">
        <v>5710</v>
      </c>
      <c r="K445" s="5" t="s">
        <v>1327</v>
      </c>
      <c r="L445" s="22"/>
      <c r="M445" s="8" t="str">
        <f t="shared" si="60"/>
        <v>Ok</v>
      </c>
      <c r="N445" s="9" t="b">
        <f t="shared" si="61"/>
        <v>1</v>
      </c>
      <c r="O445" s="9" t="b">
        <f t="shared" si="62"/>
        <v>0</v>
      </c>
      <c r="P445" s="8" t="str">
        <f t="shared" si="63"/>
        <v>FALSE</v>
      </c>
      <c r="Q445" s="8" t="str">
        <f t="shared" si="64"/>
        <v>FALSE</v>
      </c>
      <c r="R445" s="9" t="b">
        <f t="shared" si="65"/>
        <v>1</v>
      </c>
      <c r="S445" s="8" t="b">
        <f t="shared" si="66"/>
        <v>0</v>
      </c>
      <c r="T445" s="10" t="b">
        <f t="shared" si="67"/>
        <v>0</v>
      </c>
      <c r="U445" s="8" t="str">
        <f t="shared" si="68"/>
        <v>FALSE</v>
      </c>
      <c r="V445" s="11" t="str">
        <f t="shared" si="69"/>
        <v>TRUE</v>
      </c>
    </row>
    <row r="446" spans="1:22" ht="15.75">
      <c r="A446" s="21">
        <v>444</v>
      </c>
      <c r="B446" s="5" t="s">
        <v>1328</v>
      </c>
      <c r="C446" s="23" t="s">
        <v>3015</v>
      </c>
      <c r="D446" s="23" t="s">
        <v>34</v>
      </c>
      <c r="E446" s="5" t="s">
        <v>1329</v>
      </c>
      <c r="F446" s="71" t="s">
        <v>6104</v>
      </c>
      <c r="G446" s="22" t="s">
        <v>74</v>
      </c>
      <c r="H446" s="5" t="s">
        <v>71</v>
      </c>
      <c r="I446" s="5" t="s">
        <v>26</v>
      </c>
      <c r="J446" s="5" t="s">
        <v>4926</v>
      </c>
      <c r="K446" s="5" t="s">
        <v>1330</v>
      </c>
      <c r="L446" s="22"/>
      <c r="M446" s="8" t="str">
        <f t="shared" si="60"/>
        <v>Ok</v>
      </c>
      <c r="N446" s="9" t="b">
        <f t="shared" si="61"/>
        <v>0</v>
      </c>
      <c r="O446" s="9" t="b">
        <f t="shared" si="62"/>
        <v>0</v>
      </c>
      <c r="P446" s="8" t="str">
        <f t="shared" si="63"/>
        <v>FALSE</v>
      </c>
      <c r="Q446" s="8" t="str">
        <f t="shared" si="64"/>
        <v>FALSE</v>
      </c>
      <c r="R446" s="9" t="b">
        <f t="shared" si="65"/>
        <v>0</v>
      </c>
      <c r="S446" s="8" t="b">
        <f t="shared" si="66"/>
        <v>1</v>
      </c>
      <c r="T446" s="10" t="b">
        <f t="shared" si="67"/>
        <v>0</v>
      </c>
      <c r="U446" s="8" t="str">
        <f t="shared" si="68"/>
        <v>TRUE</v>
      </c>
      <c r="V446" s="11" t="str">
        <f t="shared" si="69"/>
        <v>TRUE</v>
      </c>
    </row>
    <row r="447" spans="1:22" ht="15.75">
      <c r="A447" s="21">
        <v>445</v>
      </c>
      <c r="B447" s="5" t="s">
        <v>1331</v>
      </c>
      <c r="C447" s="23" t="s">
        <v>3703</v>
      </c>
      <c r="D447" s="23" t="s">
        <v>17</v>
      </c>
      <c r="E447" s="5" t="s">
        <v>1332</v>
      </c>
      <c r="F447" s="71" t="s">
        <v>6104</v>
      </c>
      <c r="G447" s="22" t="s">
        <v>3934</v>
      </c>
      <c r="H447" s="5" t="s">
        <v>13</v>
      </c>
      <c r="I447" s="5" t="s">
        <v>67</v>
      </c>
      <c r="J447" s="5" t="s">
        <v>5496</v>
      </c>
      <c r="K447" s="5" t="s">
        <v>1333</v>
      </c>
      <c r="L447" s="22"/>
      <c r="M447" s="8" t="str">
        <f t="shared" si="60"/>
        <v>Ok</v>
      </c>
      <c r="N447" s="9" t="b">
        <f t="shared" si="61"/>
        <v>0</v>
      </c>
      <c r="O447" s="9" t="b">
        <f t="shared" si="62"/>
        <v>1</v>
      </c>
      <c r="P447" s="8" t="str">
        <f t="shared" si="63"/>
        <v>FALSE</v>
      </c>
      <c r="Q447" s="8" t="str">
        <f t="shared" si="64"/>
        <v>FALSE</v>
      </c>
      <c r="R447" s="9" t="b">
        <f t="shared" si="65"/>
        <v>0</v>
      </c>
      <c r="S447" s="8" t="b">
        <f t="shared" si="66"/>
        <v>0</v>
      </c>
      <c r="T447" s="10" t="b">
        <f t="shared" si="67"/>
        <v>0</v>
      </c>
      <c r="U447" s="8" t="str">
        <f t="shared" si="68"/>
        <v>FALSE</v>
      </c>
      <c r="V447" s="11" t="str">
        <f t="shared" si="69"/>
        <v>TRUE</v>
      </c>
    </row>
    <row r="448" spans="1:22" ht="15.75">
      <c r="A448" s="21">
        <v>446</v>
      </c>
      <c r="B448" s="5" t="s">
        <v>1334</v>
      </c>
      <c r="C448" s="23" t="s">
        <v>3899</v>
      </c>
      <c r="D448" s="23" t="s">
        <v>17</v>
      </c>
      <c r="E448" s="5" t="s">
        <v>1335</v>
      </c>
      <c r="F448" s="71" t="s">
        <v>6104</v>
      </c>
      <c r="G448" s="22" t="s">
        <v>85</v>
      </c>
      <c r="H448" s="5" t="s">
        <v>120</v>
      </c>
      <c r="I448" s="5" t="s">
        <v>56</v>
      </c>
      <c r="J448" s="5" t="s">
        <v>5390</v>
      </c>
      <c r="K448" s="5" t="s">
        <v>1336</v>
      </c>
      <c r="L448" s="22"/>
      <c r="M448" s="8" t="str">
        <f t="shared" si="60"/>
        <v>Ok</v>
      </c>
      <c r="N448" s="9" t="b">
        <f t="shared" si="61"/>
        <v>0</v>
      </c>
      <c r="O448" s="9" t="b">
        <f t="shared" si="62"/>
        <v>1</v>
      </c>
      <c r="P448" s="8" t="str">
        <f t="shared" si="63"/>
        <v>FALSE</v>
      </c>
      <c r="Q448" s="8" t="str">
        <f t="shared" si="64"/>
        <v>FALSE</v>
      </c>
      <c r="R448" s="9" t="b">
        <f t="shared" si="65"/>
        <v>1</v>
      </c>
      <c r="S448" s="8" t="b">
        <f t="shared" si="66"/>
        <v>1</v>
      </c>
      <c r="T448" s="10" t="b">
        <f t="shared" si="67"/>
        <v>1</v>
      </c>
      <c r="U448" s="8" t="str">
        <f t="shared" si="68"/>
        <v>TRUE</v>
      </c>
      <c r="V448" s="11" t="str">
        <f t="shared" si="69"/>
        <v>TRUE</v>
      </c>
    </row>
    <row r="449" spans="1:22" ht="15.75">
      <c r="A449" s="21">
        <v>447</v>
      </c>
      <c r="B449" s="5" t="s">
        <v>1337</v>
      </c>
      <c r="C449" s="23" t="s">
        <v>3704</v>
      </c>
      <c r="D449" s="23" t="s">
        <v>59</v>
      </c>
      <c r="E449" s="5" t="s">
        <v>1338</v>
      </c>
      <c r="F449" s="71" t="s">
        <v>6104</v>
      </c>
      <c r="G449" s="22" t="s">
        <v>3934</v>
      </c>
      <c r="H449" s="5" t="s">
        <v>13</v>
      </c>
      <c r="I449" s="5" t="s">
        <v>50</v>
      </c>
      <c r="J449" s="5" t="s">
        <v>5377</v>
      </c>
      <c r="K449" s="5" t="s">
        <v>1339</v>
      </c>
      <c r="L449" s="22"/>
      <c r="M449" s="8" t="str">
        <f t="shared" si="60"/>
        <v>Ok</v>
      </c>
      <c r="N449" s="9" t="b">
        <f t="shared" si="61"/>
        <v>0</v>
      </c>
      <c r="O449" s="9" t="b">
        <f t="shared" si="62"/>
        <v>1</v>
      </c>
      <c r="P449" s="8" t="str">
        <f t="shared" si="63"/>
        <v>FALSE</v>
      </c>
      <c r="Q449" s="8" t="str">
        <f t="shared" si="64"/>
        <v>FALSE</v>
      </c>
      <c r="R449" s="9" t="b">
        <f t="shared" si="65"/>
        <v>0</v>
      </c>
      <c r="S449" s="8" t="b">
        <f t="shared" si="66"/>
        <v>0</v>
      </c>
      <c r="T449" s="10" t="b">
        <f t="shared" si="67"/>
        <v>0</v>
      </c>
      <c r="U449" s="8" t="str">
        <f t="shared" si="68"/>
        <v>TRUE</v>
      </c>
      <c r="V449" s="11" t="str">
        <f t="shared" si="69"/>
        <v>TRUE</v>
      </c>
    </row>
    <row r="450" spans="1:22" ht="15.75">
      <c r="A450" s="21">
        <v>448</v>
      </c>
      <c r="B450" s="5" t="s">
        <v>1340</v>
      </c>
      <c r="C450" s="23" t="s">
        <v>3482</v>
      </c>
      <c r="D450" s="23" t="s">
        <v>77</v>
      </c>
      <c r="E450" s="5" t="s">
        <v>1341</v>
      </c>
      <c r="F450" s="71" t="s">
        <v>6104</v>
      </c>
      <c r="G450" s="22" t="s">
        <v>160</v>
      </c>
      <c r="H450" s="5" t="s">
        <v>3932</v>
      </c>
      <c r="I450" s="5" t="s">
        <v>56</v>
      </c>
      <c r="J450" s="5" t="s">
        <v>4933</v>
      </c>
      <c r="K450" s="5" t="s">
        <v>1342</v>
      </c>
      <c r="L450" s="22"/>
      <c r="M450" s="8" t="str">
        <f t="shared" si="60"/>
        <v>Ok</v>
      </c>
      <c r="N450" s="9" t="b">
        <f t="shared" si="61"/>
        <v>1</v>
      </c>
      <c r="O450" s="9" t="b">
        <f t="shared" si="62"/>
        <v>0</v>
      </c>
      <c r="P450" s="8" t="str">
        <f t="shared" si="63"/>
        <v>FALSE</v>
      </c>
      <c r="Q450" s="8" t="str">
        <f t="shared" si="64"/>
        <v>FALSE</v>
      </c>
      <c r="R450" s="9" t="b">
        <f t="shared" si="65"/>
        <v>0</v>
      </c>
      <c r="S450" s="8" t="b">
        <f t="shared" si="66"/>
        <v>0</v>
      </c>
      <c r="T450" s="10" t="b">
        <f t="shared" si="67"/>
        <v>1</v>
      </c>
      <c r="U450" s="8" t="str">
        <f t="shared" si="68"/>
        <v>TRUE</v>
      </c>
      <c r="V450" s="11" t="str">
        <f t="shared" si="69"/>
        <v>TRUE</v>
      </c>
    </row>
    <row r="451" spans="1:22" ht="15.75">
      <c r="A451" s="21">
        <v>449</v>
      </c>
      <c r="B451" s="5" t="s">
        <v>1343</v>
      </c>
      <c r="C451" s="23" t="s">
        <v>3900</v>
      </c>
      <c r="D451" s="23" t="s">
        <v>17</v>
      </c>
      <c r="E451" s="5" t="s">
        <v>1344</v>
      </c>
      <c r="F451" s="71" t="s">
        <v>6104</v>
      </c>
      <c r="G451" s="22" t="s">
        <v>85</v>
      </c>
      <c r="H451" s="5" t="s">
        <v>86</v>
      </c>
      <c r="I451" s="5" t="s">
        <v>56</v>
      </c>
      <c r="J451" s="5" t="s">
        <v>4972</v>
      </c>
      <c r="K451" s="5" t="s">
        <v>1345</v>
      </c>
      <c r="L451" s="22"/>
      <c r="M451" s="8" t="str">
        <f t="shared" ref="M451:M514" si="70">IF(COUNTIF($B$3:$B$1002,B451)&gt;1,"Duplicate","Ok")</f>
        <v>Ok</v>
      </c>
      <c r="N451" s="9" t="b">
        <f t="shared" ref="N451:N514" si="71">EXACT(C451,PROPER(C451))</f>
        <v>0</v>
      </c>
      <c r="O451" s="9" t="b">
        <f t="shared" ref="O451:O514" si="72">EXACT(D451,PROPER(D451))</f>
        <v>1</v>
      </c>
      <c r="P451" s="8" t="str">
        <f t="shared" ref="P451:P514" si="73">IF(ISNUMBER(E451),"TRUE","FALSE")</f>
        <v>FALSE</v>
      </c>
      <c r="Q451" s="8" t="str">
        <f t="shared" ref="Q451:Q514" si="74">IF(ISNUMBER(F451),"TRUE","FALSE")</f>
        <v>FALSE</v>
      </c>
      <c r="R451" s="9" t="b">
        <f t="shared" ref="R451:R514" si="75">EXACT(G451,PROPER(G451))</f>
        <v>1</v>
      </c>
      <c r="S451" s="8" t="b">
        <f t="shared" ref="S451:S514" si="76">EXACT(H451,PROPER(H451))</f>
        <v>0</v>
      </c>
      <c r="T451" s="10" t="b">
        <f t="shared" ref="T451:T514" si="77">EXACT(I451,PROPER(I451))</f>
        <v>1</v>
      </c>
      <c r="U451" s="8" t="str">
        <f t="shared" ref="U451:U514" si="78">IF(RIGHT(J451,10)="@email.com","TRUE","FALSE")</f>
        <v>TRUE</v>
      </c>
      <c r="V451" s="11" t="str">
        <f t="shared" ref="V451:V514" si="79">IF(LEFT(K451,2)="08","TRUE","FALSE")</f>
        <v>TRUE</v>
      </c>
    </row>
    <row r="452" spans="1:22" ht="15.75">
      <c r="A452" s="21">
        <v>450</v>
      </c>
      <c r="B452" s="5" t="s">
        <v>3949</v>
      </c>
      <c r="C452" s="23" t="s">
        <v>3829</v>
      </c>
      <c r="D452" s="23" t="s">
        <v>59</v>
      </c>
      <c r="E452" s="5" t="s">
        <v>1346</v>
      </c>
      <c r="F452" s="71" t="s">
        <v>6104</v>
      </c>
      <c r="G452" s="22" t="s">
        <v>144</v>
      </c>
      <c r="H452" s="5" t="s">
        <v>25</v>
      </c>
      <c r="I452" s="5" t="s">
        <v>56</v>
      </c>
      <c r="J452" s="5" t="s">
        <v>4942</v>
      </c>
      <c r="K452" s="5" t="s">
        <v>1347</v>
      </c>
      <c r="L452" s="22"/>
      <c r="M452" s="8" t="str">
        <f t="shared" si="70"/>
        <v>Ok</v>
      </c>
      <c r="N452" s="9" t="b">
        <f t="shared" si="71"/>
        <v>0</v>
      </c>
      <c r="O452" s="9" t="b">
        <f t="shared" si="72"/>
        <v>1</v>
      </c>
      <c r="P452" s="8" t="str">
        <f t="shared" si="73"/>
        <v>FALSE</v>
      </c>
      <c r="Q452" s="8" t="str">
        <f t="shared" si="74"/>
        <v>FALSE</v>
      </c>
      <c r="R452" s="9" t="b">
        <f t="shared" si="75"/>
        <v>1</v>
      </c>
      <c r="S452" s="8" t="b">
        <f t="shared" si="76"/>
        <v>0</v>
      </c>
      <c r="T452" s="10" t="b">
        <f t="shared" si="77"/>
        <v>1</v>
      </c>
      <c r="U452" s="8" t="str">
        <f t="shared" si="78"/>
        <v>TRUE</v>
      </c>
      <c r="V452" s="11" t="str">
        <f t="shared" si="79"/>
        <v>TRUE</v>
      </c>
    </row>
    <row r="453" spans="1:22" ht="15.75">
      <c r="A453" s="21">
        <v>451</v>
      </c>
      <c r="B453" s="5" t="s">
        <v>1348</v>
      </c>
      <c r="C453" s="23" t="s">
        <v>2961</v>
      </c>
      <c r="D453" s="23" t="s">
        <v>17</v>
      </c>
      <c r="E453" s="5" t="s">
        <v>1349</v>
      </c>
      <c r="F453" s="71" t="s">
        <v>6104</v>
      </c>
      <c r="G453" s="22" t="s">
        <v>40</v>
      </c>
      <c r="H453" s="5" t="s">
        <v>71</v>
      </c>
      <c r="I453" s="5" t="s">
        <v>50</v>
      </c>
      <c r="J453" s="5" t="s">
        <v>5746</v>
      </c>
      <c r="K453" s="5" t="s">
        <v>1350</v>
      </c>
      <c r="L453" s="22"/>
      <c r="M453" s="8" t="str">
        <f t="shared" si="70"/>
        <v>Ok</v>
      </c>
      <c r="N453" s="9" t="b">
        <f t="shared" si="71"/>
        <v>0</v>
      </c>
      <c r="O453" s="9" t="b">
        <f t="shared" si="72"/>
        <v>1</v>
      </c>
      <c r="P453" s="8" t="str">
        <f t="shared" si="73"/>
        <v>FALSE</v>
      </c>
      <c r="Q453" s="8" t="str">
        <f t="shared" si="74"/>
        <v>FALSE</v>
      </c>
      <c r="R453" s="9" t="b">
        <f t="shared" si="75"/>
        <v>1</v>
      </c>
      <c r="S453" s="8" t="b">
        <f t="shared" si="76"/>
        <v>1</v>
      </c>
      <c r="T453" s="10" t="b">
        <f t="shared" si="77"/>
        <v>0</v>
      </c>
      <c r="U453" s="8" t="str">
        <f t="shared" si="78"/>
        <v>FALSE</v>
      </c>
      <c r="V453" s="11" t="str">
        <f t="shared" si="79"/>
        <v>FALSE</v>
      </c>
    </row>
    <row r="454" spans="1:22" ht="15.75">
      <c r="A454" s="21">
        <v>452</v>
      </c>
      <c r="B454" s="5" t="s">
        <v>1351</v>
      </c>
      <c r="C454" s="23" t="s">
        <v>3830</v>
      </c>
      <c r="D454" s="23" t="s">
        <v>59</v>
      </c>
      <c r="E454" s="5" t="s">
        <v>1352</v>
      </c>
      <c r="F454" s="71" t="s">
        <v>6104</v>
      </c>
      <c r="G454" s="22" t="s">
        <v>144</v>
      </c>
      <c r="H454" s="5" t="s">
        <v>46</v>
      </c>
      <c r="I454" s="5" t="s">
        <v>67</v>
      </c>
      <c r="J454" s="5" t="s">
        <v>5715</v>
      </c>
      <c r="K454" s="5" t="s">
        <v>1353</v>
      </c>
      <c r="L454" s="22"/>
      <c r="M454" s="8" t="str">
        <f t="shared" si="70"/>
        <v>Ok</v>
      </c>
      <c r="N454" s="9" t="b">
        <f t="shared" si="71"/>
        <v>0</v>
      </c>
      <c r="O454" s="9" t="b">
        <f t="shared" si="72"/>
        <v>1</v>
      </c>
      <c r="P454" s="8" t="str">
        <f t="shared" si="73"/>
        <v>FALSE</v>
      </c>
      <c r="Q454" s="8" t="str">
        <f t="shared" si="74"/>
        <v>FALSE</v>
      </c>
      <c r="R454" s="9" t="b">
        <f t="shared" si="75"/>
        <v>1</v>
      </c>
      <c r="S454" s="8" t="b">
        <f t="shared" si="76"/>
        <v>0</v>
      </c>
      <c r="T454" s="10" t="b">
        <f t="shared" si="77"/>
        <v>0</v>
      </c>
      <c r="U454" s="8" t="str">
        <f t="shared" si="78"/>
        <v>FALSE</v>
      </c>
      <c r="V454" s="11" t="str">
        <f t="shared" si="79"/>
        <v>TRUE</v>
      </c>
    </row>
    <row r="455" spans="1:22" ht="15.75">
      <c r="A455" s="21">
        <v>453</v>
      </c>
      <c r="B455" s="5" t="s">
        <v>1354</v>
      </c>
      <c r="C455" s="23" t="s">
        <v>3370</v>
      </c>
      <c r="D455" s="23" t="s">
        <v>34</v>
      </c>
      <c r="E455" s="5" t="s">
        <v>1355</v>
      </c>
      <c r="F455" s="71" t="s">
        <v>6104</v>
      </c>
      <c r="G455" s="22" t="s">
        <v>3933</v>
      </c>
      <c r="H455" s="5" t="s">
        <v>3932</v>
      </c>
      <c r="I455" s="5" t="s">
        <v>26</v>
      </c>
      <c r="J455" s="5" t="s">
        <v>5459</v>
      </c>
      <c r="K455" s="5" t="s">
        <v>1356</v>
      </c>
      <c r="L455" s="22"/>
      <c r="M455" s="8" t="str">
        <f t="shared" si="70"/>
        <v>Ok</v>
      </c>
      <c r="N455" s="9" t="b">
        <f t="shared" si="71"/>
        <v>1</v>
      </c>
      <c r="O455" s="9" t="b">
        <f t="shared" si="72"/>
        <v>0</v>
      </c>
      <c r="P455" s="8" t="str">
        <f t="shared" si="73"/>
        <v>FALSE</v>
      </c>
      <c r="Q455" s="8" t="str">
        <f t="shared" si="74"/>
        <v>FALSE</v>
      </c>
      <c r="R455" s="9" t="b">
        <f t="shared" si="75"/>
        <v>0</v>
      </c>
      <c r="S455" s="8" t="b">
        <f t="shared" si="76"/>
        <v>0</v>
      </c>
      <c r="T455" s="10" t="b">
        <f t="shared" si="77"/>
        <v>0</v>
      </c>
      <c r="U455" s="8" t="str">
        <f t="shared" si="78"/>
        <v>FALSE</v>
      </c>
      <c r="V455" s="11" t="str">
        <f t="shared" si="79"/>
        <v>TRUE</v>
      </c>
    </row>
    <row r="456" spans="1:22" ht="15.75">
      <c r="A456" s="21">
        <v>454</v>
      </c>
      <c r="B456" s="5" t="s">
        <v>1357</v>
      </c>
      <c r="C456" s="23" t="s">
        <v>3145</v>
      </c>
      <c r="D456" s="23" t="s">
        <v>77</v>
      </c>
      <c r="E456" s="5" t="s">
        <v>1358</v>
      </c>
      <c r="F456" s="71" t="s">
        <v>6104</v>
      </c>
      <c r="G456" s="22" t="s">
        <v>179</v>
      </c>
      <c r="H456" s="22" t="s">
        <v>3932</v>
      </c>
      <c r="I456" s="5" t="s">
        <v>56</v>
      </c>
      <c r="J456" s="5" t="s">
        <v>5247</v>
      </c>
      <c r="K456" s="5" t="s">
        <v>1359</v>
      </c>
      <c r="L456" s="22"/>
      <c r="M456" s="8" t="str">
        <f t="shared" si="70"/>
        <v>Ok</v>
      </c>
      <c r="N456" s="9" t="b">
        <f t="shared" si="71"/>
        <v>0</v>
      </c>
      <c r="O456" s="9" t="b">
        <f t="shared" si="72"/>
        <v>0</v>
      </c>
      <c r="P456" s="8" t="str">
        <f t="shared" si="73"/>
        <v>FALSE</v>
      </c>
      <c r="Q456" s="8" t="str">
        <f t="shared" si="74"/>
        <v>FALSE</v>
      </c>
      <c r="R456" s="9" t="b">
        <f t="shared" si="75"/>
        <v>1</v>
      </c>
      <c r="S456" s="8" t="b">
        <f t="shared" si="76"/>
        <v>0</v>
      </c>
      <c r="T456" s="10" t="b">
        <f t="shared" si="77"/>
        <v>1</v>
      </c>
      <c r="U456" s="8" t="str">
        <f t="shared" si="78"/>
        <v>TRUE</v>
      </c>
      <c r="V456" s="11" t="str">
        <f t="shared" si="79"/>
        <v>FALSE</v>
      </c>
    </row>
    <row r="457" spans="1:22" ht="15.75">
      <c r="A457" s="21">
        <v>455</v>
      </c>
      <c r="B457" s="5" t="s">
        <v>1360</v>
      </c>
      <c r="C457" s="23" t="s">
        <v>3901</v>
      </c>
      <c r="D457" s="23" t="s">
        <v>17</v>
      </c>
      <c r="E457" s="5" t="s">
        <v>1361</v>
      </c>
      <c r="F457" s="71" t="s">
        <v>6104</v>
      </c>
      <c r="G457" s="22" t="s">
        <v>119</v>
      </c>
      <c r="H457" s="5" t="s">
        <v>86</v>
      </c>
      <c r="I457" s="5" t="s">
        <v>56</v>
      </c>
      <c r="J457" s="5" t="s">
        <v>5000</v>
      </c>
      <c r="K457" s="5" t="s">
        <v>1362</v>
      </c>
      <c r="L457" s="22"/>
      <c r="M457" s="8" t="str">
        <f t="shared" si="70"/>
        <v>Ok</v>
      </c>
      <c r="N457" s="9" t="b">
        <f t="shared" si="71"/>
        <v>0</v>
      </c>
      <c r="O457" s="9" t="b">
        <f t="shared" si="72"/>
        <v>1</v>
      </c>
      <c r="P457" s="8" t="str">
        <f t="shared" si="73"/>
        <v>FALSE</v>
      </c>
      <c r="Q457" s="8" t="str">
        <f t="shared" si="74"/>
        <v>FALSE</v>
      </c>
      <c r="R457" s="9" t="b">
        <f t="shared" si="75"/>
        <v>0</v>
      </c>
      <c r="S457" s="8" t="b">
        <f t="shared" si="76"/>
        <v>0</v>
      </c>
      <c r="T457" s="10" t="b">
        <f t="shared" si="77"/>
        <v>1</v>
      </c>
      <c r="U457" s="8" t="str">
        <f t="shared" si="78"/>
        <v>TRUE</v>
      </c>
      <c r="V457" s="11" t="str">
        <f t="shared" si="79"/>
        <v>TRUE</v>
      </c>
    </row>
    <row r="458" spans="1:22" ht="15.75">
      <c r="A458" s="21">
        <v>456</v>
      </c>
      <c r="B458" s="5" t="s">
        <v>1363</v>
      </c>
      <c r="C458" s="23" t="s">
        <v>3146</v>
      </c>
      <c r="D458" s="23" t="s">
        <v>77</v>
      </c>
      <c r="E458" s="5" t="s">
        <v>1364</v>
      </c>
      <c r="F458" s="71" t="s">
        <v>6104</v>
      </c>
      <c r="G458" s="22" t="s">
        <v>179</v>
      </c>
      <c r="H458" s="5" t="s">
        <v>3932</v>
      </c>
      <c r="I458" s="5" t="s">
        <v>21</v>
      </c>
      <c r="J458" s="5" t="s">
        <v>5455</v>
      </c>
      <c r="K458" s="5" t="s">
        <v>1365</v>
      </c>
      <c r="L458" s="22"/>
      <c r="M458" s="8" t="str">
        <f t="shared" si="70"/>
        <v>Ok</v>
      </c>
      <c r="N458" s="9" t="b">
        <f t="shared" si="71"/>
        <v>0</v>
      </c>
      <c r="O458" s="9" t="b">
        <f t="shared" si="72"/>
        <v>0</v>
      </c>
      <c r="P458" s="8" t="str">
        <f t="shared" si="73"/>
        <v>FALSE</v>
      </c>
      <c r="Q458" s="8" t="str">
        <f t="shared" si="74"/>
        <v>FALSE</v>
      </c>
      <c r="R458" s="9" t="b">
        <f t="shared" si="75"/>
        <v>1</v>
      </c>
      <c r="S458" s="8" t="b">
        <f t="shared" si="76"/>
        <v>0</v>
      </c>
      <c r="T458" s="10" t="b">
        <f t="shared" si="77"/>
        <v>0</v>
      </c>
      <c r="U458" s="8" t="str">
        <f t="shared" si="78"/>
        <v>FALSE</v>
      </c>
      <c r="V458" s="11" t="str">
        <f t="shared" si="79"/>
        <v>TRUE</v>
      </c>
    </row>
    <row r="459" spans="1:22" ht="15.75">
      <c r="A459" s="21">
        <v>457</v>
      </c>
      <c r="B459" s="5" t="s">
        <v>1366</v>
      </c>
      <c r="C459" s="23" t="s">
        <v>3371</v>
      </c>
      <c r="D459" s="23" t="s">
        <v>34</v>
      </c>
      <c r="E459" s="5" t="s">
        <v>1367</v>
      </c>
      <c r="F459" s="71" t="s">
        <v>6104</v>
      </c>
      <c r="G459" s="22" t="s">
        <v>3933</v>
      </c>
      <c r="H459" s="5" t="s">
        <v>3932</v>
      </c>
      <c r="I459" s="5" t="s">
        <v>67</v>
      </c>
      <c r="J459" s="5" t="s">
        <v>5203</v>
      </c>
      <c r="K459" s="5" t="s">
        <v>1368</v>
      </c>
      <c r="L459" s="22"/>
      <c r="M459" s="8" t="str">
        <f t="shared" si="70"/>
        <v>Ok</v>
      </c>
      <c r="N459" s="9" t="b">
        <f t="shared" si="71"/>
        <v>1</v>
      </c>
      <c r="O459" s="9" t="b">
        <f t="shared" si="72"/>
        <v>0</v>
      </c>
      <c r="P459" s="8" t="str">
        <f t="shared" si="73"/>
        <v>FALSE</v>
      </c>
      <c r="Q459" s="8" t="str">
        <f t="shared" si="74"/>
        <v>FALSE</v>
      </c>
      <c r="R459" s="9" t="b">
        <f t="shared" si="75"/>
        <v>0</v>
      </c>
      <c r="S459" s="8" t="b">
        <f t="shared" si="76"/>
        <v>0</v>
      </c>
      <c r="T459" s="10" t="b">
        <f t="shared" si="77"/>
        <v>0</v>
      </c>
      <c r="U459" s="8" t="str">
        <f t="shared" si="78"/>
        <v>TRUE</v>
      </c>
      <c r="V459" s="11" t="str">
        <f t="shared" si="79"/>
        <v>TRUE</v>
      </c>
    </row>
    <row r="460" spans="1:22" ht="15.75">
      <c r="A460" s="21">
        <v>458</v>
      </c>
      <c r="B460" s="5" t="s">
        <v>1369</v>
      </c>
      <c r="C460" s="23" t="s">
        <v>3902</v>
      </c>
      <c r="D460" s="23" t="s">
        <v>17</v>
      </c>
      <c r="E460" s="5" t="s">
        <v>1370</v>
      </c>
      <c r="F460" s="71" t="s">
        <v>6104</v>
      </c>
      <c r="G460" s="22" t="s">
        <v>85</v>
      </c>
      <c r="H460" s="5" t="s">
        <v>120</v>
      </c>
      <c r="I460" s="5" t="s">
        <v>42</v>
      </c>
      <c r="J460" s="5" t="s">
        <v>5662</v>
      </c>
      <c r="K460" s="5" t="s">
        <v>1371</v>
      </c>
      <c r="L460" s="22"/>
      <c r="M460" s="8" t="str">
        <f t="shared" si="70"/>
        <v>Ok</v>
      </c>
      <c r="N460" s="9" t="b">
        <f t="shared" si="71"/>
        <v>0</v>
      </c>
      <c r="O460" s="9" t="b">
        <f t="shared" si="72"/>
        <v>1</v>
      </c>
      <c r="P460" s="8" t="str">
        <f t="shared" si="73"/>
        <v>FALSE</v>
      </c>
      <c r="Q460" s="8" t="str">
        <f t="shared" si="74"/>
        <v>FALSE</v>
      </c>
      <c r="R460" s="9" t="b">
        <f t="shared" si="75"/>
        <v>1</v>
      </c>
      <c r="S460" s="8" t="b">
        <f t="shared" si="76"/>
        <v>1</v>
      </c>
      <c r="T460" s="10" t="b">
        <f t="shared" si="77"/>
        <v>1</v>
      </c>
      <c r="U460" s="8" t="str">
        <f t="shared" si="78"/>
        <v>FALSE</v>
      </c>
      <c r="V460" s="11" t="str">
        <f t="shared" si="79"/>
        <v>TRUE</v>
      </c>
    </row>
    <row r="461" spans="1:22" ht="15.75">
      <c r="A461" s="21">
        <v>459</v>
      </c>
      <c r="B461" s="5" t="s">
        <v>1372</v>
      </c>
      <c r="C461" s="23" t="s">
        <v>3831</v>
      </c>
      <c r="D461" s="23" t="s">
        <v>59</v>
      </c>
      <c r="E461" s="5" t="s">
        <v>1373</v>
      </c>
      <c r="F461" s="71" t="s">
        <v>6104</v>
      </c>
      <c r="G461" s="22" t="s">
        <v>144</v>
      </c>
      <c r="H461" s="5" t="s">
        <v>25</v>
      </c>
      <c r="I461" s="5" t="s">
        <v>67</v>
      </c>
      <c r="J461" s="5" t="s">
        <v>5641</v>
      </c>
      <c r="K461" s="5" t="s">
        <v>1374</v>
      </c>
      <c r="L461" s="22"/>
      <c r="M461" s="8" t="str">
        <f t="shared" si="70"/>
        <v>Ok</v>
      </c>
      <c r="N461" s="9" t="b">
        <f t="shared" si="71"/>
        <v>0</v>
      </c>
      <c r="O461" s="9" t="b">
        <f t="shared" si="72"/>
        <v>1</v>
      </c>
      <c r="P461" s="8" t="str">
        <f t="shared" si="73"/>
        <v>FALSE</v>
      </c>
      <c r="Q461" s="8" t="str">
        <f t="shared" si="74"/>
        <v>FALSE</v>
      </c>
      <c r="R461" s="9" t="b">
        <f t="shared" si="75"/>
        <v>1</v>
      </c>
      <c r="S461" s="8" t="b">
        <f t="shared" si="76"/>
        <v>0</v>
      </c>
      <c r="T461" s="10" t="b">
        <f t="shared" si="77"/>
        <v>0</v>
      </c>
      <c r="U461" s="8" t="str">
        <f t="shared" si="78"/>
        <v>FALSE</v>
      </c>
      <c r="V461" s="11" t="str">
        <f t="shared" si="79"/>
        <v>TRUE</v>
      </c>
    </row>
    <row r="462" spans="1:22" ht="15.75">
      <c r="A462" s="21">
        <v>460</v>
      </c>
      <c r="B462" s="5" t="s">
        <v>1375</v>
      </c>
      <c r="C462" s="23" t="s">
        <v>3372</v>
      </c>
      <c r="D462" s="23" t="s">
        <v>34</v>
      </c>
      <c r="E462" s="5" t="s">
        <v>1376</v>
      </c>
      <c r="F462" s="71" t="s">
        <v>6104</v>
      </c>
      <c r="G462" s="22" t="s">
        <v>3933</v>
      </c>
      <c r="H462" s="5" t="s">
        <v>3932</v>
      </c>
      <c r="I462" s="5" t="s">
        <v>14</v>
      </c>
      <c r="J462" s="5" t="s">
        <v>4980</v>
      </c>
      <c r="K462" s="5" t="s">
        <v>1377</v>
      </c>
      <c r="L462" s="22"/>
      <c r="M462" s="8" t="str">
        <f t="shared" si="70"/>
        <v>Ok</v>
      </c>
      <c r="N462" s="9" t="b">
        <f t="shared" si="71"/>
        <v>1</v>
      </c>
      <c r="O462" s="9" t="b">
        <f t="shared" si="72"/>
        <v>0</v>
      </c>
      <c r="P462" s="8" t="str">
        <f t="shared" si="73"/>
        <v>FALSE</v>
      </c>
      <c r="Q462" s="8" t="str">
        <f t="shared" si="74"/>
        <v>FALSE</v>
      </c>
      <c r="R462" s="9" t="b">
        <f t="shared" si="75"/>
        <v>0</v>
      </c>
      <c r="S462" s="8" t="b">
        <f t="shared" si="76"/>
        <v>0</v>
      </c>
      <c r="T462" s="10" t="b">
        <f t="shared" si="77"/>
        <v>1</v>
      </c>
      <c r="U462" s="8" t="str">
        <f t="shared" si="78"/>
        <v>TRUE</v>
      </c>
      <c r="V462" s="11" t="str">
        <f t="shared" si="79"/>
        <v>TRUE</v>
      </c>
    </row>
    <row r="463" spans="1:22" ht="15.75">
      <c r="A463" s="21">
        <v>461</v>
      </c>
      <c r="B463" s="5" t="s">
        <v>1378</v>
      </c>
      <c r="C463" s="23" t="s">
        <v>3373</v>
      </c>
      <c r="D463" s="23" t="s">
        <v>34</v>
      </c>
      <c r="E463" s="5" t="s">
        <v>1379</v>
      </c>
      <c r="F463" s="71" t="s">
        <v>6104</v>
      </c>
      <c r="G463" s="22" t="s">
        <v>3933</v>
      </c>
      <c r="H463" s="5" t="s">
        <v>3932</v>
      </c>
      <c r="I463" s="5" t="s">
        <v>56</v>
      </c>
      <c r="J463" s="5" t="s">
        <v>5017</v>
      </c>
      <c r="K463" s="5" t="s">
        <v>1380</v>
      </c>
      <c r="L463" s="22"/>
      <c r="M463" s="8" t="str">
        <f t="shared" si="70"/>
        <v>Ok</v>
      </c>
      <c r="N463" s="9" t="b">
        <f t="shared" si="71"/>
        <v>1</v>
      </c>
      <c r="O463" s="9" t="b">
        <f t="shared" si="72"/>
        <v>0</v>
      </c>
      <c r="P463" s="8" t="str">
        <f t="shared" si="73"/>
        <v>FALSE</v>
      </c>
      <c r="Q463" s="8" t="str">
        <f t="shared" si="74"/>
        <v>FALSE</v>
      </c>
      <c r="R463" s="9" t="b">
        <f t="shared" si="75"/>
        <v>0</v>
      </c>
      <c r="S463" s="8" t="b">
        <f t="shared" si="76"/>
        <v>0</v>
      </c>
      <c r="T463" s="10" t="b">
        <f t="shared" si="77"/>
        <v>1</v>
      </c>
      <c r="U463" s="8" t="str">
        <f t="shared" si="78"/>
        <v>TRUE</v>
      </c>
      <c r="V463" s="11" t="str">
        <f t="shared" si="79"/>
        <v>TRUE</v>
      </c>
    </row>
    <row r="464" spans="1:22" ht="15.75">
      <c r="A464" s="21">
        <v>462</v>
      </c>
      <c r="B464" s="5" t="s">
        <v>1381</v>
      </c>
      <c r="C464" s="23" t="s">
        <v>3483</v>
      </c>
      <c r="D464" s="23" t="s">
        <v>77</v>
      </c>
      <c r="E464" s="5" t="s">
        <v>1041</v>
      </c>
      <c r="F464" s="71" t="s">
        <v>6104</v>
      </c>
      <c r="G464" s="22" t="s">
        <v>160</v>
      </c>
      <c r="H464" s="5" t="s">
        <v>3932</v>
      </c>
      <c r="I464" s="5" t="s">
        <v>50</v>
      </c>
      <c r="J464" s="5" t="s">
        <v>5174</v>
      </c>
      <c r="K464" s="5" t="s">
        <v>1382</v>
      </c>
      <c r="L464" s="22"/>
      <c r="M464" s="8" t="str">
        <f t="shared" si="70"/>
        <v>Ok</v>
      </c>
      <c r="N464" s="9" t="b">
        <f t="shared" si="71"/>
        <v>1</v>
      </c>
      <c r="O464" s="9" t="b">
        <f t="shared" si="72"/>
        <v>0</v>
      </c>
      <c r="P464" s="8" t="str">
        <f t="shared" si="73"/>
        <v>FALSE</v>
      </c>
      <c r="Q464" s="8" t="str">
        <f t="shared" si="74"/>
        <v>FALSE</v>
      </c>
      <c r="R464" s="9" t="b">
        <f t="shared" si="75"/>
        <v>0</v>
      </c>
      <c r="S464" s="8" t="b">
        <f t="shared" si="76"/>
        <v>0</v>
      </c>
      <c r="T464" s="10" t="b">
        <f t="shared" si="77"/>
        <v>0</v>
      </c>
      <c r="U464" s="8" t="str">
        <f t="shared" si="78"/>
        <v>TRUE</v>
      </c>
      <c r="V464" s="11" t="str">
        <f t="shared" si="79"/>
        <v>TRUE</v>
      </c>
    </row>
    <row r="465" spans="1:22" ht="15.75">
      <c r="A465" s="21">
        <v>463</v>
      </c>
      <c r="B465" s="5" t="s">
        <v>1383</v>
      </c>
      <c r="C465" s="23" t="s">
        <v>3016</v>
      </c>
      <c r="D465" s="23" t="s">
        <v>34</v>
      </c>
      <c r="E465" s="5" t="s">
        <v>1384</v>
      </c>
      <c r="F465" s="71" t="s">
        <v>6104</v>
      </c>
      <c r="G465" s="22" t="s">
        <v>74</v>
      </c>
      <c r="H465" s="5" t="s">
        <v>71</v>
      </c>
      <c r="I465" s="5" t="s">
        <v>26</v>
      </c>
      <c r="J465" s="5" t="s">
        <v>5608</v>
      </c>
      <c r="K465" s="5" t="s">
        <v>1385</v>
      </c>
      <c r="L465" s="22"/>
      <c r="M465" s="8" t="str">
        <f t="shared" si="70"/>
        <v>Ok</v>
      </c>
      <c r="N465" s="9" t="b">
        <f t="shared" si="71"/>
        <v>0</v>
      </c>
      <c r="O465" s="9" t="b">
        <f t="shared" si="72"/>
        <v>0</v>
      </c>
      <c r="P465" s="8" t="str">
        <f t="shared" si="73"/>
        <v>FALSE</v>
      </c>
      <c r="Q465" s="8" t="str">
        <f t="shared" si="74"/>
        <v>FALSE</v>
      </c>
      <c r="R465" s="9" t="b">
        <f t="shared" si="75"/>
        <v>0</v>
      </c>
      <c r="S465" s="8" t="b">
        <f t="shared" si="76"/>
        <v>1</v>
      </c>
      <c r="T465" s="10" t="b">
        <f t="shared" si="77"/>
        <v>0</v>
      </c>
      <c r="U465" s="8" t="str">
        <f t="shared" si="78"/>
        <v>FALSE</v>
      </c>
      <c r="V465" s="11" t="str">
        <f t="shared" si="79"/>
        <v>TRUE</v>
      </c>
    </row>
    <row r="466" spans="1:22" ht="15.75">
      <c r="A466" s="21">
        <v>464</v>
      </c>
      <c r="B466" s="5" t="s">
        <v>3950</v>
      </c>
      <c r="C466" s="23" t="s">
        <v>3374</v>
      </c>
      <c r="D466" s="23" t="s">
        <v>34</v>
      </c>
      <c r="E466" s="5" t="s">
        <v>1386</v>
      </c>
      <c r="F466" s="71" t="s">
        <v>6104</v>
      </c>
      <c r="G466" s="22" t="s">
        <v>3933</v>
      </c>
      <c r="H466" s="5" t="s">
        <v>3932</v>
      </c>
      <c r="I466" s="5" t="s">
        <v>21</v>
      </c>
      <c r="J466" s="5" t="s">
        <v>5426</v>
      </c>
      <c r="K466" s="5" t="s">
        <v>1387</v>
      </c>
      <c r="L466" s="22"/>
      <c r="M466" s="8" t="str">
        <f t="shared" si="70"/>
        <v>Ok</v>
      </c>
      <c r="N466" s="9" t="b">
        <f t="shared" si="71"/>
        <v>1</v>
      </c>
      <c r="O466" s="9" t="b">
        <f t="shared" si="72"/>
        <v>0</v>
      </c>
      <c r="P466" s="8" t="str">
        <f t="shared" si="73"/>
        <v>FALSE</v>
      </c>
      <c r="Q466" s="8" t="str">
        <f t="shared" si="74"/>
        <v>FALSE</v>
      </c>
      <c r="R466" s="9" t="b">
        <f t="shared" si="75"/>
        <v>0</v>
      </c>
      <c r="S466" s="8" t="b">
        <f t="shared" si="76"/>
        <v>0</v>
      </c>
      <c r="T466" s="10" t="b">
        <f t="shared" si="77"/>
        <v>0</v>
      </c>
      <c r="U466" s="8" t="str">
        <f t="shared" si="78"/>
        <v>TRUE</v>
      </c>
      <c r="V466" s="11" t="str">
        <f t="shared" si="79"/>
        <v>TRUE</v>
      </c>
    </row>
    <row r="467" spans="1:22" ht="15.75">
      <c r="A467" s="21">
        <v>465</v>
      </c>
      <c r="B467" s="5" t="s">
        <v>1388</v>
      </c>
      <c r="C467" s="23" t="s">
        <v>3832</v>
      </c>
      <c r="D467" s="23" t="s">
        <v>59</v>
      </c>
      <c r="E467" s="5" t="s">
        <v>1389</v>
      </c>
      <c r="F467" s="71" t="s">
        <v>6104</v>
      </c>
      <c r="G467" s="22" t="s">
        <v>144</v>
      </c>
      <c r="H467" s="5" t="s">
        <v>25</v>
      </c>
      <c r="I467" s="5" t="s">
        <v>67</v>
      </c>
      <c r="J467" s="5" t="s">
        <v>5531</v>
      </c>
      <c r="K467" s="5">
        <v>89756465586</v>
      </c>
      <c r="L467" s="22"/>
      <c r="M467" s="8" t="str">
        <f t="shared" si="70"/>
        <v>Ok</v>
      </c>
      <c r="N467" s="9" t="b">
        <f t="shared" si="71"/>
        <v>0</v>
      </c>
      <c r="O467" s="9" t="b">
        <f t="shared" si="72"/>
        <v>1</v>
      </c>
      <c r="P467" s="8" t="str">
        <f t="shared" si="73"/>
        <v>FALSE</v>
      </c>
      <c r="Q467" s="8" t="str">
        <f t="shared" si="74"/>
        <v>FALSE</v>
      </c>
      <c r="R467" s="9" t="b">
        <f t="shared" si="75"/>
        <v>1</v>
      </c>
      <c r="S467" s="8" t="b">
        <f t="shared" si="76"/>
        <v>0</v>
      </c>
      <c r="T467" s="10" t="b">
        <f t="shared" si="77"/>
        <v>0</v>
      </c>
      <c r="U467" s="8" t="str">
        <f t="shared" si="78"/>
        <v>FALSE</v>
      </c>
      <c r="V467" s="11" t="str">
        <f t="shared" si="79"/>
        <v>FALSE</v>
      </c>
    </row>
    <row r="468" spans="1:22" ht="15.75">
      <c r="A468" s="21">
        <v>466</v>
      </c>
      <c r="B468" s="5" t="s">
        <v>1390</v>
      </c>
      <c r="C468" s="23" t="s">
        <v>3017</v>
      </c>
      <c r="D468" s="23" t="s">
        <v>34</v>
      </c>
      <c r="E468" s="5" t="s">
        <v>1391</v>
      </c>
      <c r="F468" s="71" t="s">
        <v>6104</v>
      </c>
      <c r="G468" s="22" t="s">
        <v>179</v>
      </c>
      <c r="H468" s="5" t="s">
        <v>3932</v>
      </c>
      <c r="I468" s="5" t="s">
        <v>56</v>
      </c>
      <c r="J468" s="5" t="s">
        <v>5543</v>
      </c>
      <c r="K468" s="5" t="s">
        <v>1392</v>
      </c>
      <c r="L468" s="22"/>
      <c r="M468" s="8" t="str">
        <f t="shared" si="70"/>
        <v>Ok</v>
      </c>
      <c r="N468" s="9" t="b">
        <f t="shared" si="71"/>
        <v>0</v>
      </c>
      <c r="O468" s="9" t="b">
        <f t="shared" si="72"/>
        <v>0</v>
      </c>
      <c r="P468" s="8" t="str">
        <f t="shared" si="73"/>
        <v>FALSE</v>
      </c>
      <c r="Q468" s="8" t="str">
        <f t="shared" si="74"/>
        <v>FALSE</v>
      </c>
      <c r="R468" s="9" t="b">
        <f t="shared" si="75"/>
        <v>1</v>
      </c>
      <c r="S468" s="8" t="b">
        <f t="shared" si="76"/>
        <v>0</v>
      </c>
      <c r="T468" s="10" t="b">
        <f t="shared" si="77"/>
        <v>1</v>
      </c>
      <c r="U468" s="8" t="str">
        <f t="shared" si="78"/>
        <v>FALSE</v>
      </c>
      <c r="V468" s="11" t="str">
        <f t="shared" si="79"/>
        <v>FALSE</v>
      </c>
    </row>
    <row r="469" spans="1:22" ht="15.75">
      <c r="A469" s="21">
        <v>467</v>
      </c>
      <c r="B469" s="5" t="s">
        <v>1393</v>
      </c>
      <c r="C469" s="23" t="s">
        <v>3240</v>
      </c>
      <c r="D469" s="23" t="s">
        <v>77</v>
      </c>
      <c r="E469" s="5" t="s">
        <v>1394</v>
      </c>
      <c r="F469" s="71" t="s">
        <v>6104</v>
      </c>
      <c r="G469" s="22" t="s">
        <v>179</v>
      </c>
      <c r="H469" s="5" t="s">
        <v>3932</v>
      </c>
      <c r="I469" s="5" t="s">
        <v>42</v>
      </c>
      <c r="J469" s="5" t="s">
        <v>4881</v>
      </c>
      <c r="K469" s="5" t="s">
        <v>1395</v>
      </c>
      <c r="L469" s="22"/>
      <c r="M469" s="8" t="str">
        <f t="shared" si="70"/>
        <v>Ok</v>
      </c>
      <c r="N469" s="9" t="b">
        <f t="shared" si="71"/>
        <v>1</v>
      </c>
      <c r="O469" s="9" t="b">
        <f t="shared" si="72"/>
        <v>0</v>
      </c>
      <c r="P469" s="8" t="str">
        <f t="shared" si="73"/>
        <v>FALSE</v>
      </c>
      <c r="Q469" s="8" t="str">
        <f t="shared" si="74"/>
        <v>FALSE</v>
      </c>
      <c r="R469" s="9" t="b">
        <f t="shared" si="75"/>
        <v>1</v>
      </c>
      <c r="S469" s="8" t="b">
        <f t="shared" si="76"/>
        <v>0</v>
      </c>
      <c r="T469" s="10" t="b">
        <f t="shared" si="77"/>
        <v>1</v>
      </c>
      <c r="U469" s="8" t="str">
        <f t="shared" si="78"/>
        <v>TRUE</v>
      </c>
      <c r="V469" s="11" t="str">
        <f t="shared" si="79"/>
        <v>TRUE</v>
      </c>
    </row>
    <row r="470" spans="1:22" ht="15.75">
      <c r="A470" s="21">
        <v>468</v>
      </c>
      <c r="B470" s="5" t="s">
        <v>1396</v>
      </c>
      <c r="C470" s="23" t="s">
        <v>3241</v>
      </c>
      <c r="D470" s="23" t="s">
        <v>77</v>
      </c>
      <c r="E470" s="5" t="s">
        <v>1397</v>
      </c>
      <c r="F470" s="71" t="s">
        <v>6104</v>
      </c>
      <c r="G470" s="22" t="s">
        <v>179</v>
      </c>
      <c r="H470" s="5" t="s">
        <v>3932</v>
      </c>
      <c r="I470" s="5" t="s">
        <v>67</v>
      </c>
      <c r="J470" s="5" t="s">
        <v>5301</v>
      </c>
      <c r="K470" s="5" t="s">
        <v>1398</v>
      </c>
      <c r="L470" s="22"/>
      <c r="M470" s="8" t="str">
        <f t="shared" si="70"/>
        <v>Ok</v>
      </c>
      <c r="N470" s="9" t="b">
        <f t="shared" si="71"/>
        <v>1</v>
      </c>
      <c r="O470" s="9" t="b">
        <f t="shared" si="72"/>
        <v>0</v>
      </c>
      <c r="P470" s="8" t="str">
        <f t="shared" si="73"/>
        <v>FALSE</v>
      </c>
      <c r="Q470" s="8" t="str">
        <f t="shared" si="74"/>
        <v>FALSE</v>
      </c>
      <c r="R470" s="9" t="b">
        <f t="shared" si="75"/>
        <v>1</v>
      </c>
      <c r="S470" s="8" t="b">
        <f t="shared" si="76"/>
        <v>0</v>
      </c>
      <c r="T470" s="10" t="b">
        <f t="shared" si="77"/>
        <v>0</v>
      </c>
      <c r="U470" s="8" t="str">
        <f t="shared" si="78"/>
        <v>TRUE</v>
      </c>
      <c r="V470" s="11" t="str">
        <f t="shared" si="79"/>
        <v>TRUE</v>
      </c>
    </row>
    <row r="471" spans="1:22" ht="15.75">
      <c r="A471" s="21">
        <v>469</v>
      </c>
      <c r="B471" s="5" t="s">
        <v>1399</v>
      </c>
      <c r="C471" s="23" t="s">
        <v>3903</v>
      </c>
      <c r="D471" s="23" t="s">
        <v>17</v>
      </c>
      <c r="E471" s="5" t="s">
        <v>1400</v>
      </c>
      <c r="F471" s="71" t="s">
        <v>6104</v>
      </c>
      <c r="G471" s="22" t="s">
        <v>119</v>
      </c>
      <c r="H471" s="5" t="s">
        <v>86</v>
      </c>
      <c r="I471" s="5" t="s">
        <v>26</v>
      </c>
      <c r="J471" s="5" t="s">
        <v>5474</v>
      </c>
      <c r="K471" s="5" t="s">
        <v>1401</v>
      </c>
      <c r="L471" s="22"/>
      <c r="M471" s="8" t="str">
        <f t="shared" si="70"/>
        <v>Ok</v>
      </c>
      <c r="N471" s="9" t="b">
        <f t="shared" si="71"/>
        <v>0</v>
      </c>
      <c r="O471" s="9" t="b">
        <f t="shared" si="72"/>
        <v>1</v>
      </c>
      <c r="P471" s="8" t="str">
        <f t="shared" si="73"/>
        <v>FALSE</v>
      </c>
      <c r="Q471" s="8" t="str">
        <f t="shared" si="74"/>
        <v>FALSE</v>
      </c>
      <c r="R471" s="9" t="b">
        <f t="shared" si="75"/>
        <v>0</v>
      </c>
      <c r="S471" s="8" t="b">
        <f t="shared" si="76"/>
        <v>0</v>
      </c>
      <c r="T471" s="10" t="b">
        <f t="shared" si="77"/>
        <v>0</v>
      </c>
      <c r="U471" s="8" t="str">
        <f t="shared" si="78"/>
        <v>FALSE</v>
      </c>
      <c r="V471" s="11" t="str">
        <f t="shared" si="79"/>
        <v>TRUE</v>
      </c>
    </row>
    <row r="472" spans="1:22" ht="15.75">
      <c r="A472" s="21">
        <v>470</v>
      </c>
      <c r="B472" s="5" t="s">
        <v>1402</v>
      </c>
      <c r="C472" s="23" t="s">
        <v>3093</v>
      </c>
      <c r="D472" s="23" t="s">
        <v>77</v>
      </c>
      <c r="E472" s="5" t="s">
        <v>1403</v>
      </c>
      <c r="F472" s="71" t="s">
        <v>6104</v>
      </c>
      <c r="G472" s="22" t="s">
        <v>179</v>
      </c>
      <c r="H472" s="5" t="s">
        <v>3932</v>
      </c>
      <c r="I472" s="5" t="s">
        <v>21</v>
      </c>
      <c r="J472" s="5" t="s">
        <v>5525</v>
      </c>
      <c r="K472" s="5" t="s">
        <v>1404</v>
      </c>
      <c r="L472" s="22"/>
      <c r="M472" s="8" t="str">
        <f t="shared" si="70"/>
        <v>Ok</v>
      </c>
      <c r="N472" s="9" t="b">
        <f t="shared" si="71"/>
        <v>0</v>
      </c>
      <c r="O472" s="9" t="b">
        <f t="shared" si="72"/>
        <v>0</v>
      </c>
      <c r="P472" s="8" t="str">
        <f t="shared" si="73"/>
        <v>FALSE</v>
      </c>
      <c r="Q472" s="8" t="str">
        <f t="shared" si="74"/>
        <v>FALSE</v>
      </c>
      <c r="R472" s="9" t="b">
        <f t="shared" si="75"/>
        <v>1</v>
      </c>
      <c r="S472" s="8" t="b">
        <f t="shared" si="76"/>
        <v>0</v>
      </c>
      <c r="T472" s="10" t="b">
        <f t="shared" si="77"/>
        <v>0</v>
      </c>
      <c r="U472" s="8" t="str">
        <f t="shared" si="78"/>
        <v>FALSE</v>
      </c>
      <c r="V472" s="11" t="str">
        <f t="shared" si="79"/>
        <v>FALSE</v>
      </c>
    </row>
    <row r="473" spans="1:22" ht="15.75">
      <c r="A473" s="21">
        <v>471</v>
      </c>
      <c r="B473" s="5" t="s">
        <v>1405</v>
      </c>
      <c r="C473" s="23" t="s">
        <v>3147</v>
      </c>
      <c r="D473" s="23" t="s">
        <v>77</v>
      </c>
      <c r="E473" s="5" t="s">
        <v>1406</v>
      </c>
      <c r="F473" s="71" t="s">
        <v>6104</v>
      </c>
      <c r="G473" s="22" t="s">
        <v>179</v>
      </c>
      <c r="H473" s="22" t="s">
        <v>179</v>
      </c>
      <c r="I473" s="5" t="s">
        <v>50</v>
      </c>
      <c r="J473" s="5" t="s">
        <v>4907</v>
      </c>
      <c r="K473" s="5" t="s">
        <v>1407</v>
      </c>
      <c r="L473" s="22"/>
      <c r="M473" s="8" t="str">
        <f t="shared" si="70"/>
        <v>Ok</v>
      </c>
      <c r="N473" s="9" t="b">
        <f t="shared" si="71"/>
        <v>0</v>
      </c>
      <c r="O473" s="9" t="b">
        <f t="shared" si="72"/>
        <v>0</v>
      </c>
      <c r="P473" s="8" t="str">
        <f t="shared" si="73"/>
        <v>FALSE</v>
      </c>
      <c r="Q473" s="8" t="str">
        <f t="shared" si="74"/>
        <v>FALSE</v>
      </c>
      <c r="R473" s="9" t="b">
        <f t="shared" si="75"/>
        <v>1</v>
      </c>
      <c r="S473" s="8" t="b">
        <f t="shared" si="76"/>
        <v>1</v>
      </c>
      <c r="T473" s="10" t="b">
        <f t="shared" si="77"/>
        <v>0</v>
      </c>
      <c r="U473" s="8" t="str">
        <f t="shared" si="78"/>
        <v>TRUE</v>
      </c>
      <c r="V473" s="11" t="str">
        <f t="shared" si="79"/>
        <v>TRUE</v>
      </c>
    </row>
    <row r="474" spans="1:22" ht="15.75">
      <c r="A474" s="21">
        <v>472</v>
      </c>
      <c r="B474" s="5" t="s">
        <v>1408</v>
      </c>
      <c r="C474" s="23" t="s">
        <v>3375</v>
      </c>
      <c r="D474" s="23" t="s">
        <v>34</v>
      </c>
      <c r="E474" s="5" t="s">
        <v>1409</v>
      </c>
      <c r="F474" s="71" t="s">
        <v>6104</v>
      </c>
      <c r="G474" s="22" t="s">
        <v>3933</v>
      </c>
      <c r="H474" s="5" t="s">
        <v>3932</v>
      </c>
      <c r="I474" s="5" t="s">
        <v>67</v>
      </c>
      <c r="J474" s="5" t="s">
        <v>5460</v>
      </c>
      <c r="K474" s="5" t="s">
        <v>1410</v>
      </c>
      <c r="L474" s="22"/>
      <c r="M474" s="8" t="str">
        <f t="shared" si="70"/>
        <v>Ok</v>
      </c>
      <c r="N474" s="9" t="b">
        <f t="shared" si="71"/>
        <v>1</v>
      </c>
      <c r="O474" s="9" t="b">
        <f t="shared" si="72"/>
        <v>0</v>
      </c>
      <c r="P474" s="8" t="str">
        <f t="shared" si="73"/>
        <v>FALSE</v>
      </c>
      <c r="Q474" s="8" t="str">
        <f t="shared" si="74"/>
        <v>FALSE</v>
      </c>
      <c r="R474" s="9" t="b">
        <f t="shared" si="75"/>
        <v>0</v>
      </c>
      <c r="S474" s="8" t="b">
        <f t="shared" si="76"/>
        <v>0</v>
      </c>
      <c r="T474" s="10" t="b">
        <f t="shared" si="77"/>
        <v>0</v>
      </c>
      <c r="U474" s="8" t="str">
        <f t="shared" si="78"/>
        <v>FALSE</v>
      </c>
      <c r="V474" s="11" t="str">
        <f t="shared" si="79"/>
        <v>TRUE</v>
      </c>
    </row>
    <row r="475" spans="1:22" ht="15.75">
      <c r="A475" s="21">
        <v>473</v>
      </c>
      <c r="B475" s="5" t="s">
        <v>1411</v>
      </c>
      <c r="C475" s="23" t="s">
        <v>3904</v>
      </c>
      <c r="D475" s="23" t="s">
        <v>17</v>
      </c>
      <c r="E475" s="5" t="s">
        <v>1412</v>
      </c>
      <c r="F475" s="71" t="s">
        <v>6104</v>
      </c>
      <c r="G475" s="22" t="s">
        <v>119</v>
      </c>
      <c r="H475" s="5" t="s">
        <v>120</v>
      </c>
      <c r="I475" s="5" t="s">
        <v>14</v>
      </c>
      <c r="J475" s="5" t="s">
        <v>4785</v>
      </c>
      <c r="K475" s="5" t="s">
        <v>1413</v>
      </c>
      <c r="L475" s="22"/>
      <c r="M475" s="8" t="str">
        <f t="shared" si="70"/>
        <v>Ok</v>
      </c>
      <c r="N475" s="9" t="b">
        <f t="shared" si="71"/>
        <v>0</v>
      </c>
      <c r="O475" s="9" t="b">
        <f t="shared" si="72"/>
        <v>1</v>
      </c>
      <c r="P475" s="8" t="str">
        <f t="shared" si="73"/>
        <v>FALSE</v>
      </c>
      <c r="Q475" s="8" t="str">
        <f t="shared" si="74"/>
        <v>FALSE</v>
      </c>
      <c r="R475" s="9" t="b">
        <f t="shared" si="75"/>
        <v>0</v>
      </c>
      <c r="S475" s="8" t="b">
        <f t="shared" si="76"/>
        <v>1</v>
      </c>
      <c r="T475" s="10" t="b">
        <f t="shared" si="77"/>
        <v>1</v>
      </c>
      <c r="U475" s="8" t="str">
        <f t="shared" si="78"/>
        <v>TRUE</v>
      </c>
      <c r="V475" s="11" t="str">
        <f t="shared" si="79"/>
        <v>TRUE</v>
      </c>
    </row>
    <row r="476" spans="1:22" ht="15.75">
      <c r="A476" s="21">
        <v>474</v>
      </c>
      <c r="B476" s="5" t="s">
        <v>1414</v>
      </c>
      <c r="C476" s="23" t="s">
        <v>3705</v>
      </c>
      <c r="D476" s="23" t="s">
        <v>59</v>
      </c>
      <c r="E476" s="5" t="s">
        <v>1415</v>
      </c>
      <c r="F476" s="71" t="s">
        <v>6104</v>
      </c>
      <c r="G476" s="22" t="s">
        <v>3934</v>
      </c>
      <c r="H476" s="5" t="s">
        <v>13</v>
      </c>
      <c r="I476" s="5" t="s">
        <v>14</v>
      </c>
      <c r="J476" s="5" t="s">
        <v>5617</v>
      </c>
      <c r="K476" s="5" t="s">
        <v>1416</v>
      </c>
      <c r="L476" s="22"/>
      <c r="M476" s="8" t="str">
        <f t="shared" si="70"/>
        <v>Ok</v>
      </c>
      <c r="N476" s="9" t="b">
        <f t="shared" si="71"/>
        <v>0</v>
      </c>
      <c r="O476" s="9" t="b">
        <f t="shared" si="72"/>
        <v>1</v>
      </c>
      <c r="P476" s="8" t="str">
        <f t="shared" si="73"/>
        <v>FALSE</v>
      </c>
      <c r="Q476" s="8" t="str">
        <f t="shared" si="74"/>
        <v>FALSE</v>
      </c>
      <c r="R476" s="9" t="b">
        <f t="shared" si="75"/>
        <v>0</v>
      </c>
      <c r="S476" s="8" t="b">
        <f t="shared" si="76"/>
        <v>0</v>
      </c>
      <c r="T476" s="10" t="b">
        <f t="shared" si="77"/>
        <v>1</v>
      </c>
      <c r="U476" s="8" t="str">
        <f t="shared" si="78"/>
        <v>FALSE</v>
      </c>
      <c r="V476" s="11" t="str">
        <f t="shared" si="79"/>
        <v>TRUE</v>
      </c>
    </row>
    <row r="477" spans="1:22" ht="15.75">
      <c r="A477" s="21">
        <v>475</v>
      </c>
      <c r="B477" s="5" t="s">
        <v>1417</v>
      </c>
      <c r="C477" s="23" t="s">
        <v>3787</v>
      </c>
      <c r="D477" s="23" t="s">
        <v>17</v>
      </c>
      <c r="E477" s="5" t="s">
        <v>1418</v>
      </c>
      <c r="F477" s="71" t="s">
        <v>6104</v>
      </c>
      <c r="G477" s="22" t="s">
        <v>24</v>
      </c>
      <c r="H477" s="5" t="s">
        <v>46</v>
      </c>
      <c r="I477" s="5" t="s">
        <v>14</v>
      </c>
      <c r="J477" s="5" t="s">
        <v>5735</v>
      </c>
      <c r="K477" s="5">
        <v>870743713</v>
      </c>
      <c r="L477" s="22"/>
      <c r="M477" s="8" t="str">
        <f t="shared" si="70"/>
        <v>Ok</v>
      </c>
      <c r="N477" s="9" t="b">
        <f t="shared" si="71"/>
        <v>0</v>
      </c>
      <c r="O477" s="9" t="b">
        <f t="shared" si="72"/>
        <v>1</v>
      </c>
      <c r="P477" s="8" t="str">
        <f t="shared" si="73"/>
        <v>FALSE</v>
      </c>
      <c r="Q477" s="8" t="str">
        <f t="shared" si="74"/>
        <v>FALSE</v>
      </c>
      <c r="R477" s="9" t="b">
        <f t="shared" si="75"/>
        <v>0</v>
      </c>
      <c r="S477" s="8" t="b">
        <f t="shared" si="76"/>
        <v>0</v>
      </c>
      <c r="T477" s="10" t="b">
        <f t="shared" si="77"/>
        <v>1</v>
      </c>
      <c r="U477" s="8" t="str">
        <f t="shared" si="78"/>
        <v>FALSE</v>
      </c>
      <c r="V477" s="11" t="str">
        <f t="shared" si="79"/>
        <v>FALSE</v>
      </c>
    </row>
    <row r="478" spans="1:22" ht="15.75">
      <c r="A478" s="21">
        <v>476</v>
      </c>
      <c r="B478" s="5" t="s">
        <v>1419</v>
      </c>
      <c r="C478" s="23" t="s">
        <v>3376</v>
      </c>
      <c r="D478" s="23" t="s">
        <v>34</v>
      </c>
      <c r="E478" s="5" t="s">
        <v>1420</v>
      </c>
      <c r="F478" s="71" t="s">
        <v>6104</v>
      </c>
      <c r="G478" s="22" t="s">
        <v>3933</v>
      </c>
      <c r="H478" s="5" t="s">
        <v>3932</v>
      </c>
      <c r="I478" s="5" t="s">
        <v>14</v>
      </c>
      <c r="J478" s="5" t="s">
        <v>5744</v>
      </c>
      <c r="K478" s="5" t="s">
        <v>1421</v>
      </c>
      <c r="L478" s="22"/>
      <c r="M478" s="8" t="str">
        <f t="shared" si="70"/>
        <v>Ok</v>
      </c>
      <c r="N478" s="9" t="b">
        <f t="shared" si="71"/>
        <v>1</v>
      </c>
      <c r="O478" s="9" t="b">
        <f t="shared" si="72"/>
        <v>0</v>
      </c>
      <c r="P478" s="8" t="str">
        <f t="shared" si="73"/>
        <v>FALSE</v>
      </c>
      <c r="Q478" s="8" t="str">
        <f t="shared" si="74"/>
        <v>FALSE</v>
      </c>
      <c r="R478" s="9" t="b">
        <f t="shared" si="75"/>
        <v>0</v>
      </c>
      <c r="S478" s="8" t="b">
        <f t="shared" si="76"/>
        <v>0</v>
      </c>
      <c r="T478" s="10" t="b">
        <f t="shared" si="77"/>
        <v>1</v>
      </c>
      <c r="U478" s="8" t="str">
        <f t="shared" si="78"/>
        <v>FALSE</v>
      </c>
      <c r="V478" s="11" t="str">
        <f t="shared" si="79"/>
        <v>FALSE</v>
      </c>
    </row>
    <row r="479" spans="1:22" ht="15.75">
      <c r="A479" s="21">
        <v>477</v>
      </c>
      <c r="B479" s="5" t="s">
        <v>1422</v>
      </c>
      <c r="C479" s="23" t="s">
        <v>3484</v>
      </c>
      <c r="D479" s="23" t="s">
        <v>77</v>
      </c>
      <c r="E479" s="5" t="s">
        <v>1423</v>
      </c>
      <c r="F479" s="71" t="s">
        <v>6104</v>
      </c>
      <c r="G479" s="22" t="s">
        <v>160</v>
      </c>
      <c r="H479" s="5" t="s">
        <v>3932</v>
      </c>
      <c r="I479" s="5" t="s">
        <v>67</v>
      </c>
      <c r="J479" s="5" t="s">
        <v>4929</v>
      </c>
      <c r="K479" s="5" t="s">
        <v>1424</v>
      </c>
      <c r="L479" s="22"/>
      <c r="M479" s="8" t="str">
        <f t="shared" si="70"/>
        <v>Ok</v>
      </c>
      <c r="N479" s="9" t="b">
        <f t="shared" si="71"/>
        <v>1</v>
      </c>
      <c r="O479" s="9" t="b">
        <f t="shared" si="72"/>
        <v>0</v>
      </c>
      <c r="P479" s="8" t="str">
        <f t="shared" si="73"/>
        <v>FALSE</v>
      </c>
      <c r="Q479" s="8" t="str">
        <f t="shared" si="74"/>
        <v>FALSE</v>
      </c>
      <c r="R479" s="9" t="b">
        <f t="shared" si="75"/>
        <v>0</v>
      </c>
      <c r="S479" s="8" t="b">
        <f t="shared" si="76"/>
        <v>0</v>
      </c>
      <c r="T479" s="10" t="b">
        <f t="shared" si="77"/>
        <v>0</v>
      </c>
      <c r="U479" s="8" t="str">
        <f t="shared" si="78"/>
        <v>TRUE</v>
      </c>
      <c r="V479" s="11" t="str">
        <f t="shared" si="79"/>
        <v>TRUE</v>
      </c>
    </row>
    <row r="480" spans="1:22" ht="15.75">
      <c r="A480" s="21">
        <v>478</v>
      </c>
      <c r="B480" s="5" t="s">
        <v>1425</v>
      </c>
      <c r="C480" s="23" t="s">
        <v>3706</v>
      </c>
      <c r="D480" s="23" t="s">
        <v>59</v>
      </c>
      <c r="E480" s="5" t="s">
        <v>1426</v>
      </c>
      <c r="F480" s="71" t="s">
        <v>6104</v>
      </c>
      <c r="G480" s="22" t="s">
        <v>3934</v>
      </c>
      <c r="H480" s="5" t="s">
        <v>13</v>
      </c>
      <c r="I480" s="5" t="s">
        <v>21</v>
      </c>
      <c r="J480" s="5" t="s">
        <v>5172</v>
      </c>
      <c r="K480" s="5" t="s">
        <v>1427</v>
      </c>
      <c r="L480" s="22"/>
      <c r="M480" s="8" t="str">
        <f t="shared" si="70"/>
        <v>Ok</v>
      </c>
      <c r="N480" s="9" t="b">
        <f t="shared" si="71"/>
        <v>0</v>
      </c>
      <c r="O480" s="9" t="b">
        <f t="shared" si="72"/>
        <v>1</v>
      </c>
      <c r="P480" s="8" t="str">
        <f t="shared" si="73"/>
        <v>FALSE</v>
      </c>
      <c r="Q480" s="8" t="str">
        <f t="shared" si="74"/>
        <v>FALSE</v>
      </c>
      <c r="R480" s="9" t="b">
        <f t="shared" si="75"/>
        <v>0</v>
      </c>
      <c r="S480" s="8" t="b">
        <f t="shared" si="76"/>
        <v>0</v>
      </c>
      <c r="T480" s="10" t="b">
        <f t="shared" si="77"/>
        <v>0</v>
      </c>
      <c r="U480" s="8" t="str">
        <f t="shared" si="78"/>
        <v>TRUE</v>
      </c>
      <c r="V480" s="11" t="str">
        <f t="shared" si="79"/>
        <v>TRUE</v>
      </c>
    </row>
    <row r="481" spans="1:22" ht="15.75">
      <c r="A481" s="21">
        <v>479</v>
      </c>
      <c r="B481" s="5" t="s">
        <v>1428</v>
      </c>
      <c r="C481" s="23" t="s">
        <v>3377</v>
      </c>
      <c r="D481" s="23" t="s">
        <v>34</v>
      </c>
      <c r="E481" s="5" t="s">
        <v>1429</v>
      </c>
      <c r="F481" s="71" t="s">
        <v>6104</v>
      </c>
      <c r="G481" s="22" t="s">
        <v>3933</v>
      </c>
      <c r="H481" s="5" t="s">
        <v>3932</v>
      </c>
      <c r="I481" s="5" t="s">
        <v>67</v>
      </c>
      <c r="J481" s="5" t="s">
        <v>5683</v>
      </c>
      <c r="K481" s="5" t="s">
        <v>1430</v>
      </c>
      <c r="L481" s="22"/>
      <c r="M481" s="8" t="str">
        <f t="shared" si="70"/>
        <v>Ok</v>
      </c>
      <c r="N481" s="9" t="b">
        <f t="shared" si="71"/>
        <v>1</v>
      </c>
      <c r="O481" s="9" t="b">
        <f t="shared" si="72"/>
        <v>0</v>
      </c>
      <c r="P481" s="8" t="str">
        <f t="shared" si="73"/>
        <v>FALSE</v>
      </c>
      <c r="Q481" s="8" t="str">
        <f t="shared" si="74"/>
        <v>FALSE</v>
      </c>
      <c r="R481" s="9" t="b">
        <f t="shared" si="75"/>
        <v>0</v>
      </c>
      <c r="S481" s="8" t="b">
        <f t="shared" si="76"/>
        <v>0</v>
      </c>
      <c r="T481" s="10" t="b">
        <f t="shared" si="77"/>
        <v>0</v>
      </c>
      <c r="U481" s="8" t="str">
        <f t="shared" si="78"/>
        <v>FALSE</v>
      </c>
      <c r="V481" s="11" t="str">
        <f t="shared" si="79"/>
        <v>TRUE</v>
      </c>
    </row>
    <row r="482" spans="1:22" ht="15.75">
      <c r="A482" s="21">
        <v>480</v>
      </c>
      <c r="B482" s="5" t="s">
        <v>1431</v>
      </c>
      <c r="C482" s="23" t="s">
        <v>3242</v>
      </c>
      <c r="D482" s="23" t="s">
        <v>77</v>
      </c>
      <c r="E482" s="5" t="s">
        <v>1432</v>
      </c>
      <c r="F482" s="71" t="s">
        <v>6104</v>
      </c>
      <c r="G482" s="22" t="s">
        <v>179</v>
      </c>
      <c r="H482" s="5" t="s">
        <v>3932</v>
      </c>
      <c r="I482" s="5" t="s">
        <v>21</v>
      </c>
      <c r="J482" s="5" t="s">
        <v>5598</v>
      </c>
      <c r="K482" s="5" t="s">
        <v>1433</v>
      </c>
      <c r="L482" s="22"/>
      <c r="M482" s="8" t="str">
        <f t="shared" si="70"/>
        <v>Ok</v>
      </c>
      <c r="N482" s="9" t="b">
        <f t="shared" si="71"/>
        <v>1</v>
      </c>
      <c r="O482" s="9" t="b">
        <f t="shared" si="72"/>
        <v>0</v>
      </c>
      <c r="P482" s="8" t="str">
        <f t="shared" si="73"/>
        <v>FALSE</v>
      </c>
      <c r="Q482" s="8" t="str">
        <f t="shared" si="74"/>
        <v>FALSE</v>
      </c>
      <c r="R482" s="9" t="b">
        <f t="shared" si="75"/>
        <v>1</v>
      </c>
      <c r="S482" s="8" t="b">
        <f t="shared" si="76"/>
        <v>0</v>
      </c>
      <c r="T482" s="10" t="b">
        <f t="shared" si="77"/>
        <v>0</v>
      </c>
      <c r="U482" s="8" t="str">
        <f t="shared" si="78"/>
        <v>FALSE</v>
      </c>
      <c r="V482" s="11" t="str">
        <f t="shared" si="79"/>
        <v>TRUE</v>
      </c>
    </row>
    <row r="483" spans="1:22" ht="15.75">
      <c r="A483" s="21">
        <v>481</v>
      </c>
      <c r="B483" s="5" t="s">
        <v>1434</v>
      </c>
      <c r="C483" s="23" t="s">
        <v>3707</v>
      </c>
      <c r="D483" s="23" t="s">
        <v>59</v>
      </c>
      <c r="E483" s="5" t="s">
        <v>1435</v>
      </c>
      <c r="F483" s="71" t="s">
        <v>6104</v>
      </c>
      <c r="G483" s="22" t="s">
        <v>3934</v>
      </c>
      <c r="H483" s="5" t="s">
        <v>13</v>
      </c>
      <c r="I483" s="5" t="s">
        <v>14</v>
      </c>
      <c r="J483" s="5" t="s">
        <v>4820</v>
      </c>
      <c r="K483" s="5" t="s">
        <v>1436</v>
      </c>
      <c r="L483" s="22"/>
      <c r="M483" s="8" t="str">
        <f t="shared" si="70"/>
        <v>Ok</v>
      </c>
      <c r="N483" s="9" t="b">
        <f t="shared" si="71"/>
        <v>0</v>
      </c>
      <c r="O483" s="9" t="b">
        <f t="shared" si="72"/>
        <v>1</v>
      </c>
      <c r="P483" s="8" t="str">
        <f t="shared" si="73"/>
        <v>FALSE</v>
      </c>
      <c r="Q483" s="8" t="str">
        <f t="shared" si="74"/>
        <v>FALSE</v>
      </c>
      <c r="R483" s="9" t="b">
        <f t="shared" si="75"/>
        <v>0</v>
      </c>
      <c r="S483" s="8" t="b">
        <f t="shared" si="76"/>
        <v>0</v>
      </c>
      <c r="T483" s="10" t="b">
        <f t="shared" si="77"/>
        <v>1</v>
      </c>
      <c r="U483" s="8" t="str">
        <f t="shared" si="78"/>
        <v>TRUE</v>
      </c>
      <c r="V483" s="11" t="str">
        <f t="shared" si="79"/>
        <v>TRUE</v>
      </c>
    </row>
    <row r="484" spans="1:22" ht="15.75">
      <c r="A484" s="21">
        <v>482</v>
      </c>
      <c r="B484" s="5" t="s">
        <v>1437</v>
      </c>
      <c r="C484" s="23" t="s">
        <v>3905</v>
      </c>
      <c r="D484" s="23" t="s">
        <v>17</v>
      </c>
      <c r="E484" s="5" t="s">
        <v>1438</v>
      </c>
      <c r="F484" s="71" t="s">
        <v>6104</v>
      </c>
      <c r="G484" s="22" t="s">
        <v>85</v>
      </c>
      <c r="H484" s="5" t="s">
        <v>86</v>
      </c>
      <c r="I484" s="5" t="s">
        <v>26</v>
      </c>
      <c r="J484" s="5" t="s">
        <v>5122</v>
      </c>
      <c r="K484" s="5" t="s">
        <v>1439</v>
      </c>
      <c r="L484" s="22"/>
      <c r="M484" s="8" t="str">
        <f t="shared" si="70"/>
        <v>Ok</v>
      </c>
      <c r="N484" s="9" t="b">
        <f t="shared" si="71"/>
        <v>0</v>
      </c>
      <c r="O484" s="9" t="b">
        <f t="shared" si="72"/>
        <v>1</v>
      </c>
      <c r="P484" s="8" t="str">
        <f t="shared" si="73"/>
        <v>FALSE</v>
      </c>
      <c r="Q484" s="8" t="str">
        <f t="shared" si="74"/>
        <v>FALSE</v>
      </c>
      <c r="R484" s="9" t="b">
        <f t="shared" si="75"/>
        <v>1</v>
      </c>
      <c r="S484" s="8" t="b">
        <f t="shared" si="76"/>
        <v>0</v>
      </c>
      <c r="T484" s="10" t="b">
        <f t="shared" si="77"/>
        <v>0</v>
      </c>
      <c r="U484" s="8" t="str">
        <f t="shared" si="78"/>
        <v>TRUE</v>
      </c>
      <c r="V484" s="11" t="str">
        <f t="shared" si="79"/>
        <v>TRUE</v>
      </c>
    </row>
    <row r="485" spans="1:22" ht="15.75">
      <c r="A485" s="21">
        <v>483</v>
      </c>
      <c r="B485" s="5" t="s">
        <v>1440</v>
      </c>
      <c r="C485" s="23" t="s">
        <v>3617</v>
      </c>
      <c r="D485" s="23" t="s">
        <v>59</v>
      </c>
      <c r="E485" s="5" t="s">
        <v>1441</v>
      </c>
      <c r="F485" s="71" t="s">
        <v>6104</v>
      </c>
      <c r="G485" s="22" t="s">
        <v>179</v>
      </c>
      <c r="H485" s="5" t="s">
        <v>13</v>
      </c>
      <c r="I485" s="5" t="s">
        <v>42</v>
      </c>
      <c r="J485" s="5" t="s">
        <v>5649</v>
      </c>
      <c r="K485" s="5" t="s">
        <v>1442</v>
      </c>
      <c r="L485" s="22"/>
      <c r="M485" s="8" t="str">
        <f t="shared" si="70"/>
        <v>Ok</v>
      </c>
      <c r="N485" s="9" t="b">
        <f t="shared" si="71"/>
        <v>1</v>
      </c>
      <c r="O485" s="9" t="b">
        <f t="shared" si="72"/>
        <v>1</v>
      </c>
      <c r="P485" s="8" t="str">
        <f t="shared" si="73"/>
        <v>FALSE</v>
      </c>
      <c r="Q485" s="8" t="str">
        <f t="shared" si="74"/>
        <v>FALSE</v>
      </c>
      <c r="R485" s="9" t="b">
        <f t="shared" si="75"/>
        <v>1</v>
      </c>
      <c r="S485" s="8" t="b">
        <f t="shared" si="76"/>
        <v>0</v>
      </c>
      <c r="T485" s="10" t="b">
        <f t="shared" si="77"/>
        <v>1</v>
      </c>
      <c r="U485" s="8" t="str">
        <f t="shared" si="78"/>
        <v>FALSE</v>
      </c>
      <c r="V485" s="11" t="str">
        <f t="shared" si="79"/>
        <v>TRUE</v>
      </c>
    </row>
    <row r="486" spans="1:22" ht="15.75">
      <c r="A486" s="21">
        <v>484</v>
      </c>
      <c r="B486" s="5" t="s">
        <v>1443</v>
      </c>
      <c r="C486" s="23" t="s">
        <v>3148</v>
      </c>
      <c r="D486" s="23" t="s">
        <v>77</v>
      </c>
      <c r="E486" s="5" t="s">
        <v>1444</v>
      </c>
      <c r="F486" s="71" t="s">
        <v>6104</v>
      </c>
      <c r="G486" s="22" t="s">
        <v>179</v>
      </c>
      <c r="H486" s="22" t="s">
        <v>179</v>
      </c>
      <c r="I486" s="5" t="s">
        <v>14</v>
      </c>
      <c r="J486" s="5" t="s">
        <v>4910</v>
      </c>
      <c r="K486" s="5" t="s">
        <v>1445</v>
      </c>
      <c r="L486" s="22"/>
      <c r="M486" s="8" t="str">
        <f t="shared" si="70"/>
        <v>Ok</v>
      </c>
      <c r="N486" s="9" t="b">
        <f t="shared" si="71"/>
        <v>0</v>
      </c>
      <c r="O486" s="9" t="b">
        <f t="shared" si="72"/>
        <v>0</v>
      </c>
      <c r="P486" s="8" t="str">
        <f t="shared" si="73"/>
        <v>FALSE</v>
      </c>
      <c r="Q486" s="8" t="str">
        <f t="shared" si="74"/>
        <v>FALSE</v>
      </c>
      <c r="R486" s="9" t="b">
        <f t="shared" si="75"/>
        <v>1</v>
      </c>
      <c r="S486" s="8" t="b">
        <f t="shared" si="76"/>
        <v>1</v>
      </c>
      <c r="T486" s="10" t="b">
        <f t="shared" si="77"/>
        <v>1</v>
      </c>
      <c r="U486" s="8" t="str">
        <f t="shared" si="78"/>
        <v>TRUE</v>
      </c>
      <c r="V486" s="11" t="str">
        <f t="shared" si="79"/>
        <v>TRUE</v>
      </c>
    </row>
    <row r="487" spans="1:22" ht="15.75">
      <c r="A487" s="21">
        <v>485</v>
      </c>
      <c r="B487" s="5" t="s">
        <v>1446</v>
      </c>
      <c r="C487" s="23" t="s">
        <v>3906</v>
      </c>
      <c r="D487" s="23" t="s">
        <v>17</v>
      </c>
      <c r="E487" s="5" t="s">
        <v>1447</v>
      </c>
      <c r="F487" s="71" t="s">
        <v>6104</v>
      </c>
      <c r="G487" s="22" t="s">
        <v>119</v>
      </c>
      <c r="H487" s="5" t="s">
        <v>120</v>
      </c>
      <c r="I487" s="5" t="s">
        <v>50</v>
      </c>
      <c r="J487" s="5" t="s">
        <v>5133</v>
      </c>
      <c r="K487" s="5" t="s">
        <v>1448</v>
      </c>
      <c r="L487" s="22"/>
      <c r="M487" s="8" t="str">
        <f t="shared" si="70"/>
        <v>Ok</v>
      </c>
      <c r="N487" s="9" t="b">
        <f t="shared" si="71"/>
        <v>0</v>
      </c>
      <c r="O487" s="9" t="b">
        <f t="shared" si="72"/>
        <v>1</v>
      </c>
      <c r="P487" s="8" t="str">
        <f t="shared" si="73"/>
        <v>FALSE</v>
      </c>
      <c r="Q487" s="8" t="str">
        <f t="shared" si="74"/>
        <v>FALSE</v>
      </c>
      <c r="R487" s="9" t="b">
        <f t="shared" si="75"/>
        <v>0</v>
      </c>
      <c r="S487" s="8" t="b">
        <f t="shared" si="76"/>
        <v>1</v>
      </c>
      <c r="T487" s="10" t="b">
        <f t="shared" si="77"/>
        <v>0</v>
      </c>
      <c r="U487" s="8" t="str">
        <f t="shared" si="78"/>
        <v>TRUE</v>
      </c>
      <c r="V487" s="11" t="str">
        <f t="shared" si="79"/>
        <v>TRUE</v>
      </c>
    </row>
    <row r="488" spans="1:22" ht="15.75">
      <c r="A488" s="21">
        <v>486</v>
      </c>
      <c r="B488" s="5" t="s">
        <v>1449</v>
      </c>
      <c r="C488" s="23" t="s">
        <v>3149</v>
      </c>
      <c r="D488" s="23" t="s">
        <v>77</v>
      </c>
      <c r="E488" s="5" t="s">
        <v>1450</v>
      </c>
      <c r="F488" s="71" t="s">
        <v>6104</v>
      </c>
      <c r="G488" s="22" t="s">
        <v>179</v>
      </c>
      <c r="H488" s="22" t="s">
        <v>179</v>
      </c>
      <c r="I488" s="5" t="s">
        <v>21</v>
      </c>
      <c r="J488" s="5" t="s">
        <v>5278</v>
      </c>
      <c r="K488" s="5" t="s">
        <v>1451</v>
      </c>
      <c r="L488" s="22"/>
      <c r="M488" s="8" t="str">
        <f t="shared" si="70"/>
        <v>Ok</v>
      </c>
      <c r="N488" s="9" t="b">
        <f t="shared" si="71"/>
        <v>0</v>
      </c>
      <c r="O488" s="9" t="b">
        <f t="shared" si="72"/>
        <v>0</v>
      </c>
      <c r="P488" s="8" t="str">
        <f t="shared" si="73"/>
        <v>FALSE</v>
      </c>
      <c r="Q488" s="8" t="str">
        <f t="shared" si="74"/>
        <v>FALSE</v>
      </c>
      <c r="R488" s="9" t="b">
        <f t="shared" si="75"/>
        <v>1</v>
      </c>
      <c r="S488" s="8" t="b">
        <f t="shared" si="76"/>
        <v>1</v>
      </c>
      <c r="T488" s="10" t="b">
        <f t="shared" si="77"/>
        <v>0</v>
      </c>
      <c r="U488" s="8" t="str">
        <f t="shared" si="78"/>
        <v>TRUE</v>
      </c>
      <c r="V488" s="11" t="str">
        <f t="shared" si="79"/>
        <v>TRUE</v>
      </c>
    </row>
    <row r="489" spans="1:22" ht="15.75">
      <c r="A489" s="21">
        <v>487</v>
      </c>
      <c r="B489" s="5" t="s">
        <v>1452</v>
      </c>
      <c r="C489" s="23" t="s">
        <v>3833</v>
      </c>
      <c r="D489" s="23" t="s">
        <v>59</v>
      </c>
      <c r="E489" s="5" t="s">
        <v>1453</v>
      </c>
      <c r="F489" s="71" t="s">
        <v>6104</v>
      </c>
      <c r="G489" s="22" t="s">
        <v>144</v>
      </c>
      <c r="H489" s="5" t="s">
        <v>25</v>
      </c>
      <c r="I489" s="5" t="s">
        <v>67</v>
      </c>
      <c r="J489" s="5" t="s">
        <v>5632</v>
      </c>
      <c r="K489" s="5" t="s">
        <v>1454</v>
      </c>
      <c r="L489" s="22"/>
      <c r="M489" s="8" t="str">
        <f t="shared" si="70"/>
        <v>Ok</v>
      </c>
      <c r="N489" s="9" t="b">
        <f t="shared" si="71"/>
        <v>0</v>
      </c>
      <c r="O489" s="9" t="b">
        <f t="shared" si="72"/>
        <v>1</v>
      </c>
      <c r="P489" s="8" t="str">
        <f t="shared" si="73"/>
        <v>FALSE</v>
      </c>
      <c r="Q489" s="8" t="str">
        <f t="shared" si="74"/>
        <v>FALSE</v>
      </c>
      <c r="R489" s="9" t="b">
        <f t="shared" si="75"/>
        <v>1</v>
      </c>
      <c r="S489" s="8" t="b">
        <f t="shared" si="76"/>
        <v>0</v>
      </c>
      <c r="T489" s="10" t="b">
        <f t="shared" si="77"/>
        <v>0</v>
      </c>
      <c r="U489" s="8" t="str">
        <f t="shared" si="78"/>
        <v>FALSE</v>
      </c>
      <c r="V489" s="11" t="str">
        <f t="shared" si="79"/>
        <v>TRUE</v>
      </c>
    </row>
    <row r="490" spans="1:22" ht="15.75">
      <c r="A490" s="21">
        <v>488</v>
      </c>
      <c r="B490" s="5" t="s">
        <v>1455</v>
      </c>
      <c r="C490" s="23" t="s">
        <v>3150</v>
      </c>
      <c r="D490" s="23" t="s">
        <v>77</v>
      </c>
      <c r="E490" s="5" t="s">
        <v>1456</v>
      </c>
      <c r="F490" s="71" t="s">
        <v>6104</v>
      </c>
      <c r="G490" s="22" t="s">
        <v>179</v>
      </c>
      <c r="H490" s="5" t="s">
        <v>3932</v>
      </c>
      <c r="I490" s="5" t="s">
        <v>21</v>
      </c>
      <c r="J490" s="5" t="s">
        <v>5676</v>
      </c>
      <c r="K490" s="5" t="s">
        <v>1457</v>
      </c>
      <c r="L490" s="22"/>
      <c r="M490" s="8" t="str">
        <f t="shared" si="70"/>
        <v>Ok</v>
      </c>
      <c r="N490" s="9" t="b">
        <f t="shared" si="71"/>
        <v>0</v>
      </c>
      <c r="O490" s="9" t="b">
        <f t="shared" si="72"/>
        <v>0</v>
      </c>
      <c r="P490" s="8" t="str">
        <f t="shared" si="73"/>
        <v>FALSE</v>
      </c>
      <c r="Q490" s="8" t="str">
        <f t="shared" si="74"/>
        <v>FALSE</v>
      </c>
      <c r="R490" s="9" t="b">
        <f t="shared" si="75"/>
        <v>1</v>
      </c>
      <c r="S490" s="8" t="b">
        <f t="shared" si="76"/>
        <v>0</v>
      </c>
      <c r="T490" s="10" t="b">
        <f t="shared" si="77"/>
        <v>0</v>
      </c>
      <c r="U490" s="8" t="str">
        <f t="shared" si="78"/>
        <v>FALSE</v>
      </c>
      <c r="V490" s="11" t="str">
        <f t="shared" si="79"/>
        <v>TRUE</v>
      </c>
    </row>
    <row r="491" spans="1:22" ht="15.75">
      <c r="A491" s="21">
        <v>489</v>
      </c>
      <c r="B491" s="5" t="s">
        <v>1458</v>
      </c>
      <c r="C491" s="23" t="s">
        <v>3018</v>
      </c>
      <c r="D491" s="23" t="s">
        <v>34</v>
      </c>
      <c r="E491" s="5" t="s">
        <v>1459</v>
      </c>
      <c r="F491" s="71" t="s">
        <v>6104</v>
      </c>
      <c r="G491" s="22" t="s">
        <v>40</v>
      </c>
      <c r="H491" s="5" t="s">
        <v>71</v>
      </c>
      <c r="I491" s="5" t="s">
        <v>21</v>
      </c>
      <c r="J491" s="5" t="s">
        <v>5208</v>
      </c>
      <c r="K491" s="5" t="s">
        <v>1460</v>
      </c>
      <c r="L491" s="22"/>
      <c r="M491" s="8" t="str">
        <f t="shared" si="70"/>
        <v>Ok</v>
      </c>
      <c r="N491" s="9" t="b">
        <f t="shared" si="71"/>
        <v>0</v>
      </c>
      <c r="O491" s="9" t="b">
        <f t="shared" si="72"/>
        <v>0</v>
      </c>
      <c r="P491" s="8" t="str">
        <f t="shared" si="73"/>
        <v>FALSE</v>
      </c>
      <c r="Q491" s="8" t="str">
        <f t="shared" si="74"/>
        <v>FALSE</v>
      </c>
      <c r="R491" s="9" t="b">
        <f t="shared" si="75"/>
        <v>1</v>
      </c>
      <c r="S491" s="8" t="b">
        <f t="shared" si="76"/>
        <v>1</v>
      </c>
      <c r="T491" s="10" t="b">
        <f t="shared" si="77"/>
        <v>0</v>
      </c>
      <c r="U491" s="8" t="str">
        <f t="shared" si="78"/>
        <v>TRUE</v>
      </c>
      <c r="V491" s="11" t="str">
        <f t="shared" si="79"/>
        <v>TRUE</v>
      </c>
    </row>
    <row r="492" spans="1:22" ht="15.75">
      <c r="A492" s="21">
        <v>490</v>
      </c>
      <c r="B492" s="5" t="s">
        <v>1461</v>
      </c>
      <c r="C492" s="23" t="s">
        <v>3834</v>
      </c>
      <c r="D492" s="23" t="s">
        <v>59</v>
      </c>
      <c r="E492" s="5" t="s">
        <v>1462</v>
      </c>
      <c r="F492" s="71" t="s">
        <v>6104</v>
      </c>
      <c r="G492" s="22" t="s">
        <v>144</v>
      </c>
      <c r="H492" s="5" t="s">
        <v>46</v>
      </c>
      <c r="I492" s="5" t="s">
        <v>21</v>
      </c>
      <c r="J492" s="5" t="s">
        <v>4885</v>
      </c>
      <c r="K492" s="5" t="s">
        <v>1463</v>
      </c>
      <c r="L492" s="22"/>
      <c r="M492" s="8" t="str">
        <f t="shared" si="70"/>
        <v>Ok</v>
      </c>
      <c r="N492" s="9" t="b">
        <f t="shared" si="71"/>
        <v>0</v>
      </c>
      <c r="O492" s="9" t="b">
        <f t="shared" si="72"/>
        <v>1</v>
      </c>
      <c r="P492" s="8" t="str">
        <f t="shared" si="73"/>
        <v>FALSE</v>
      </c>
      <c r="Q492" s="8" t="str">
        <f t="shared" si="74"/>
        <v>FALSE</v>
      </c>
      <c r="R492" s="9" t="b">
        <f t="shared" si="75"/>
        <v>1</v>
      </c>
      <c r="S492" s="8" t="b">
        <f t="shared" si="76"/>
        <v>0</v>
      </c>
      <c r="T492" s="10" t="b">
        <f t="shared" si="77"/>
        <v>0</v>
      </c>
      <c r="U492" s="8" t="str">
        <f t="shared" si="78"/>
        <v>TRUE</v>
      </c>
      <c r="V492" s="11" t="str">
        <f t="shared" si="79"/>
        <v>TRUE</v>
      </c>
    </row>
    <row r="493" spans="1:22" ht="15.75">
      <c r="A493" s="21">
        <v>491</v>
      </c>
      <c r="B493" s="5" t="s">
        <v>1464</v>
      </c>
      <c r="C493" s="23" t="s">
        <v>3378</v>
      </c>
      <c r="D493" s="23" t="s">
        <v>34</v>
      </c>
      <c r="E493" s="5" t="s">
        <v>1465</v>
      </c>
      <c r="F493" s="71" t="s">
        <v>6104</v>
      </c>
      <c r="G493" s="22" t="s">
        <v>3933</v>
      </c>
      <c r="H493" s="5" t="s">
        <v>3932</v>
      </c>
      <c r="I493" s="5" t="s">
        <v>67</v>
      </c>
      <c r="J493" s="5" t="s">
        <v>5508</v>
      </c>
      <c r="K493" s="5" t="s">
        <v>1466</v>
      </c>
      <c r="L493" s="22"/>
      <c r="M493" s="8" t="str">
        <f t="shared" si="70"/>
        <v>Ok</v>
      </c>
      <c r="N493" s="9" t="b">
        <f t="shared" si="71"/>
        <v>1</v>
      </c>
      <c r="O493" s="9" t="b">
        <f t="shared" si="72"/>
        <v>0</v>
      </c>
      <c r="P493" s="8" t="str">
        <f t="shared" si="73"/>
        <v>FALSE</v>
      </c>
      <c r="Q493" s="8" t="str">
        <f t="shared" si="74"/>
        <v>FALSE</v>
      </c>
      <c r="R493" s="9" t="b">
        <f t="shared" si="75"/>
        <v>0</v>
      </c>
      <c r="S493" s="8" t="b">
        <f t="shared" si="76"/>
        <v>0</v>
      </c>
      <c r="T493" s="10" t="b">
        <f t="shared" si="77"/>
        <v>0</v>
      </c>
      <c r="U493" s="8" t="str">
        <f t="shared" si="78"/>
        <v>FALSE</v>
      </c>
      <c r="V493" s="11" t="str">
        <f t="shared" si="79"/>
        <v>TRUE</v>
      </c>
    </row>
    <row r="494" spans="1:22" ht="15.75">
      <c r="A494" s="21">
        <v>492</v>
      </c>
      <c r="B494" s="5" t="s">
        <v>1467</v>
      </c>
      <c r="C494" s="23" t="s">
        <v>3907</v>
      </c>
      <c r="D494" s="23" t="s">
        <v>17</v>
      </c>
      <c r="E494" s="5" t="s">
        <v>1468</v>
      </c>
      <c r="F494" s="71" t="s">
        <v>6104</v>
      </c>
      <c r="G494" s="22" t="s">
        <v>119</v>
      </c>
      <c r="H494" s="5" t="s">
        <v>120</v>
      </c>
      <c r="I494" s="5" t="s">
        <v>50</v>
      </c>
      <c r="J494" s="5" t="s">
        <v>5486</v>
      </c>
      <c r="K494" s="5" t="s">
        <v>1469</v>
      </c>
      <c r="L494" s="22"/>
      <c r="M494" s="8" t="str">
        <f t="shared" si="70"/>
        <v>Ok</v>
      </c>
      <c r="N494" s="9" t="b">
        <f t="shared" si="71"/>
        <v>0</v>
      </c>
      <c r="O494" s="9" t="b">
        <f t="shared" si="72"/>
        <v>1</v>
      </c>
      <c r="P494" s="8" t="str">
        <f t="shared" si="73"/>
        <v>FALSE</v>
      </c>
      <c r="Q494" s="8" t="str">
        <f t="shared" si="74"/>
        <v>FALSE</v>
      </c>
      <c r="R494" s="9" t="b">
        <f t="shared" si="75"/>
        <v>0</v>
      </c>
      <c r="S494" s="8" t="b">
        <f t="shared" si="76"/>
        <v>1</v>
      </c>
      <c r="T494" s="10" t="b">
        <f t="shared" si="77"/>
        <v>0</v>
      </c>
      <c r="U494" s="8" t="str">
        <f t="shared" si="78"/>
        <v>FALSE</v>
      </c>
      <c r="V494" s="11" t="str">
        <f t="shared" si="79"/>
        <v>FALSE</v>
      </c>
    </row>
    <row r="495" spans="1:22" ht="15.75">
      <c r="A495" s="21">
        <v>493</v>
      </c>
      <c r="B495" s="5" t="s">
        <v>1470</v>
      </c>
      <c r="C495" s="23" t="s">
        <v>3618</v>
      </c>
      <c r="D495" s="23" t="s">
        <v>59</v>
      </c>
      <c r="E495" s="5" t="s">
        <v>1471</v>
      </c>
      <c r="F495" s="71" t="s">
        <v>6104</v>
      </c>
      <c r="G495" s="22" t="s">
        <v>179</v>
      </c>
      <c r="H495" s="5" t="s">
        <v>36</v>
      </c>
      <c r="I495" s="5" t="s">
        <v>21</v>
      </c>
      <c r="J495" s="5" t="s">
        <v>5245</v>
      </c>
      <c r="K495" s="5" t="s">
        <v>1472</v>
      </c>
      <c r="L495" s="22"/>
      <c r="M495" s="8" t="str">
        <f t="shared" si="70"/>
        <v>Ok</v>
      </c>
      <c r="N495" s="9" t="b">
        <f t="shared" si="71"/>
        <v>1</v>
      </c>
      <c r="O495" s="9" t="b">
        <f t="shared" si="72"/>
        <v>1</v>
      </c>
      <c r="P495" s="8" t="str">
        <f t="shared" si="73"/>
        <v>FALSE</v>
      </c>
      <c r="Q495" s="8" t="str">
        <f t="shared" si="74"/>
        <v>FALSE</v>
      </c>
      <c r="R495" s="9" t="b">
        <f t="shared" si="75"/>
        <v>1</v>
      </c>
      <c r="S495" s="8" t="b">
        <f t="shared" si="76"/>
        <v>1</v>
      </c>
      <c r="T495" s="10" t="b">
        <f t="shared" si="77"/>
        <v>0</v>
      </c>
      <c r="U495" s="8" t="str">
        <f t="shared" si="78"/>
        <v>TRUE</v>
      </c>
      <c r="V495" s="11" t="str">
        <f t="shared" si="79"/>
        <v>TRUE</v>
      </c>
    </row>
    <row r="496" spans="1:22" ht="15.75">
      <c r="A496" s="21">
        <v>494</v>
      </c>
      <c r="B496" s="5" t="s">
        <v>1473</v>
      </c>
      <c r="C496" s="23" t="s">
        <v>3908</v>
      </c>
      <c r="D496" s="23" t="s">
        <v>17</v>
      </c>
      <c r="E496" s="5" t="s">
        <v>1474</v>
      </c>
      <c r="F496" s="71" t="s">
        <v>6104</v>
      </c>
      <c r="G496" s="22" t="s">
        <v>85</v>
      </c>
      <c r="H496" s="5" t="s">
        <v>120</v>
      </c>
      <c r="I496" s="5" t="s">
        <v>26</v>
      </c>
      <c r="J496" s="5" t="s">
        <v>5469</v>
      </c>
      <c r="K496" s="5" t="s">
        <v>1475</v>
      </c>
      <c r="L496" s="22"/>
      <c r="M496" s="8" t="str">
        <f t="shared" si="70"/>
        <v>Ok</v>
      </c>
      <c r="N496" s="9" t="b">
        <f t="shared" si="71"/>
        <v>0</v>
      </c>
      <c r="O496" s="9" t="b">
        <f t="shared" si="72"/>
        <v>1</v>
      </c>
      <c r="P496" s="8" t="str">
        <f t="shared" si="73"/>
        <v>FALSE</v>
      </c>
      <c r="Q496" s="8" t="str">
        <f t="shared" si="74"/>
        <v>FALSE</v>
      </c>
      <c r="R496" s="9" t="b">
        <f t="shared" si="75"/>
        <v>1</v>
      </c>
      <c r="S496" s="8" t="b">
        <f t="shared" si="76"/>
        <v>1</v>
      </c>
      <c r="T496" s="10" t="b">
        <f t="shared" si="77"/>
        <v>0</v>
      </c>
      <c r="U496" s="8" t="str">
        <f t="shared" si="78"/>
        <v>FALSE</v>
      </c>
      <c r="V496" s="11" t="str">
        <f t="shared" si="79"/>
        <v>FALSE</v>
      </c>
    </row>
    <row r="497" spans="1:22" ht="15.75">
      <c r="A497" s="21">
        <v>495</v>
      </c>
      <c r="B497" s="5" t="s">
        <v>1476</v>
      </c>
      <c r="C497" s="23" t="s">
        <v>3379</v>
      </c>
      <c r="D497" s="23" t="s">
        <v>34</v>
      </c>
      <c r="E497" s="5" t="s">
        <v>1477</v>
      </c>
      <c r="F497" s="71" t="s">
        <v>6104</v>
      </c>
      <c r="G497" s="22" t="s">
        <v>3933</v>
      </c>
      <c r="H497" s="5" t="s">
        <v>3932</v>
      </c>
      <c r="I497" s="5" t="s">
        <v>26</v>
      </c>
      <c r="J497" s="5" t="s">
        <v>5214</v>
      </c>
      <c r="K497" s="5" t="s">
        <v>1478</v>
      </c>
      <c r="L497" s="22"/>
      <c r="M497" s="8" t="str">
        <f t="shared" si="70"/>
        <v>Ok</v>
      </c>
      <c r="N497" s="9" t="b">
        <f t="shared" si="71"/>
        <v>1</v>
      </c>
      <c r="O497" s="9" t="b">
        <f t="shared" si="72"/>
        <v>0</v>
      </c>
      <c r="P497" s="8" t="str">
        <f t="shared" si="73"/>
        <v>FALSE</v>
      </c>
      <c r="Q497" s="8" t="str">
        <f t="shared" si="74"/>
        <v>FALSE</v>
      </c>
      <c r="R497" s="9" t="b">
        <f t="shared" si="75"/>
        <v>0</v>
      </c>
      <c r="S497" s="8" t="b">
        <f t="shared" si="76"/>
        <v>0</v>
      </c>
      <c r="T497" s="10" t="b">
        <f t="shared" si="77"/>
        <v>0</v>
      </c>
      <c r="U497" s="8" t="str">
        <f t="shared" si="78"/>
        <v>TRUE</v>
      </c>
      <c r="V497" s="11" t="str">
        <f t="shared" si="79"/>
        <v>TRUE</v>
      </c>
    </row>
    <row r="498" spans="1:22" ht="15.75">
      <c r="A498" s="21">
        <v>496</v>
      </c>
      <c r="B498" s="5" t="s">
        <v>1479</v>
      </c>
      <c r="C498" s="23" t="s">
        <v>3380</v>
      </c>
      <c r="D498" s="23" t="s">
        <v>34</v>
      </c>
      <c r="E498" s="5" t="s">
        <v>1480</v>
      </c>
      <c r="F498" s="71" t="s">
        <v>6104</v>
      </c>
      <c r="G498" s="22" t="s">
        <v>3933</v>
      </c>
      <c r="H498" s="5" t="s">
        <v>3932</v>
      </c>
      <c r="I498" s="5" t="s">
        <v>26</v>
      </c>
      <c r="J498" s="5" t="s">
        <v>5196</v>
      </c>
      <c r="K498" s="5" t="s">
        <v>1481</v>
      </c>
      <c r="L498" s="22"/>
      <c r="M498" s="8" t="str">
        <f t="shared" si="70"/>
        <v>Ok</v>
      </c>
      <c r="N498" s="9" t="b">
        <f t="shared" si="71"/>
        <v>1</v>
      </c>
      <c r="O498" s="9" t="b">
        <f t="shared" si="72"/>
        <v>0</v>
      </c>
      <c r="P498" s="8" t="str">
        <f t="shared" si="73"/>
        <v>FALSE</v>
      </c>
      <c r="Q498" s="8" t="str">
        <f t="shared" si="74"/>
        <v>FALSE</v>
      </c>
      <c r="R498" s="9" t="b">
        <f t="shared" si="75"/>
        <v>0</v>
      </c>
      <c r="S498" s="8" t="b">
        <f t="shared" si="76"/>
        <v>0</v>
      </c>
      <c r="T498" s="10" t="b">
        <f t="shared" si="77"/>
        <v>0</v>
      </c>
      <c r="U498" s="8" t="str">
        <f t="shared" si="78"/>
        <v>TRUE</v>
      </c>
      <c r="V498" s="11" t="str">
        <f t="shared" si="79"/>
        <v>TRUE</v>
      </c>
    </row>
    <row r="499" spans="1:22" ht="15.75">
      <c r="A499" s="21">
        <v>497</v>
      </c>
      <c r="B499" s="5" t="s">
        <v>1482</v>
      </c>
      <c r="C499" s="23" t="s">
        <v>3909</v>
      </c>
      <c r="D499" s="23" t="s">
        <v>17</v>
      </c>
      <c r="E499" s="5" t="s">
        <v>1483</v>
      </c>
      <c r="F499" s="71" t="s">
        <v>6104</v>
      </c>
      <c r="G499" s="22" t="s">
        <v>85</v>
      </c>
      <c r="H499" s="5" t="s">
        <v>120</v>
      </c>
      <c r="I499" s="5" t="s">
        <v>50</v>
      </c>
      <c r="J499" s="5" t="s">
        <v>5056</v>
      </c>
      <c r="K499" s="5" t="s">
        <v>1484</v>
      </c>
      <c r="L499" s="22"/>
      <c r="M499" s="8" t="str">
        <f t="shared" si="70"/>
        <v>Ok</v>
      </c>
      <c r="N499" s="9" t="b">
        <f t="shared" si="71"/>
        <v>0</v>
      </c>
      <c r="O499" s="9" t="b">
        <f t="shared" si="72"/>
        <v>1</v>
      </c>
      <c r="P499" s="8" t="str">
        <f t="shared" si="73"/>
        <v>FALSE</v>
      </c>
      <c r="Q499" s="8" t="str">
        <f t="shared" si="74"/>
        <v>FALSE</v>
      </c>
      <c r="R499" s="9" t="b">
        <f t="shared" si="75"/>
        <v>1</v>
      </c>
      <c r="S499" s="8" t="b">
        <f t="shared" si="76"/>
        <v>1</v>
      </c>
      <c r="T499" s="10" t="b">
        <f t="shared" si="77"/>
        <v>0</v>
      </c>
      <c r="U499" s="8" t="str">
        <f t="shared" si="78"/>
        <v>TRUE</v>
      </c>
      <c r="V499" s="11" t="str">
        <f t="shared" si="79"/>
        <v>TRUE</v>
      </c>
    </row>
    <row r="500" spans="1:22" ht="15.75">
      <c r="A500" s="21">
        <v>498</v>
      </c>
      <c r="B500" s="5" t="s">
        <v>1485</v>
      </c>
      <c r="C500" s="23" t="s">
        <v>3243</v>
      </c>
      <c r="D500" s="23" t="s">
        <v>77</v>
      </c>
      <c r="E500" s="5" t="s">
        <v>1486</v>
      </c>
      <c r="F500" s="71" t="s">
        <v>6104</v>
      </c>
      <c r="G500" s="22" t="s">
        <v>179</v>
      </c>
      <c r="H500" s="5" t="s">
        <v>3932</v>
      </c>
      <c r="I500" s="5" t="s">
        <v>50</v>
      </c>
      <c r="J500" s="5" t="s">
        <v>5244</v>
      </c>
      <c r="K500" s="5" t="s">
        <v>1487</v>
      </c>
      <c r="L500" s="22"/>
      <c r="M500" s="8" t="str">
        <f t="shared" si="70"/>
        <v>Ok</v>
      </c>
      <c r="N500" s="9" t="b">
        <f t="shared" si="71"/>
        <v>1</v>
      </c>
      <c r="O500" s="9" t="b">
        <f t="shared" si="72"/>
        <v>0</v>
      </c>
      <c r="P500" s="8" t="str">
        <f t="shared" si="73"/>
        <v>FALSE</v>
      </c>
      <c r="Q500" s="8" t="str">
        <f t="shared" si="74"/>
        <v>FALSE</v>
      </c>
      <c r="R500" s="9" t="b">
        <f t="shared" si="75"/>
        <v>1</v>
      </c>
      <c r="S500" s="8" t="b">
        <f t="shared" si="76"/>
        <v>0</v>
      </c>
      <c r="T500" s="10" t="b">
        <f t="shared" si="77"/>
        <v>0</v>
      </c>
      <c r="U500" s="8" t="str">
        <f t="shared" si="78"/>
        <v>TRUE</v>
      </c>
      <c r="V500" s="11" t="str">
        <f t="shared" si="79"/>
        <v>TRUE</v>
      </c>
    </row>
    <row r="501" spans="1:22" ht="15.75">
      <c r="A501" s="21">
        <v>499</v>
      </c>
      <c r="B501" s="5" t="s">
        <v>1488</v>
      </c>
      <c r="C501" s="23" t="s">
        <v>3560</v>
      </c>
      <c r="D501" s="23" t="s">
        <v>17</v>
      </c>
      <c r="E501" s="5" t="s">
        <v>1489</v>
      </c>
      <c r="F501" s="71" t="s">
        <v>6104</v>
      </c>
      <c r="G501" s="22" t="s">
        <v>12</v>
      </c>
      <c r="H501" s="5" t="s">
        <v>36</v>
      </c>
      <c r="I501" s="5" t="s">
        <v>50</v>
      </c>
      <c r="J501" s="5" t="s">
        <v>4950</v>
      </c>
      <c r="K501" s="5" t="s">
        <v>1490</v>
      </c>
      <c r="L501" s="22"/>
      <c r="M501" s="8" t="str">
        <f t="shared" si="70"/>
        <v>Ok</v>
      </c>
      <c r="N501" s="9" t="b">
        <f t="shared" si="71"/>
        <v>1</v>
      </c>
      <c r="O501" s="9" t="b">
        <f t="shared" si="72"/>
        <v>1</v>
      </c>
      <c r="P501" s="8" t="str">
        <f t="shared" si="73"/>
        <v>FALSE</v>
      </c>
      <c r="Q501" s="8" t="str">
        <f t="shared" si="74"/>
        <v>FALSE</v>
      </c>
      <c r="R501" s="9" t="b">
        <f t="shared" si="75"/>
        <v>1</v>
      </c>
      <c r="S501" s="8" t="b">
        <f t="shared" si="76"/>
        <v>1</v>
      </c>
      <c r="T501" s="10" t="b">
        <f t="shared" si="77"/>
        <v>0</v>
      </c>
      <c r="U501" s="8" t="str">
        <f t="shared" si="78"/>
        <v>TRUE</v>
      </c>
      <c r="V501" s="11" t="str">
        <f t="shared" si="79"/>
        <v>FALSE</v>
      </c>
    </row>
    <row r="502" spans="1:22" ht="15.75">
      <c r="A502" s="21">
        <v>500</v>
      </c>
      <c r="B502" s="5" t="s">
        <v>1491</v>
      </c>
      <c r="C502" s="23" t="s">
        <v>3910</v>
      </c>
      <c r="D502" s="23" t="s">
        <v>17</v>
      </c>
      <c r="E502" s="5" t="s">
        <v>305</v>
      </c>
      <c r="F502" s="71" t="s">
        <v>6104</v>
      </c>
      <c r="G502" s="22" t="s">
        <v>85</v>
      </c>
      <c r="H502" s="5" t="s">
        <v>120</v>
      </c>
      <c r="I502" s="5" t="s">
        <v>50</v>
      </c>
      <c r="J502" s="5" t="s">
        <v>4860</v>
      </c>
      <c r="K502" s="5" t="s">
        <v>1492</v>
      </c>
      <c r="L502" s="22"/>
      <c r="M502" s="8" t="str">
        <f t="shared" si="70"/>
        <v>Ok</v>
      </c>
      <c r="N502" s="9" t="b">
        <f t="shared" si="71"/>
        <v>0</v>
      </c>
      <c r="O502" s="9" t="b">
        <f t="shared" si="72"/>
        <v>1</v>
      </c>
      <c r="P502" s="8" t="str">
        <f t="shared" si="73"/>
        <v>FALSE</v>
      </c>
      <c r="Q502" s="8" t="str">
        <f t="shared" si="74"/>
        <v>FALSE</v>
      </c>
      <c r="R502" s="9" t="b">
        <f t="shared" si="75"/>
        <v>1</v>
      </c>
      <c r="S502" s="8" t="b">
        <f t="shared" si="76"/>
        <v>1</v>
      </c>
      <c r="T502" s="10" t="b">
        <f t="shared" si="77"/>
        <v>0</v>
      </c>
      <c r="U502" s="8" t="str">
        <f t="shared" si="78"/>
        <v>TRUE</v>
      </c>
      <c r="V502" s="11" t="str">
        <f t="shared" si="79"/>
        <v>TRUE</v>
      </c>
    </row>
    <row r="503" spans="1:22" ht="15.75">
      <c r="A503" s="21">
        <v>501</v>
      </c>
      <c r="B503" s="5" t="s">
        <v>1493</v>
      </c>
      <c r="C503" s="23" t="s">
        <v>3151</v>
      </c>
      <c r="D503" s="23" t="s">
        <v>77</v>
      </c>
      <c r="E503" s="5" t="s">
        <v>1494</v>
      </c>
      <c r="F503" s="71" t="s">
        <v>6104</v>
      </c>
      <c r="G503" s="22" t="s">
        <v>179</v>
      </c>
      <c r="H503" s="5" t="s">
        <v>3932</v>
      </c>
      <c r="I503" s="5" t="s">
        <v>21</v>
      </c>
      <c r="J503" s="5" t="s">
        <v>5191</v>
      </c>
      <c r="K503" s="5" t="s">
        <v>1495</v>
      </c>
      <c r="L503" s="22"/>
      <c r="M503" s="8" t="str">
        <f t="shared" si="70"/>
        <v>Ok</v>
      </c>
      <c r="N503" s="9" t="b">
        <f t="shared" si="71"/>
        <v>0</v>
      </c>
      <c r="O503" s="9" t="b">
        <f t="shared" si="72"/>
        <v>0</v>
      </c>
      <c r="P503" s="8" t="str">
        <f t="shared" si="73"/>
        <v>FALSE</v>
      </c>
      <c r="Q503" s="8" t="str">
        <f t="shared" si="74"/>
        <v>FALSE</v>
      </c>
      <c r="R503" s="9" t="b">
        <f t="shared" si="75"/>
        <v>1</v>
      </c>
      <c r="S503" s="8" t="b">
        <f t="shared" si="76"/>
        <v>0</v>
      </c>
      <c r="T503" s="10" t="b">
        <f t="shared" si="77"/>
        <v>0</v>
      </c>
      <c r="U503" s="8" t="str">
        <f t="shared" si="78"/>
        <v>TRUE</v>
      </c>
      <c r="V503" s="11" t="str">
        <f t="shared" si="79"/>
        <v>TRUE</v>
      </c>
    </row>
    <row r="504" spans="1:22" ht="15.75">
      <c r="A504" s="21">
        <v>502</v>
      </c>
      <c r="B504" s="5" t="s">
        <v>1496</v>
      </c>
      <c r="C504" s="23" t="s">
        <v>3244</v>
      </c>
      <c r="D504" s="23" t="s">
        <v>77</v>
      </c>
      <c r="E504" s="5" t="s">
        <v>219</v>
      </c>
      <c r="F504" s="71" t="s">
        <v>6104</v>
      </c>
      <c r="G504" s="22" t="s">
        <v>179</v>
      </c>
      <c r="H504" s="5" t="s">
        <v>3932</v>
      </c>
      <c r="I504" s="5" t="s">
        <v>56</v>
      </c>
      <c r="J504" s="5" t="s">
        <v>4925</v>
      </c>
      <c r="K504" s="5" t="s">
        <v>1497</v>
      </c>
      <c r="L504" s="22"/>
      <c r="M504" s="8" t="str">
        <f t="shared" si="70"/>
        <v>Ok</v>
      </c>
      <c r="N504" s="9" t="b">
        <f t="shared" si="71"/>
        <v>1</v>
      </c>
      <c r="O504" s="9" t="b">
        <f t="shared" si="72"/>
        <v>0</v>
      </c>
      <c r="P504" s="8" t="str">
        <f t="shared" si="73"/>
        <v>FALSE</v>
      </c>
      <c r="Q504" s="8" t="str">
        <f t="shared" si="74"/>
        <v>FALSE</v>
      </c>
      <c r="R504" s="9" t="b">
        <f t="shared" si="75"/>
        <v>1</v>
      </c>
      <c r="S504" s="8" t="b">
        <f t="shared" si="76"/>
        <v>0</v>
      </c>
      <c r="T504" s="10" t="b">
        <f t="shared" si="77"/>
        <v>1</v>
      </c>
      <c r="U504" s="8" t="str">
        <f t="shared" si="78"/>
        <v>TRUE</v>
      </c>
      <c r="V504" s="11" t="str">
        <f t="shared" si="79"/>
        <v>TRUE</v>
      </c>
    </row>
    <row r="505" spans="1:22" ht="15.75">
      <c r="A505" s="21">
        <v>503</v>
      </c>
      <c r="B505" s="5" t="s">
        <v>1498</v>
      </c>
      <c r="C505" s="23" t="s">
        <v>3485</v>
      </c>
      <c r="D505" s="23" t="s">
        <v>77</v>
      </c>
      <c r="E505" s="5" t="s">
        <v>1499</v>
      </c>
      <c r="F505" s="71" t="s">
        <v>6104</v>
      </c>
      <c r="G505" s="22" t="s">
        <v>160</v>
      </c>
      <c r="H505" s="5" t="s">
        <v>3932</v>
      </c>
      <c r="I505" s="5" t="s">
        <v>21</v>
      </c>
      <c r="J505" s="5" t="s">
        <v>5285</v>
      </c>
      <c r="K505" s="5" t="s">
        <v>1500</v>
      </c>
      <c r="L505" s="22"/>
      <c r="M505" s="8" t="str">
        <f t="shared" si="70"/>
        <v>Ok</v>
      </c>
      <c r="N505" s="9" t="b">
        <f t="shared" si="71"/>
        <v>1</v>
      </c>
      <c r="O505" s="9" t="b">
        <f t="shared" si="72"/>
        <v>0</v>
      </c>
      <c r="P505" s="8" t="str">
        <f t="shared" si="73"/>
        <v>FALSE</v>
      </c>
      <c r="Q505" s="8" t="str">
        <f t="shared" si="74"/>
        <v>FALSE</v>
      </c>
      <c r="R505" s="9" t="b">
        <f t="shared" si="75"/>
        <v>0</v>
      </c>
      <c r="S505" s="8" t="b">
        <f t="shared" si="76"/>
        <v>0</v>
      </c>
      <c r="T505" s="10" t="b">
        <f t="shared" si="77"/>
        <v>0</v>
      </c>
      <c r="U505" s="8" t="str">
        <f t="shared" si="78"/>
        <v>TRUE</v>
      </c>
      <c r="V505" s="11" t="str">
        <f t="shared" si="79"/>
        <v>TRUE</v>
      </c>
    </row>
    <row r="506" spans="1:22" ht="15.75">
      <c r="A506" s="21">
        <v>504</v>
      </c>
      <c r="B506" s="5" t="s">
        <v>1501</v>
      </c>
      <c r="C506" s="23" t="s">
        <v>3708</v>
      </c>
      <c r="D506" s="23" t="s">
        <v>59</v>
      </c>
      <c r="E506" s="5" t="s">
        <v>1502</v>
      </c>
      <c r="F506" s="71" t="s">
        <v>6104</v>
      </c>
      <c r="G506" s="22" t="s">
        <v>3934</v>
      </c>
      <c r="H506" s="5" t="s">
        <v>13</v>
      </c>
      <c r="I506" s="5" t="s">
        <v>21</v>
      </c>
      <c r="J506" s="5" t="s">
        <v>5134</v>
      </c>
      <c r="K506" s="5" t="s">
        <v>1503</v>
      </c>
      <c r="L506" s="22"/>
      <c r="M506" s="8" t="str">
        <f t="shared" si="70"/>
        <v>Ok</v>
      </c>
      <c r="N506" s="9" t="b">
        <f t="shared" si="71"/>
        <v>0</v>
      </c>
      <c r="O506" s="9" t="b">
        <f t="shared" si="72"/>
        <v>1</v>
      </c>
      <c r="P506" s="8" t="str">
        <f t="shared" si="73"/>
        <v>FALSE</v>
      </c>
      <c r="Q506" s="8" t="str">
        <f t="shared" si="74"/>
        <v>FALSE</v>
      </c>
      <c r="R506" s="9" t="b">
        <f t="shared" si="75"/>
        <v>0</v>
      </c>
      <c r="S506" s="8" t="b">
        <f t="shared" si="76"/>
        <v>0</v>
      </c>
      <c r="T506" s="10" t="b">
        <f t="shared" si="77"/>
        <v>0</v>
      </c>
      <c r="U506" s="8" t="str">
        <f t="shared" si="78"/>
        <v>TRUE</v>
      </c>
      <c r="V506" s="11" t="str">
        <f t="shared" si="79"/>
        <v>FALSE</v>
      </c>
    </row>
    <row r="507" spans="1:22" ht="15.75">
      <c r="A507" s="21">
        <v>505</v>
      </c>
      <c r="B507" s="5" t="s">
        <v>1504</v>
      </c>
      <c r="C507" s="23" t="s">
        <v>3019</v>
      </c>
      <c r="D507" s="23" t="s">
        <v>34</v>
      </c>
      <c r="E507" s="5" t="s">
        <v>1505</v>
      </c>
      <c r="F507" s="71" t="s">
        <v>6104</v>
      </c>
      <c r="G507" s="22" t="s">
        <v>74</v>
      </c>
      <c r="H507" s="5" t="s">
        <v>41</v>
      </c>
      <c r="I507" s="5" t="s">
        <v>14</v>
      </c>
      <c r="J507" s="5" t="s">
        <v>5600</v>
      </c>
      <c r="K507" s="5" t="s">
        <v>1506</v>
      </c>
      <c r="L507" s="22"/>
      <c r="M507" s="8" t="str">
        <f t="shared" si="70"/>
        <v>Ok</v>
      </c>
      <c r="N507" s="9" t="b">
        <f t="shared" si="71"/>
        <v>0</v>
      </c>
      <c r="O507" s="9" t="b">
        <f t="shared" si="72"/>
        <v>0</v>
      </c>
      <c r="P507" s="8" t="str">
        <f t="shared" si="73"/>
        <v>FALSE</v>
      </c>
      <c r="Q507" s="8" t="str">
        <f t="shared" si="74"/>
        <v>FALSE</v>
      </c>
      <c r="R507" s="9" t="b">
        <f t="shared" si="75"/>
        <v>0</v>
      </c>
      <c r="S507" s="8" t="b">
        <f t="shared" si="76"/>
        <v>0</v>
      </c>
      <c r="T507" s="10" t="b">
        <f t="shared" si="77"/>
        <v>1</v>
      </c>
      <c r="U507" s="8" t="str">
        <f t="shared" si="78"/>
        <v>FALSE</v>
      </c>
      <c r="V507" s="11" t="str">
        <f t="shared" si="79"/>
        <v>TRUE</v>
      </c>
    </row>
    <row r="508" spans="1:22" ht="15.75">
      <c r="A508" s="21">
        <v>506</v>
      </c>
      <c r="B508" s="5" t="s">
        <v>1507</v>
      </c>
      <c r="C508" s="23" t="s">
        <v>3619</v>
      </c>
      <c r="D508" s="23" t="s">
        <v>59</v>
      </c>
      <c r="E508" s="5" t="s">
        <v>1094</v>
      </c>
      <c r="F508" s="71" t="s">
        <v>6104</v>
      </c>
      <c r="G508" s="22" t="s">
        <v>160</v>
      </c>
      <c r="H508" s="5" t="s">
        <v>13</v>
      </c>
      <c r="I508" s="5" t="s">
        <v>26</v>
      </c>
      <c r="J508" s="5" t="s">
        <v>5058</v>
      </c>
      <c r="K508" s="5" t="s">
        <v>1508</v>
      </c>
      <c r="L508" s="22"/>
      <c r="M508" s="8" t="str">
        <f t="shared" si="70"/>
        <v>Ok</v>
      </c>
      <c r="N508" s="9" t="b">
        <f t="shared" si="71"/>
        <v>1</v>
      </c>
      <c r="O508" s="9" t="b">
        <f t="shared" si="72"/>
        <v>1</v>
      </c>
      <c r="P508" s="8" t="str">
        <f t="shared" si="73"/>
        <v>FALSE</v>
      </c>
      <c r="Q508" s="8" t="str">
        <f t="shared" si="74"/>
        <v>FALSE</v>
      </c>
      <c r="R508" s="9" t="b">
        <f t="shared" si="75"/>
        <v>0</v>
      </c>
      <c r="S508" s="8" t="b">
        <f t="shared" si="76"/>
        <v>0</v>
      </c>
      <c r="T508" s="10" t="b">
        <f t="shared" si="77"/>
        <v>0</v>
      </c>
      <c r="U508" s="8" t="str">
        <f t="shared" si="78"/>
        <v>TRUE</v>
      </c>
      <c r="V508" s="11" t="str">
        <f t="shared" si="79"/>
        <v>TRUE</v>
      </c>
    </row>
    <row r="509" spans="1:22" ht="15.75">
      <c r="A509" s="21">
        <v>507</v>
      </c>
      <c r="B509" s="5" t="s">
        <v>1509</v>
      </c>
      <c r="C509" s="23" t="s">
        <v>3620</v>
      </c>
      <c r="D509" s="23" t="s">
        <v>59</v>
      </c>
      <c r="E509" s="5" t="s">
        <v>1510</v>
      </c>
      <c r="F509" s="71" t="s">
        <v>6104</v>
      </c>
      <c r="G509" s="22" t="s">
        <v>179</v>
      </c>
      <c r="H509" s="5" t="s">
        <v>13</v>
      </c>
      <c r="I509" s="5" t="s">
        <v>50</v>
      </c>
      <c r="J509" s="5" t="s">
        <v>5030</v>
      </c>
      <c r="K509" s="5">
        <v>859530072</v>
      </c>
      <c r="L509" s="22"/>
      <c r="M509" s="8" t="str">
        <f t="shared" si="70"/>
        <v>Ok</v>
      </c>
      <c r="N509" s="9" t="b">
        <f t="shared" si="71"/>
        <v>1</v>
      </c>
      <c r="O509" s="9" t="b">
        <f t="shared" si="72"/>
        <v>1</v>
      </c>
      <c r="P509" s="8" t="str">
        <f t="shared" si="73"/>
        <v>FALSE</v>
      </c>
      <c r="Q509" s="8" t="str">
        <f t="shared" si="74"/>
        <v>FALSE</v>
      </c>
      <c r="R509" s="9" t="b">
        <f t="shared" si="75"/>
        <v>1</v>
      </c>
      <c r="S509" s="8" t="b">
        <f t="shared" si="76"/>
        <v>0</v>
      </c>
      <c r="T509" s="10" t="b">
        <f t="shared" si="77"/>
        <v>0</v>
      </c>
      <c r="U509" s="8" t="str">
        <f t="shared" si="78"/>
        <v>TRUE</v>
      </c>
      <c r="V509" s="11" t="str">
        <f t="shared" si="79"/>
        <v>FALSE</v>
      </c>
    </row>
    <row r="510" spans="1:22" ht="15.75">
      <c r="A510" s="21">
        <v>508</v>
      </c>
      <c r="B510" s="5" t="s">
        <v>1511</v>
      </c>
      <c r="C510" s="23" t="s">
        <v>3305</v>
      </c>
      <c r="D510" s="23" t="s">
        <v>77</v>
      </c>
      <c r="E510" s="5" t="s">
        <v>1512</v>
      </c>
      <c r="F510" s="71" t="s">
        <v>6104</v>
      </c>
      <c r="G510" s="22" t="s">
        <v>61</v>
      </c>
      <c r="H510" s="5" t="s">
        <v>98</v>
      </c>
      <c r="I510" s="5" t="s">
        <v>56</v>
      </c>
      <c r="J510" s="5" t="s">
        <v>5153</v>
      </c>
      <c r="K510" s="5" t="s">
        <v>1513</v>
      </c>
      <c r="L510" s="22"/>
      <c r="M510" s="8" t="str">
        <f t="shared" si="70"/>
        <v>Ok</v>
      </c>
      <c r="N510" s="9" t="b">
        <f t="shared" si="71"/>
        <v>1</v>
      </c>
      <c r="O510" s="9" t="b">
        <f t="shared" si="72"/>
        <v>0</v>
      </c>
      <c r="P510" s="8" t="str">
        <f t="shared" si="73"/>
        <v>FALSE</v>
      </c>
      <c r="Q510" s="8" t="str">
        <f t="shared" si="74"/>
        <v>FALSE</v>
      </c>
      <c r="R510" s="9" t="b">
        <f t="shared" si="75"/>
        <v>1</v>
      </c>
      <c r="S510" s="8" t="b">
        <f t="shared" si="76"/>
        <v>0</v>
      </c>
      <c r="T510" s="10" t="b">
        <f t="shared" si="77"/>
        <v>1</v>
      </c>
      <c r="U510" s="8" t="str">
        <f t="shared" si="78"/>
        <v>TRUE</v>
      </c>
      <c r="V510" s="11" t="str">
        <f t="shared" si="79"/>
        <v>TRUE</v>
      </c>
    </row>
    <row r="511" spans="1:22" ht="15.75">
      <c r="A511" s="21">
        <v>509</v>
      </c>
      <c r="B511" s="5" t="s">
        <v>1514</v>
      </c>
      <c r="C511" s="23" t="s">
        <v>3621</v>
      </c>
      <c r="D511" s="23" t="s">
        <v>59</v>
      </c>
      <c r="E511" s="5" t="s">
        <v>1515</v>
      </c>
      <c r="F511" s="71" t="s">
        <v>6104</v>
      </c>
      <c r="G511" s="22" t="s">
        <v>160</v>
      </c>
      <c r="H511" s="5" t="s">
        <v>36</v>
      </c>
      <c r="I511" s="5" t="s">
        <v>50</v>
      </c>
      <c r="J511" s="5" t="s">
        <v>5249</v>
      </c>
      <c r="K511" s="5" t="s">
        <v>1516</v>
      </c>
      <c r="L511" s="22"/>
      <c r="M511" s="8" t="str">
        <f t="shared" si="70"/>
        <v>Ok</v>
      </c>
      <c r="N511" s="9" t="b">
        <f t="shared" si="71"/>
        <v>1</v>
      </c>
      <c r="O511" s="9" t="b">
        <f t="shared" si="72"/>
        <v>1</v>
      </c>
      <c r="P511" s="8" t="str">
        <f t="shared" si="73"/>
        <v>FALSE</v>
      </c>
      <c r="Q511" s="8" t="str">
        <f t="shared" si="74"/>
        <v>FALSE</v>
      </c>
      <c r="R511" s="9" t="b">
        <f t="shared" si="75"/>
        <v>0</v>
      </c>
      <c r="S511" s="8" t="b">
        <f t="shared" si="76"/>
        <v>1</v>
      </c>
      <c r="T511" s="10" t="b">
        <f t="shared" si="77"/>
        <v>0</v>
      </c>
      <c r="U511" s="8" t="str">
        <f t="shared" si="78"/>
        <v>TRUE</v>
      </c>
      <c r="V511" s="11" t="str">
        <f t="shared" si="79"/>
        <v>TRUE</v>
      </c>
    </row>
    <row r="512" spans="1:22" ht="15.75">
      <c r="A512" s="21">
        <v>510</v>
      </c>
      <c r="B512" s="5" t="s">
        <v>1517</v>
      </c>
      <c r="C512" s="23" t="s">
        <v>3788</v>
      </c>
      <c r="D512" s="23" t="s">
        <v>59</v>
      </c>
      <c r="E512" s="5" t="s">
        <v>1518</v>
      </c>
      <c r="F512" s="71" t="s">
        <v>6104</v>
      </c>
      <c r="G512" s="22" t="s">
        <v>24</v>
      </c>
      <c r="H512" s="5" t="s">
        <v>25</v>
      </c>
      <c r="I512" s="5" t="s">
        <v>56</v>
      </c>
      <c r="J512" s="5" t="s">
        <v>5160</v>
      </c>
      <c r="K512" s="5" t="s">
        <v>1519</v>
      </c>
      <c r="L512" s="22"/>
      <c r="M512" s="8" t="str">
        <f t="shared" si="70"/>
        <v>Ok</v>
      </c>
      <c r="N512" s="9" t="b">
        <f t="shared" si="71"/>
        <v>0</v>
      </c>
      <c r="O512" s="9" t="b">
        <f t="shared" si="72"/>
        <v>1</v>
      </c>
      <c r="P512" s="8" t="str">
        <f t="shared" si="73"/>
        <v>FALSE</v>
      </c>
      <c r="Q512" s="8" t="str">
        <f t="shared" si="74"/>
        <v>FALSE</v>
      </c>
      <c r="R512" s="9" t="b">
        <f t="shared" si="75"/>
        <v>0</v>
      </c>
      <c r="S512" s="8" t="b">
        <f t="shared" si="76"/>
        <v>0</v>
      </c>
      <c r="T512" s="10" t="b">
        <f t="shared" si="77"/>
        <v>1</v>
      </c>
      <c r="U512" s="8" t="str">
        <f t="shared" si="78"/>
        <v>TRUE</v>
      </c>
      <c r="V512" s="11" t="str">
        <f t="shared" si="79"/>
        <v>TRUE</v>
      </c>
    </row>
    <row r="513" spans="1:22" ht="15.75">
      <c r="A513" s="21">
        <v>511</v>
      </c>
      <c r="B513" s="5" t="s">
        <v>1520</v>
      </c>
      <c r="C513" s="23" t="s">
        <v>3911</v>
      </c>
      <c r="D513" s="23" t="s">
        <v>17</v>
      </c>
      <c r="E513" s="5" t="s">
        <v>1521</v>
      </c>
      <c r="F513" s="71" t="s">
        <v>6104</v>
      </c>
      <c r="G513" s="22" t="s">
        <v>85</v>
      </c>
      <c r="H513" s="5" t="s">
        <v>86</v>
      </c>
      <c r="I513" s="5" t="s">
        <v>50</v>
      </c>
      <c r="J513" s="5" t="s">
        <v>5014</v>
      </c>
      <c r="K513" s="5" t="s">
        <v>1522</v>
      </c>
      <c r="L513" s="22"/>
      <c r="M513" s="8" t="str">
        <f t="shared" si="70"/>
        <v>Ok</v>
      </c>
      <c r="N513" s="9" t="b">
        <f t="shared" si="71"/>
        <v>0</v>
      </c>
      <c r="O513" s="9" t="b">
        <f t="shared" si="72"/>
        <v>1</v>
      </c>
      <c r="P513" s="8" t="str">
        <f t="shared" si="73"/>
        <v>FALSE</v>
      </c>
      <c r="Q513" s="8" t="str">
        <f t="shared" si="74"/>
        <v>FALSE</v>
      </c>
      <c r="R513" s="9" t="b">
        <f t="shared" si="75"/>
        <v>1</v>
      </c>
      <c r="S513" s="8" t="b">
        <f t="shared" si="76"/>
        <v>0</v>
      </c>
      <c r="T513" s="10" t="b">
        <f t="shared" si="77"/>
        <v>0</v>
      </c>
      <c r="U513" s="8" t="str">
        <f t="shared" si="78"/>
        <v>TRUE</v>
      </c>
      <c r="V513" s="11" t="str">
        <f t="shared" si="79"/>
        <v>TRUE</v>
      </c>
    </row>
    <row r="514" spans="1:22" ht="15.75">
      <c r="A514" s="21">
        <v>512</v>
      </c>
      <c r="B514" s="5" t="s">
        <v>1523</v>
      </c>
      <c r="C514" s="23" t="s">
        <v>3789</v>
      </c>
      <c r="D514" s="23" t="s">
        <v>59</v>
      </c>
      <c r="E514" s="5" t="s">
        <v>1524</v>
      </c>
      <c r="F514" s="71" t="s">
        <v>6104</v>
      </c>
      <c r="G514" s="22" t="s">
        <v>24</v>
      </c>
      <c r="H514" s="5" t="s">
        <v>25</v>
      </c>
      <c r="I514" s="5" t="s">
        <v>21</v>
      </c>
      <c r="J514" s="5" t="s">
        <v>5736</v>
      </c>
      <c r="K514" s="5" t="s">
        <v>1525</v>
      </c>
      <c r="L514" s="22"/>
      <c r="M514" s="8" t="str">
        <f t="shared" si="70"/>
        <v>Ok</v>
      </c>
      <c r="N514" s="9" t="b">
        <f t="shared" si="71"/>
        <v>0</v>
      </c>
      <c r="O514" s="9" t="b">
        <f t="shared" si="72"/>
        <v>1</v>
      </c>
      <c r="P514" s="8" t="str">
        <f t="shared" si="73"/>
        <v>FALSE</v>
      </c>
      <c r="Q514" s="8" t="str">
        <f t="shared" si="74"/>
        <v>FALSE</v>
      </c>
      <c r="R514" s="9" t="b">
        <f t="shared" si="75"/>
        <v>0</v>
      </c>
      <c r="S514" s="8" t="b">
        <f t="shared" si="76"/>
        <v>0</v>
      </c>
      <c r="T514" s="10" t="b">
        <f t="shared" si="77"/>
        <v>0</v>
      </c>
      <c r="U514" s="8" t="str">
        <f t="shared" si="78"/>
        <v>FALSE</v>
      </c>
      <c r="V514" s="11" t="str">
        <f t="shared" si="79"/>
        <v>TRUE</v>
      </c>
    </row>
    <row r="515" spans="1:22" ht="15.75">
      <c r="A515" s="21">
        <v>513</v>
      </c>
      <c r="B515" s="5" t="s">
        <v>1526</v>
      </c>
      <c r="C515" s="23" t="s">
        <v>3622</v>
      </c>
      <c r="D515" s="23" t="s">
        <v>59</v>
      </c>
      <c r="E515" s="5" t="s">
        <v>1527</v>
      </c>
      <c r="F515" s="71" t="s">
        <v>6104</v>
      </c>
      <c r="G515" s="22" t="s">
        <v>160</v>
      </c>
      <c r="H515" s="5" t="s">
        <v>36</v>
      </c>
      <c r="I515" s="5" t="s">
        <v>26</v>
      </c>
      <c r="J515" s="5" t="s">
        <v>5407</v>
      </c>
      <c r="K515" s="5" t="s">
        <v>1528</v>
      </c>
      <c r="L515" s="22"/>
      <c r="M515" s="8" t="str">
        <f t="shared" ref="M515:M578" si="80">IF(COUNTIF($B$3:$B$1002,B515)&gt;1,"Duplicate","Ok")</f>
        <v>Ok</v>
      </c>
      <c r="N515" s="9" t="b">
        <f t="shared" ref="N515:N578" si="81">EXACT(C515,PROPER(C515))</f>
        <v>1</v>
      </c>
      <c r="O515" s="9" t="b">
        <f t="shared" ref="O515:O578" si="82">EXACT(D515,PROPER(D515))</f>
        <v>1</v>
      </c>
      <c r="P515" s="8" t="str">
        <f t="shared" ref="P515:P578" si="83">IF(ISNUMBER(E515),"TRUE","FALSE")</f>
        <v>FALSE</v>
      </c>
      <c r="Q515" s="8" t="str">
        <f t="shared" ref="Q515:Q578" si="84">IF(ISNUMBER(F515),"TRUE","FALSE")</f>
        <v>FALSE</v>
      </c>
      <c r="R515" s="9" t="b">
        <f t="shared" ref="R515:R578" si="85">EXACT(G515,PROPER(G515))</f>
        <v>0</v>
      </c>
      <c r="S515" s="8" t="b">
        <f t="shared" ref="S515:S578" si="86">EXACT(H515,PROPER(H515))</f>
        <v>1</v>
      </c>
      <c r="T515" s="10" t="b">
        <f t="shared" ref="T515:T578" si="87">EXACT(I515,PROPER(I515))</f>
        <v>0</v>
      </c>
      <c r="U515" s="8" t="str">
        <f t="shared" ref="U515:U578" si="88">IF(RIGHT(J515,10)="@email.com","TRUE","FALSE")</f>
        <v>TRUE</v>
      </c>
      <c r="V515" s="11" t="str">
        <f t="shared" ref="V515:V578" si="89">IF(LEFT(K515,2)="08","TRUE","FALSE")</f>
        <v>TRUE</v>
      </c>
    </row>
    <row r="516" spans="1:22" ht="15.75">
      <c r="A516" s="21">
        <v>514</v>
      </c>
      <c r="B516" s="5" t="s">
        <v>1529</v>
      </c>
      <c r="C516" s="23" t="s">
        <v>3381</v>
      </c>
      <c r="D516" s="23" t="s">
        <v>34</v>
      </c>
      <c r="E516" s="5" t="s">
        <v>1047</v>
      </c>
      <c r="F516" s="71" t="s">
        <v>6104</v>
      </c>
      <c r="G516" s="22" t="s">
        <v>3933</v>
      </c>
      <c r="H516" s="5" t="s">
        <v>3932</v>
      </c>
      <c r="I516" s="5" t="s">
        <v>50</v>
      </c>
      <c r="J516" s="5" t="s">
        <v>5158</v>
      </c>
      <c r="K516" s="5" t="s">
        <v>1530</v>
      </c>
      <c r="L516" s="22"/>
      <c r="M516" s="8" t="str">
        <f t="shared" si="80"/>
        <v>Ok</v>
      </c>
      <c r="N516" s="9" t="b">
        <f t="shared" si="81"/>
        <v>1</v>
      </c>
      <c r="O516" s="9" t="b">
        <f t="shared" si="82"/>
        <v>0</v>
      </c>
      <c r="P516" s="8" t="str">
        <f t="shared" si="83"/>
        <v>FALSE</v>
      </c>
      <c r="Q516" s="8" t="str">
        <f t="shared" si="84"/>
        <v>FALSE</v>
      </c>
      <c r="R516" s="9" t="b">
        <f t="shared" si="85"/>
        <v>0</v>
      </c>
      <c r="S516" s="8" t="b">
        <f t="shared" si="86"/>
        <v>0</v>
      </c>
      <c r="T516" s="10" t="b">
        <f t="shared" si="87"/>
        <v>0</v>
      </c>
      <c r="U516" s="8" t="str">
        <f t="shared" si="88"/>
        <v>TRUE</v>
      </c>
      <c r="V516" s="11" t="str">
        <f t="shared" si="89"/>
        <v>TRUE</v>
      </c>
    </row>
    <row r="517" spans="1:22" ht="15.75">
      <c r="A517" s="21">
        <v>515</v>
      </c>
      <c r="B517" s="5" t="s">
        <v>1531</v>
      </c>
      <c r="C517" s="23" t="s">
        <v>3245</v>
      </c>
      <c r="D517" s="23" t="s">
        <v>77</v>
      </c>
      <c r="E517" s="5" t="s">
        <v>1532</v>
      </c>
      <c r="F517" s="71" t="s">
        <v>6104</v>
      </c>
      <c r="G517" s="22" t="s">
        <v>179</v>
      </c>
      <c r="H517" s="5" t="s">
        <v>3932</v>
      </c>
      <c r="I517" s="5" t="s">
        <v>21</v>
      </c>
      <c r="J517" s="5" t="s">
        <v>5065</v>
      </c>
      <c r="K517" s="5" t="s">
        <v>1533</v>
      </c>
      <c r="L517" s="22"/>
      <c r="M517" s="8" t="str">
        <f t="shared" si="80"/>
        <v>Ok</v>
      </c>
      <c r="N517" s="9" t="b">
        <f t="shared" si="81"/>
        <v>1</v>
      </c>
      <c r="O517" s="9" t="b">
        <f t="shared" si="82"/>
        <v>0</v>
      </c>
      <c r="P517" s="8" t="str">
        <f t="shared" si="83"/>
        <v>FALSE</v>
      </c>
      <c r="Q517" s="8" t="str">
        <f t="shared" si="84"/>
        <v>FALSE</v>
      </c>
      <c r="R517" s="9" t="b">
        <f t="shared" si="85"/>
        <v>1</v>
      </c>
      <c r="S517" s="8" t="b">
        <f t="shared" si="86"/>
        <v>0</v>
      </c>
      <c r="T517" s="10" t="b">
        <f t="shared" si="87"/>
        <v>0</v>
      </c>
      <c r="U517" s="8" t="str">
        <f t="shared" si="88"/>
        <v>TRUE</v>
      </c>
      <c r="V517" s="11" t="str">
        <f t="shared" si="89"/>
        <v>FALSE</v>
      </c>
    </row>
    <row r="518" spans="1:22" ht="15.75">
      <c r="A518" s="21">
        <v>516</v>
      </c>
      <c r="B518" s="5" t="s">
        <v>1534</v>
      </c>
      <c r="C518" s="23" t="s">
        <v>3790</v>
      </c>
      <c r="D518" s="23" t="s">
        <v>59</v>
      </c>
      <c r="E518" s="5" t="s">
        <v>1535</v>
      </c>
      <c r="F518" s="71" t="s">
        <v>6104</v>
      </c>
      <c r="G518" s="22" t="s">
        <v>24</v>
      </c>
      <c r="H518" s="5" t="s">
        <v>25</v>
      </c>
      <c r="I518" s="5" t="s">
        <v>56</v>
      </c>
      <c r="J518" s="5" t="s">
        <v>5114</v>
      </c>
      <c r="K518" s="5" t="s">
        <v>1536</v>
      </c>
      <c r="L518" s="22"/>
      <c r="M518" s="8" t="str">
        <f t="shared" si="80"/>
        <v>Ok</v>
      </c>
      <c r="N518" s="9" t="b">
        <f t="shared" si="81"/>
        <v>0</v>
      </c>
      <c r="O518" s="9" t="b">
        <f t="shared" si="82"/>
        <v>1</v>
      </c>
      <c r="P518" s="8" t="str">
        <f t="shared" si="83"/>
        <v>FALSE</v>
      </c>
      <c r="Q518" s="8" t="str">
        <f t="shared" si="84"/>
        <v>FALSE</v>
      </c>
      <c r="R518" s="9" t="b">
        <f t="shared" si="85"/>
        <v>0</v>
      </c>
      <c r="S518" s="8" t="b">
        <f t="shared" si="86"/>
        <v>0</v>
      </c>
      <c r="T518" s="10" t="b">
        <f t="shared" si="87"/>
        <v>1</v>
      </c>
      <c r="U518" s="8" t="str">
        <f t="shared" si="88"/>
        <v>TRUE</v>
      </c>
      <c r="V518" s="11" t="str">
        <f t="shared" si="89"/>
        <v>TRUE</v>
      </c>
    </row>
    <row r="519" spans="1:22" ht="15.75">
      <c r="A519" s="21">
        <v>517</v>
      </c>
      <c r="B519" s="5" t="s">
        <v>1537</v>
      </c>
      <c r="C519" s="23" t="s">
        <v>2951</v>
      </c>
      <c r="D519" s="23" t="s">
        <v>34</v>
      </c>
      <c r="E519" s="5" t="s">
        <v>1538</v>
      </c>
      <c r="F519" s="71" t="s">
        <v>6104</v>
      </c>
      <c r="G519" s="22" t="s">
        <v>3933</v>
      </c>
      <c r="H519" s="5" t="s">
        <v>3932</v>
      </c>
      <c r="I519" s="5" t="s">
        <v>14</v>
      </c>
      <c r="J519" s="5" t="s">
        <v>5348</v>
      </c>
      <c r="K519" s="5" t="s">
        <v>1539</v>
      </c>
      <c r="L519" s="22"/>
      <c r="M519" s="8" t="str">
        <f t="shared" si="80"/>
        <v>Ok</v>
      </c>
      <c r="N519" s="9" t="b">
        <f t="shared" si="81"/>
        <v>0</v>
      </c>
      <c r="O519" s="9" t="b">
        <f t="shared" si="82"/>
        <v>0</v>
      </c>
      <c r="P519" s="8" t="str">
        <f t="shared" si="83"/>
        <v>FALSE</v>
      </c>
      <c r="Q519" s="8" t="str">
        <f t="shared" si="84"/>
        <v>FALSE</v>
      </c>
      <c r="R519" s="9" t="b">
        <f t="shared" si="85"/>
        <v>0</v>
      </c>
      <c r="S519" s="8" t="b">
        <f t="shared" si="86"/>
        <v>0</v>
      </c>
      <c r="T519" s="10" t="b">
        <f t="shared" si="87"/>
        <v>1</v>
      </c>
      <c r="U519" s="8" t="str">
        <f t="shared" si="88"/>
        <v>TRUE</v>
      </c>
      <c r="V519" s="11" t="str">
        <f t="shared" si="89"/>
        <v>TRUE</v>
      </c>
    </row>
    <row r="520" spans="1:22" ht="15.75">
      <c r="A520" s="21">
        <v>518</v>
      </c>
      <c r="B520" s="5" t="s">
        <v>1540</v>
      </c>
      <c r="C520" s="23" t="s">
        <v>3486</v>
      </c>
      <c r="D520" s="23" t="s">
        <v>77</v>
      </c>
      <c r="E520" s="5" t="s">
        <v>1541</v>
      </c>
      <c r="F520" s="71" t="s">
        <v>6104</v>
      </c>
      <c r="G520" s="22" t="s">
        <v>160</v>
      </c>
      <c r="H520" s="5" t="s">
        <v>3932</v>
      </c>
      <c r="I520" s="5" t="s">
        <v>42</v>
      </c>
      <c r="J520" s="5" t="s">
        <v>5654</v>
      </c>
      <c r="K520" s="5" t="s">
        <v>1542</v>
      </c>
      <c r="L520" s="22"/>
      <c r="M520" s="8" t="str">
        <f t="shared" si="80"/>
        <v>Ok</v>
      </c>
      <c r="N520" s="9" t="b">
        <f t="shared" si="81"/>
        <v>1</v>
      </c>
      <c r="O520" s="9" t="b">
        <f t="shared" si="82"/>
        <v>0</v>
      </c>
      <c r="P520" s="8" t="str">
        <f t="shared" si="83"/>
        <v>FALSE</v>
      </c>
      <c r="Q520" s="8" t="str">
        <f t="shared" si="84"/>
        <v>FALSE</v>
      </c>
      <c r="R520" s="9" t="b">
        <f t="shared" si="85"/>
        <v>0</v>
      </c>
      <c r="S520" s="8" t="b">
        <f t="shared" si="86"/>
        <v>0</v>
      </c>
      <c r="T520" s="10" t="b">
        <f t="shared" si="87"/>
        <v>1</v>
      </c>
      <c r="U520" s="8" t="str">
        <f t="shared" si="88"/>
        <v>FALSE</v>
      </c>
      <c r="V520" s="11" t="str">
        <f t="shared" si="89"/>
        <v>FALSE</v>
      </c>
    </row>
    <row r="521" spans="1:22" ht="15.75">
      <c r="A521" s="21">
        <v>519</v>
      </c>
      <c r="B521" s="5" t="s">
        <v>1543</v>
      </c>
      <c r="C521" s="23" t="s">
        <v>3487</v>
      </c>
      <c r="D521" s="23" t="s">
        <v>77</v>
      </c>
      <c r="E521" s="5" t="s">
        <v>1544</v>
      </c>
      <c r="F521" s="71" t="s">
        <v>6104</v>
      </c>
      <c r="G521" s="22" t="s">
        <v>160</v>
      </c>
      <c r="H521" s="5" t="s">
        <v>3932</v>
      </c>
      <c r="I521" s="5" t="s">
        <v>14</v>
      </c>
      <c r="J521" s="5" t="s">
        <v>5689</v>
      </c>
      <c r="K521" s="5" t="s">
        <v>1545</v>
      </c>
      <c r="L521" s="22"/>
      <c r="M521" s="8" t="str">
        <f t="shared" si="80"/>
        <v>Ok</v>
      </c>
      <c r="N521" s="9" t="b">
        <f t="shared" si="81"/>
        <v>1</v>
      </c>
      <c r="O521" s="9" t="b">
        <f t="shared" si="82"/>
        <v>0</v>
      </c>
      <c r="P521" s="8" t="str">
        <f t="shared" si="83"/>
        <v>FALSE</v>
      </c>
      <c r="Q521" s="8" t="str">
        <f t="shared" si="84"/>
        <v>FALSE</v>
      </c>
      <c r="R521" s="9" t="b">
        <f t="shared" si="85"/>
        <v>0</v>
      </c>
      <c r="S521" s="8" t="b">
        <f t="shared" si="86"/>
        <v>0</v>
      </c>
      <c r="T521" s="10" t="b">
        <f t="shared" si="87"/>
        <v>1</v>
      </c>
      <c r="U521" s="8" t="str">
        <f t="shared" si="88"/>
        <v>FALSE</v>
      </c>
      <c r="V521" s="11" t="str">
        <f t="shared" si="89"/>
        <v>TRUE</v>
      </c>
    </row>
    <row r="522" spans="1:22" ht="15.75">
      <c r="A522" s="21">
        <v>520</v>
      </c>
      <c r="B522" s="5" t="s">
        <v>1546</v>
      </c>
      <c r="C522" s="23" t="s">
        <v>3020</v>
      </c>
      <c r="D522" s="23" t="s">
        <v>34</v>
      </c>
      <c r="E522" s="5" t="s">
        <v>1547</v>
      </c>
      <c r="F522" s="71" t="s">
        <v>6104</v>
      </c>
      <c r="G522" s="22" t="s">
        <v>74</v>
      </c>
      <c r="H522" s="5" t="s">
        <v>41</v>
      </c>
      <c r="I522" s="5" t="s">
        <v>50</v>
      </c>
      <c r="J522" s="5" t="s">
        <v>5536</v>
      </c>
      <c r="K522" s="5" t="s">
        <v>1548</v>
      </c>
      <c r="L522" s="22"/>
      <c r="M522" s="8" t="str">
        <f t="shared" si="80"/>
        <v>Ok</v>
      </c>
      <c r="N522" s="9" t="b">
        <f t="shared" si="81"/>
        <v>0</v>
      </c>
      <c r="O522" s="9" t="b">
        <f t="shared" si="82"/>
        <v>0</v>
      </c>
      <c r="P522" s="8" t="str">
        <f t="shared" si="83"/>
        <v>FALSE</v>
      </c>
      <c r="Q522" s="8" t="str">
        <f t="shared" si="84"/>
        <v>FALSE</v>
      </c>
      <c r="R522" s="9" t="b">
        <f t="shared" si="85"/>
        <v>0</v>
      </c>
      <c r="S522" s="8" t="b">
        <f t="shared" si="86"/>
        <v>0</v>
      </c>
      <c r="T522" s="10" t="b">
        <f t="shared" si="87"/>
        <v>0</v>
      </c>
      <c r="U522" s="8" t="str">
        <f t="shared" si="88"/>
        <v>FALSE</v>
      </c>
      <c r="V522" s="11" t="str">
        <f t="shared" si="89"/>
        <v>TRUE</v>
      </c>
    </row>
    <row r="523" spans="1:22" ht="15.75">
      <c r="A523" s="21">
        <v>521</v>
      </c>
      <c r="B523" s="5" t="s">
        <v>1549</v>
      </c>
      <c r="C523" s="23" t="s">
        <v>3488</v>
      </c>
      <c r="D523" s="23" t="s">
        <v>77</v>
      </c>
      <c r="E523" s="5" t="s">
        <v>1550</v>
      </c>
      <c r="F523" s="71" t="s">
        <v>6104</v>
      </c>
      <c r="G523" s="22" t="s">
        <v>160</v>
      </c>
      <c r="H523" s="5" t="s">
        <v>3932</v>
      </c>
      <c r="I523" s="5" t="s">
        <v>26</v>
      </c>
      <c r="J523" s="5" t="s">
        <v>5712</v>
      </c>
      <c r="K523" s="5" t="s">
        <v>1551</v>
      </c>
      <c r="L523" s="22"/>
      <c r="M523" s="8" t="str">
        <f t="shared" si="80"/>
        <v>Ok</v>
      </c>
      <c r="N523" s="9" t="b">
        <f t="shared" si="81"/>
        <v>1</v>
      </c>
      <c r="O523" s="9" t="b">
        <f t="shared" si="82"/>
        <v>0</v>
      </c>
      <c r="P523" s="8" t="str">
        <f t="shared" si="83"/>
        <v>FALSE</v>
      </c>
      <c r="Q523" s="8" t="str">
        <f t="shared" si="84"/>
        <v>FALSE</v>
      </c>
      <c r="R523" s="9" t="b">
        <f t="shared" si="85"/>
        <v>0</v>
      </c>
      <c r="S523" s="8" t="b">
        <f t="shared" si="86"/>
        <v>0</v>
      </c>
      <c r="T523" s="10" t="b">
        <f t="shared" si="87"/>
        <v>0</v>
      </c>
      <c r="U523" s="8" t="str">
        <f t="shared" si="88"/>
        <v>FALSE</v>
      </c>
      <c r="V523" s="11" t="str">
        <f t="shared" si="89"/>
        <v>TRUE</v>
      </c>
    </row>
    <row r="524" spans="1:22" ht="15.75">
      <c r="A524" s="21">
        <v>522</v>
      </c>
      <c r="B524" s="5" t="s">
        <v>1552</v>
      </c>
      <c r="C524" s="23" t="s">
        <v>3835</v>
      </c>
      <c r="D524" s="23" t="s">
        <v>59</v>
      </c>
      <c r="E524" s="5" t="s">
        <v>1553</v>
      </c>
      <c r="F524" s="71" t="s">
        <v>6104</v>
      </c>
      <c r="G524" s="22" t="s">
        <v>144</v>
      </c>
      <c r="H524" s="5" t="s">
        <v>25</v>
      </c>
      <c r="I524" s="5" t="s">
        <v>56</v>
      </c>
      <c r="J524" s="5" t="s">
        <v>5282</v>
      </c>
      <c r="K524" s="5" t="s">
        <v>1554</v>
      </c>
      <c r="L524" s="22"/>
      <c r="M524" s="8" t="str">
        <f t="shared" si="80"/>
        <v>Ok</v>
      </c>
      <c r="N524" s="9" t="b">
        <f t="shared" si="81"/>
        <v>0</v>
      </c>
      <c r="O524" s="9" t="b">
        <f t="shared" si="82"/>
        <v>1</v>
      </c>
      <c r="P524" s="8" t="str">
        <f t="shared" si="83"/>
        <v>FALSE</v>
      </c>
      <c r="Q524" s="8" t="str">
        <f t="shared" si="84"/>
        <v>FALSE</v>
      </c>
      <c r="R524" s="9" t="b">
        <f t="shared" si="85"/>
        <v>1</v>
      </c>
      <c r="S524" s="8" t="b">
        <f t="shared" si="86"/>
        <v>0</v>
      </c>
      <c r="T524" s="10" t="b">
        <f t="shared" si="87"/>
        <v>1</v>
      </c>
      <c r="U524" s="8" t="str">
        <f t="shared" si="88"/>
        <v>TRUE</v>
      </c>
      <c r="V524" s="11" t="str">
        <f t="shared" si="89"/>
        <v>TRUE</v>
      </c>
    </row>
    <row r="525" spans="1:22" ht="15.75">
      <c r="A525" s="21">
        <v>523</v>
      </c>
      <c r="B525" s="5" t="s">
        <v>1555</v>
      </c>
      <c r="C525" s="23" t="s">
        <v>3021</v>
      </c>
      <c r="D525" s="23" t="s">
        <v>34</v>
      </c>
      <c r="E525" s="5" t="s">
        <v>108</v>
      </c>
      <c r="F525" s="71" t="s">
        <v>6104</v>
      </c>
      <c r="G525" s="22" t="s">
        <v>179</v>
      </c>
      <c r="H525" s="5" t="s">
        <v>3932</v>
      </c>
      <c r="I525" s="5" t="s">
        <v>67</v>
      </c>
      <c r="J525" s="5" t="s">
        <v>5518</v>
      </c>
      <c r="K525" s="5" t="s">
        <v>1556</v>
      </c>
      <c r="L525" s="22"/>
      <c r="M525" s="8" t="str">
        <f t="shared" si="80"/>
        <v>Ok</v>
      </c>
      <c r="N525" s="9" t="b">
        <f t="shared" si="81"/>
        <v>0</v>
      </c>
      <c r="O525" s="9" t="b">
        <f t="shared" si="82"/>
        <v>0</v>
      </c>
      <c r="P525" s="8" t="str">
        <f t="shared" si="83"/>
        <v>FALSE</v>
      </c>
      <c r="Q525" s="8" t="str">
        <f t="shared" si="84"/>
        <v>FALSE</v>
      </c>
      <c r="R525" s="9" t="b">
        <f t="shared" si="85"/>
        <v>1</v>
      </c>
      <c r="S525" s="8" t="b">
        <f t="shared" si="86"/>
        <v>0</v>
      </c>
      <c r="T525" s="10" t="b">
        <f t="shared" si="87"/>
        <v>0</v>
      </c>
      <c r="U525" s="8" t="str">
        <f t="shared" si="88"/>
        <v>FALSE</v>
      </c>
      <c r="V525" s="11" t="str">
        <f t="shared" si="89"/>
        <v>FALSE</v>
      </c>
    </row>
    <row r="526" spans="1:22" ht="15.75">
      <c r="A526" s="21">
        <v>524</v>
      </c>
      <c r="B526" s="5" t="s">
        <v>1557</v>
      </c>
      <c r="C526" s="23" t="s">
        <v>3382</v>
      </c>
      <c r="D526" s="23" t="s">
        <v>34</v>
      </c>
      <c r="E526" s="5" t="s">
        <v>1558</v>
      </c>
      <c r="F526" s="71" t="s">
        <v>6104</v>
      </c>
      <c r="G526" s="22" t="s">
        <v>3933</v>
      </c>
      <c r="H526" s="5" t="s">
        <v>3932</v>
      </c>
      <c r="I526" s="5" t="s">
        <v>67</v>
      </c>
      <c r="J526" s="5" t="s">
        <v>4982</v>
      </c>
      <c r="K526" s="5">
        <v>89756465587</v>
      </c>
      <c r="L526" s="22"/>
      <c r="M526" s="8" t="str">
        <f t="shared" si="80"/>
        <v>Ok</v>
      </c>
      <c r="N526" s="9" t="b">
        <f t="shared" si="81"/>
        <v>1</v>
      </c>
      <c r="O526" s="9" t="b">
        <f t="shared" si="82"/>
        <v>0</v>
      </c>
      <c r="P526" s="8" t="str">
        <f t="shared" si="83"/>
        <v>FALSE</v>
      </c>
      <c r="Q526" s="8" t="str">
        <f t="shared" si="84"/>
        <v>FALSE</v>
      </c>
      <c r="R526" s="9" t="b">
        <f t="shared" si="85"/>
        <v>0</v>
      </c>
      <c r="S526" s="8" t="b">
        <f t="shared" si="86"/>
        <v>0</v>
      </c>
      <c r="T526" s="10" t="b">
        <f t="shared" si="87"/>
        <v>0</v>
      </c>
      <c r="U526" s="8" t="str">
        <f t="shared" si="88"/>
        <v>TRUE</v>
      </c>
      <c r="V526" s="11" t="str">
        <f t="shared" si="89"/>
        <v>FALSE</v>
      </c>
    </row>
    <row r="527" spans="1:22" ht="15.75">
      <c r="A527" s="21">
        <v>525</v>
      </c>
      <c r="B527" s="5" t="s">
        <v>1559</v>
      </c>
      <c r="C527" s="23" t="s">
        <v>3489</v>
      </c>
      <c r="D527" s="23" t="s">
        <v>77</v>
      </c>
      <c r="E527" s="5" t="s">
        <v>1560</v>
      </c>
      <c r="F527" s="71" t="s">
        <v>6104</v>
      </c>
      <c r="G527" s="22" t="s">
        <v>160</v>
      </c>
      <c r="H527" s="5" t="s">
        <v>3932</v>
      </c>
      <c r="I527" s="5" t="s">
        <v>42</v>
      </c>
      <c r="J527" s="5" t="s">
        <v>5352</v>
      </c>
      <c r="K527" s="5" t="s">
        <v>1561</v>
      </c>
      <c r="L527" s="22"/>
      <c r="M527" s="8" t="str">
        <f t="shared" si="80"/>
        <v>Ok</v>
      </c>
      <c r="N527" s="9" t="b">
        <f t="shared" si="81"/>
        <v>1</v>
      </c>
      <c r="O527" s="9" t="b">
        <f t="shared" si="82"/>
        <v>0</v>
      </c>
      <c r="P527" s="8" t="str">
        <f t="shared" si="83"/>
        <v>FALSE</v>
      </c>
      <c r="Q527" s="8" t="str">
        <f t="shared" si="84"/>
        <v>FALSE</v>
      </c>
      <c r="R527" s="9" t="b">
        <f t="shared" si="85"/>
        <v>0</v>
      </c>
      <c r="S527" s="8" t="b">
        <f t="shared" si="86"/>
        <v>0</v>
      </c>
      <c r="T527" s="10" t="b">
        <f t="shared" si="87"/>
        <v>1</v>
      </c>
      <c r="U527" s="8" t="str">
        <f t="shared" si="88"/>
        <v>TRUE</v>
      </c>
      <c r="V527" s="11" t="str">
        <f t="shared" si="89"/>
        <v>TRUE</v>
      </c>
    </row>
    <row r="528" spans="1:22" ht="15.75">
      <c r="A528" s="21">
        <v>526</v>
      </c>
      <c r="B528" s="5" t="s">
        <v>1562</v>
      </c>
      <c r="C528" s="23" t="s">
        <v>3490</v>
      </c>
      <c r="D528" s="23" t="s">
        <v>17</v>
      </c>
      <c r="E528" s="5" t="s">
        <v>1563</v>
      </c>
      <c r="F528" s="71" t="s">
        <v>6104</v>
      </c>
      <c r="G528" s="22" t="s">
        <v>160</v>
      </c>
      <c r="H528" s="5" t="s">
        <v>3932</v>
      </c>
      <c r="I528" s="5" t="s">
        <v>26</v>
      </c>
      <c r="J528" s="5" t="s">
        <v>5149</v>
      </c>
      <c r="K528" s="5" t="s">
        <v>1564</v>
      </c>
      <c r="L528" s="22"/>
      <c r="M528" s="8" t="str">
        <f t="shared" si="80"/>
        <v>Ok</v>
      </c>
      <c r="N528" s="9" t="b">
        <f t="shared" si="81"/>
        <v>1</v>
      </c>
      <c r="O528" s="9" t="b">
        <f t="shared" si="82"/>
        <v>1</v>
      </c>
      <c r="P528" s="8" t="str">
        <f t="shared" si="83"/>
        <v>FALSE</v>
      </c>
      <c r="Q528" s="8" t="str">
        <f t="shared" si="84"/>
        <v>FALSE</v>
      </c>
      <c r="R528" s="9" t="b">
        <f t="shared" si="85"/>
        <v>0</v>
      </c>
      <c r="S528" s="8" t="b">
        <f t="shared" si="86"/>
        <v>0</v>
      </c>
      <c r="T528" s="10" t="b">
        <f t="shared" si="87"/>
        <v>0</v>
      </c>
      <c r="U528" s="8" t="str">
        <f t="shared" si="88"/>
        <v>TRUE</v>
      </c>
      <c r="V528" s="11" t="str">
        <f t="shared" si="89"/>
        <v>FALSE</v>
      </c>
    </row>
    <row r="529" spans="1:22" ht="15.75">
      <c r="A529" s="21">
        <v>527</v>
      </c>
      <c r="B529" s="5" t="s">
        <v>1565</v>
      </c>
      <c r="C529" s="23" t="s">
        <v>3383</v>
      </c>
      <c r="D529" s="23" t="s">
        <v>34</v>
      </c>
      <c r="E529" s="5" t="s">
        <v>1566</v>
      </c>
      <c r="F529" s="71" t="s">
        <v>6104</v>
      </c>
      <c r="G529" s="22" t="s">
        <v>3933</v>
      </c>
      <c r="H529" s="5" t="s">
        <v>3932</v>
      </c>
      <c r="I529" s="5" t="s">
        <v>67</v>
      </c>
      <c r="J529" s="5" t="s">
        <v>5666</v>
      </c>
      <c r="K529" s="5" t="s">
        <v>1567</v>
      </c>
      <c r="L529" s="22"/>
      <c r="M529" s="8" t="str">
        <f t="shared" si="80"/>
        <v>Ok</v>
      </c>
      <c r="N529" s="9" t="b">
        <f t="shared" si="81"/>
        <v>1</v>
      </c>
      <c r="O529" s="9" t="b">
        <f t="shared" si="82"/>
        <v>0</v>
      </c>
      <c r="P529" s="8" t="str">
        <f t="shared" si="83"/>
        <v>FALSE</v>
      </c>
      <c r="Q529" s="8" t="str">
        <f t="shared" si="84"/>
        <v>FALSE</v>
      </c>
      <c r="R529" s="9" t="b">
        <f t="shared" si="85"/>
        <v>0</v>
      </c>
      <c r="S529" s="8" t="b">
        <f t="shared" si="86"/>
        <v>0</v>
      </c>
      <c r="T529" s="10" t="b">
        <f t="shared" si="87"/>
        <v>0</v>
      </c>
      <c r="U529" s="8" t="str">
        <f t="shared" si="88"/>
        <v>FALSE</v>
      </c>
      <c r="V529" s="11" t="str">
        <f t="shared" si="89"/>
        <v>TRUE</v>
      </c>
    </row>
    <row r="530" spans="1:22" ht="15.75">
      <c r="A530" s="21">
        <v>528</v>
      </c>
      <c r="B530" s="5" t="s">
        <v>1568</v>
      </c>
      <c r="C530" s="23" t="s">
        <v>3623</v>
      </c>
      <c r="D530" s="23" t="s">
        <v>59</v>
      </c>
      <c r="E530" s="5" t="s">
        <v>1569</v>
      </c>
      <c r="F530" s="71" t="s">
        <v>6104</v>
      </c>
      <c r="G530" s="22" t="s">
        <v>160</v>
      </c>
      <c r="H530" s="5" t="s">
        <v>36</v>
      </c>
      <c r="I530" s="5" t="s">
        <v>21</v>
      </c>
      <c r="J530" s="5" t="s">
        <v>5287</v>
      </c>
      <c r="K530" s="5" t="s">
        <v>1570</v>
      </c>
      <c r="L530" s="22"/>
      <c r="M530" s="8" t="str">
        <f t="shared" si="80"/>
        <v>Ok</v>
      </c>
      <c r="N530" s="9" t="b">
        <f t="shared" si="81"/>
        <v>1</v>
      </c>
      <c r="O530" s="9" t="b">
        <f t="shared" si="82"/>
        <v>1</v>
      </c>
      <c r="P530" s="8" t="str">
        <f t="shared" si="83"/>
        <v>FALSE</v>
      </c>
      <c r="Q530" s="8" t="str">
        <f t="shared" si="84"/>
        <v>FALSE</v>
      </c>
      <c r="R530" s="9" t="b">
        <f t="shared" si="85"/>
        <v>0</v>
      </c>
      <c r="S530" s="8" t="b">
        <f t="shared" si="86"/>
        <v>1</v>
      </c>
      <c r="T530" s="10" t="b">
        <f t="shared" si="87"/>
        <v>0</v>
      </c>
      <c r="U530" s="8" t="str">
        <f t="shared" si="88"/>
        <v>TRUE</v>
      </c>
      <c r="V530" s="11" t="str">
        <f t="shared" si="89"/>
        <v>TRUE</v>
      </c>
    </row>
    <row r="531" spans="1:22" ht="15.75">
      <c r="A531" s="21">
        <v>529</v>
      </c>
      <c r="B531" s="5" t="s">
        <v>1571</v>
      </c>
      <c r="C531" s="23" t="s">
        <v>3094</v>
      </c>
      <c r="D531" s="23" t="s">
        <v>77</v>
      </c>
      <c r="E531" s="5" t="s">
        <v>1572</v>
      </c>
      <c r="F531" s="71" t="s">
        <v>6104</v>
      </c>
      <c r="G531" s="22" t="s">
        <v>179</v>
      </c>
      <c r="H531" s="5" t="s">
        <v>3932</v>
      </c>
      <c r="I531" s="5" t="s">
        <v>21</v>
      </c>
      <c r="J531" s="5" t="s">
        <v>5087</v>
      </c>
      <c r="K531" s="5" t="s">
        <v>1573</v>
      </c>
      <c r="L531" s="22"/>
      <c r="M531" s="8" t="str">
        <f t="shared" si="80"/>
        <v>Ok</v>
      </c>
      <c r="N531" s="9" t="b">
        <f t="shared" si="81"/>
        <v>0</v>
      </c>
      <c r="O531" s="9" t="b">
        <f t="shared" si="82"/>
        <v>0</v>
      </c>
      <c r="P531" s="8" t="str">
        <f t="shared" si="83"/>
        <v>FALSE</v>
      </c>
      <c r="Q531" s="8" t="str">
        <f t="shared" si="84"/>
        <v>FALSE</v>
      </c>
      <c r="R531" s="9" t="b">
        <f t="shared" si="85"/>
        <v>1</v>
      </c>
      <c r="S531" s="8" t="b">
        <f t="shared" si="86"/>
        <v>0</v>
      </c>
      <c r="T531" s="10" t="b">
        <f t="shared" si="87"/>
        <v>0</v>
      </c>
      <c r="U531" s="8" t="str">
        <f t="shared" si="88"/>
        <v>TRUE</v>
      </c>
      <c r="V531" s="11" t="str">
        <f t="shared" si="89"/>
        <v>FALSE</v>
      </c>
    </row>
    <row r="532" spans="1:22" ht="15.75">
      <c r="A532" s="21">
        <v>530</v>
      </c>
      <c r="B532" s="5" t="s">
        <v>1574</v>
      </c>
      <c r="C532" s="23" t="s">
        <v>3836</v>
      </c>
      <c r="D532" s="23" t="s">
        <v>59</v>
      </c>
      <c r="E532" s="5" t="s">
        <v>1575</v>
      </c>
      <c r="F532" s="71" t="s">
        <v>6104</v>
      </c>
      <c r="G532" s="22" t="s">
        <v>144</v>
      </c>
      <c r="H532" s="5" t="s">
        <v>25</v>
      </c>
      <c r="I532" s="5" t="s">
        <v>50</v>
      </c>
      <c r="J532" s="5" t="s">
        <v>5091</v>
      </c>
      <c r="K532" s="5" t="s">
        <v>1576</v>
      </c>
      <c r="L532" s="22"/>
      <c r="M532" s="8" t="str">
        <f t="shared" si="80"/>
        <v>Ok</v>
      </c>
      <c r="N532" s="9" t="b">
        <f t="shared" si="81"/>
        <v>0</v>
      </c>
      <c r="O532" s="9" t="b">
        <f t="shared" si="82"/>
        <v>1</v>
      </c>
      <c r="P532" s="8" t="str">
        <f t="shared" si="83"/>
        <v>FALSE</v>
      </c>
      <c r="Q532" s="8" t="str">
        <f t="shared" si="84"/>
        <v>FALSE</v>
      </c>
      <c r="R532" s="9" t="b">
        <f t="shared" si="85"/>
        <v>1</v>
      </c>
      <c r="S532" s="8" t="b">
        <f t="shared" si="86"/>
        <v>0</v>
      </c>
      <c r="T532" s="10" t="b">
        <f t="shared" si="87"/>
        <v>0</v>
      </c>
      <c r="U532" s="8" t="str">
        <f t="shared" si="88"/>
        <v>TRUE</v>
      </c>
      <c r="V532" s="11" t="str">
        <f t="shared" si="89"/>
        <v>TRUE</v>
      </c>
    </row>
    <row r="533" spans="1:22" ht="15.75">
      <c r="A533" s="21">
        <v>531</v>
      </c>
      <c r="B533" s="5" t="s">
        <v>1577</v>
      </c>
      <c r="C533" s="23" t="s">
        <v>3709</v>
      </c>
      <c r="D533" s="23" t="s">
        <v>59</v>
      </c>
      <c r="E533" s="5" t="s">
        <v>237</v>
      </c>
      <c r="F533" s="71" t="s">
        <v>6104</v>
      </c>
      <c r="G533" s="22" t="s">
        <v>3934</v>
      </c>
      <c r="H533" s="5" t="s">
        <v>13</v>
      </c>
      <c r="I533" s="5" t="s">
        <v>14</v>
      </c>
      <c r="J533" s="5" t="s">
        <v>4895</v>
      </c>
      <c r="K533" s="5" t="s">
        <v>1578</v>
      </c>
      <c r="L533" s="22"/>
      <c r="M533" s="8" t="str">
        <f t="shared" si="80"/>
        <v>Ok</v>
      </c>
      <c r="N533" s="9" t="b">
        <f t="shared" si="81"/>
        <v>0</v>
      </c>
      <c r="O533" s="9" t="b">
        <f t="shared" si="82"/>
        <v>1</v>
      </c>
      <c r="P533" s="8" t="str">
        <f t="shared" si="83"/>
        <v>FALSE</v>
      </c>
      <c r="Q533" s="8" t="str">
        <f t="shared" si="84"/>
        <v>FALSE</v>
      </c>
      <c r="R533" s="9" t="b">
        <f t="shared" si="85"/>
        <v>0</v>
      </c>
      <c r="S533" s="8" t="b">
        <f t="shared" si="86"/>
        <v>0</v>
      </c>
      <c r="T533" s="10" t="b">
        <f t="shared" si="87"/>
        <v>1</v>
      </c>
      <c r="U533" s="8" t="str">
        <f t="shared" si="88"/>
        <v>TRUE</v>
      </c>
      <c r="V533" s="11" t="str">
        <f t="shared" si="89"/>
        <v>TRUE</v>
      </c>
    </row>
    <row r="534" spans="1:22" ht="15.75">
      <c r="A534" s="21">
        <v>532</v>
      </c>
      <c r="B534" s="5" t="s">
        <v>1579</v>
      </c>
      <c r="C534" s="23" t="s">
        <v>3022</v>
      </c>
      <c r="D534" s="23" t="s">
        <v>34</v>
      </c>
      <c r="E534" s="5" t="s">
        <v>1580</v>
      </c>
      <c r="F534" s="71" t="s">
        <v>6104</v>
      </c>
      <c r="G534" s="22" t="s">
        <v>40</v>
      </c>
      <c r="H534" s="5" t="s">
        <v>71</v>
      </c>
      <c r="I534" s="5" t="s">
        <v>50</v>
      </c>
      <c r="J534" s="5" t="s">
        <v>5497</v>
      </c>
      <c r="K534" s="5">
        <v>866674754</v>
      </c>
      <c r="L534" s="22"/>
      <c r="M534" s="8" t="str">
        <f t="shared" si="80"/>
        <v>Ok</v>
      </c>
      <c r="N534" s="9" t="b">
        <f t="shared" si="81"/>
        <v>0</v>
      </c>
      <c r="O534" s="9" t="b">
        <f t="shared" si="82"/>
        <v>0</v>
      </c>
      <c r="P534" s="8" t="str">
        <f t="shared" si="83"/>
        <v>FALSE</v>
      </c>
      <c r="Q534" s="8" t="str">
        <f t="shared" si="84"/>
        <v>FALSE</v>
      </c>
      <c r="R534" s="9" t="b">
        <f t="shared" si="85"/>
        <v>1</v>
      </c>
      <c r="S534" s="8" t="b">
        <f t="shared" si="86"/>
        <v>1</v>
      </c>
      <c r="T534" s="10" t="b">
        <f t="shared" si="87"/>
        <v>0</v>
      </c>
      <c r="U534" s="8" t="str">
        <f t="shared" si="88"/>
        <v>FALSE</v>
      </c>
      <c r="V534" s="11" t="str">
        <f t="shared" si="89"/>
        <v>FALSE</v>
      </c>
    </row>
    <row r="535" spans="1:22" ht="15.75">
      <c r="A535" s="21">
        <v>533</v>
      </c>
      <c r="B535" s="5" t="s">
        <v>1581</v>
      </c>
      <c r="C535" s="23" t="s">
        <v>3246</v>
      </c>
      <c r="D535" s="23" t="s">
        <v>77</v>
      </c>
      <c r="E535" s="5" t="s">
        <v>1582</v>
      </c>
      <c r="F535" s="71" t="s">
        <v>6104</v>
      </c>
      <c r="G535" s="22" t="s">
        <v>179</v>
      </c>
      <c r="H535" s="5" t="s">
        <v>3932</v>
      </c>
      <c r="I535" s="5" t="s">
        <v>42</v>
      </c>
      <c r="J535" s="5" t="s">
        <v>5274</v>
      </c>
      <c r="K535" s="5" t="s">
        <v>1583</v>
      </c>
      <c r="L535" s="22"/>
      <c r="M535" s="8" t="str">
        <f t="shared" si="80"/>
        <v>Ok</v>
      </c>
      <c r="N535" s="9" t="b">
        <f t="shared" si="81"/>
        <v>1</v>
      </c>
      <c r="O535" s="9" t="b">
        <f t="shared" si="82"/>
        <v>0</v>
      </c>
      <c r="P535" s="8" t="str">
        <f t="shared" si="83"/>
        <v>FALSE</v>
      </c>
      <c r="Q535" s="8" t="str">
        <f t="shared" si="84"/>
        <v>FALSE</v>
      </c>
      <c r="R535" s="9" t="b">
        <f t="shared" si="85"/>
        <v>1</v>
      </c>
      <c r="S535" s="8" t="b">
        <f t="shared" si="86"/>
        <v>0</v>
      </c>
      <c r="T535" s="10" t="b">
        <f t="shared" si="87"/>
        <v>1</v>
      </c>
      <c r="U535" s="8" t="str">
        <f t="shared" si="88"/>
        <v>TRUE</v>
      </c>
      <c r="V535" s="11" t="str">
        <f t="shared" si="89"/>
        <v>TRUE</v>
      </c>
    </row>
    <row r="536" spans="1:22" ht="15.75">
      <c r="A536" s="21">
        <v>534</v>
      </c>
      <c r="B536" s="5" t="s">
        <v>1584</v>
      </c>
      <c r="C536" s="23" t="s">
        <v>3384</v>
      </c>
      <c r="D536" s="23" t="s">
        <v>34</v>
      </c>
      <c r="E536" s="5" t="s">
        <v>1349</v>
      </c>
      <c r="F536" s="71" t="s">
        <v>6104</v>
      </c>
      <c r="G536" s="22" t="s">
        <v>3933</v>
      </c>
      <c r="H536" s="5" t="s">
        <v>3932</v>
      </c>
      <c r="I536" s="5" t="s">
        <v>14</v>
      </c>
      <c r="J536" s="5" t="s">
        <v>5657</v>
      </c>
      <c r="K536" s="5" t="s">
        <v>1585</v>
      </c>
      <c r="L536" s="22"/>
      <c r="M536" s="8" t="str">
        <f t="shared" si="80"/>
        <v>Ok</v>
      </c>
      <c r="N536" s="9" t="b">
        <f t="shared" si="81"/>
        <v>1</v>
      </c>
      <c r="O536" s="9" t="b">
        <f t="shared" si="82"/>
        <v>0</v>
      </c>
      <c r="P536" s="8" t="str">
        <f t="shared" si="83"/>
        <v>FALSE</v>
      </c>
      <c r="Q536" s="8" t="str">
        <f t="shared" si="84"/>
        <v>FALSE</v>
      </c>
      <c r="R536" s="9" t="b">
        <f t="shared" si="85"/>
        <v>0</v>
      </c>
      <c r="S536" s="8" t="b">
        <f t="shared" si="86"/>
        <v>0</v>
      </c>
      <c r="T536" s="10" t="b">
        <f t="shared" si="87"/>
        <v>1</v>
      </c>
      <c r="U536" s="8" t="str">
        <f t="shared" si="88"/>
        <v>FALSE</v>
      </c>
      <c r="V536" s="11" t="str">
        <f t="shared" si="89"/>
        <v>TRUE</v>
      </c>
    </row>
    <row r="537" spans="1:22" ht="15.75">
      <c r="A537" s="21">
        <v>535</v>
      </c>
      <c r="B537" s="5" t="s">
        <v>1586</v>
      </c>
      <c r="C537" s="23" t="s">
        <v>3912</v>
      </c>
      <c r="D537" s="23" t="s">
        <v>17</v>
      </c>
      <c r="E537" s="5" t="s">
        <v>1587</v>
      </c>
      <c r="F537" s="71" t="s">
        <v>6104</v>
      </c>
      <c r="G537" s="22" t="s">
        <v>119</v>
      </c>
      <c r="H537" s="5" t="s">
        <v>120</v>
      </c>
      <c r="I537" s="5" t="s">
        <v>67</v>
      </c>
      <c r="J537" s="5" t="s">
        <v>5225</v>
      </c>
      <c r="K537" s="5" t="s">
        <v>1588</v>
      </c>
      <c r="L537" s="22"/>
      <c r="M537" s="8" t="str">
        <f t="shared" si="80"/>
        <v>Ok</v>
      </c>
      <c r="N537" s="9" t="b">
        <f t="shared" si="81"/>
        <v>0</v>
      </c>
      <c r="O537" s="9" t="b">
        <f t="shared" si="82"/>
        <v>1</v>
      </c>
      <c r="P537" s="8" t="str">
        <f t="shared" si="83"/>
        <v>FALSE</v>
      </c>
      <c r="Q537" s="8" t="str">
        <f t="shared" si="84"/>
        <v>FALSE</v>
      </c>
      <c r="R537" s="9" t="b">
        <f t="shared" si="85"/>
        <v>0</v>
      </c>
      <c r="S537" s="8" t="b">
        <f t="shared" si="86"/>
        <v>1</v>
      </c>
      <c r="T537" s="10" t="b">
        <f t="shared" si="87"/>
        <v>0</v>
      </c>
      <c r="U537" s="8" t="str">
        <f t="shared" si="88"/>
        <v>TRUE</v>
      </c>
      <c r="V537" s="11" t="str">
        <f t="shared" si="89"/>
        <v>TRUE</v>
      </c>
    </row>
    <row r="538" spans="1:22" ht="15.75">
      <c r="A538" s="21">
        <v>536</v>
      </c>
      <c r="B538" s="5" t="s">
        <v>1589</v>
      </c>
      <c r="C538" s="23" t="s">
        <v>3913</v>
      </c>
      <c r="D538" s="23" t="s">
        <v>17</v>
      </c>
      <c r="E538" s="5" t="s">
        <v>1590</v>
      </c>
      <c r="F538" s="71" t="s">
        <v>6104</v>
      </c>
      <c r="G538" s="22" t="s">
        <v>119</v>
      </c>
      <c r="H538" s="5" t="s">
        <v>120</v>
      </c>
      <c r="I538" s="5" t="s">
        <v>42</v>
      </c>
      <c r="J538" s="5" t="s">
        <v>5001</v>
      </c>
      <c r="K538" s="5" t="s">
        <v>1591</v>
      </c>
      <c r="L538" s="22"/>
      <c r="M538" s="8" t="str">
        <f t="shared" si="80"/>
        <v>Ok</v>
      </c>
      <c r="N538" s="9" t="b">
        <f t="shared" si="81"/>
        <v>0</v>
      </c>
      <c r="O538" s="9" t="b">
        <f t="shared" si="82"/>
        <v>1</v>
      </c>
      <c r="P538" s="8" t="str">
        <f t="shared" si="83"/>
        <v>FALSE</v>
      </c>
      <c r="Q538" s="8" t="str">
        <f t="shared" si="84"/>
        <v>FALSE</v>
      </c>
      <c r="R538" s="9" t="b">
        <f t="shared" si="85"/>
        <v>0</v>
      </c>
      <c r="S538" s="8" t="b">
        <f t="shared" si="86"/>
        <v>1</v>
      </c>
      <c r="T538" s="10" t="b">
        <f t="shared" si="87"/>
        <v>1</v>
      </c>
      <c r="U538" s="8" t="str">
        <f t="shared" si="88"/>
        <v>TRUE</v>
      </c>
      <c r="V538" s="11" t="str">
        <f t="shared" si="89"/>
        <v>TRUE</v>
      </c>
    </row>
    <row r="539" spans="1:22" ht="15.75">
      <c r="A539" s="21">
        <v>537</v>
      </c>
      <c r="B539" s="5" t="s">
        <v>1592</v>
      </c>
      <c r="C539" s="23" t="s">
        <v>3385</v>
      </c>
      <c r="D539" s="23" t="s">
        <v>34</v>
      </c>
      <c r="E539" s="5" t="s">
        <v>1593</v>
      </c>
      <c r="F539" s="71" t="s">
        <v>6104</v>
      </c>
      <c r="G539" s="22" t="s">
        <v>3933</v>
      </c>
      <c r="H539" s="5" t="s">
        <v>3932</v>
      </c>
      <c r="I539" s="5" t="s">
        <v>14</v>
      </c>
      <c r="J539" s="5" t="s">
        <v>5750</v>
      </c>
      <c r="K539" s="5" t="s">
        <v>1594</v>
      </c>
      <c r="L539" s="22"/>
      <c r="M539" s="8" t="str">
        <f t="shared" si="80"/>
        <v>Ok</v>
      </c>
      <c r="N539" s="9" t="b">
        <f t="shared" si="81"/>
        <v>1</v>
      </c>
      <c r="O539" s="9" t="b">
        <f t="shared" si="82"/>
        <v>0</v>
      </c>
      <c r="P539" s="8" t="str">
        <f t="shared" si="83"/>
        <v>FALSE</v>
      </c>
      <c r="Q539" s="8" t="str">
        <f t="shared" si="84"/>
        <v>FALSE</v>
      </c>
      <c r="R539" s="9" t="b">
        <f t="shared" si="85"/>
        <v>0</v>
      </c>
      <c r="S539" s="8" t="b">
        <f t="shared" si="86"/>
        <v>0</v>
      </c>
      <c r="T539" s="10" t="b">
        <f t="shared" si="87"/>
        <v>1</v>
      </c>
      <c r="U539" s="8" t="str">
        <f t="shared" si="88"/>
        <v>FALSE</v>
      </c>
      <c r="V539" s="11" t="str">
        <f t="shared" si="89"/>
        <v>TRUE</v>
      </c>
    </row>
    <row r="540" spans="1:22" ht="15.75">
      <c r="A540" s="21">
        <v>538</v>
      </c>
      <c r="B540" s="5" t="s">
        <v>1595</v>
      </c>
      <c r="C540" s="23" t="s">
        <v>3491</v>
      </c>
      <c r="D540" s="23" t="s">
        <v>77</v>
      </c>
      <c r="E540" s="5" t="s">
        <v>1596</v>
      </c>
      <c r="F540" s="71" t="s">
        <v>6104</v>
      </c>
      <c r="G540" s="22" t="s">
        <v>160</v>
      </c>
      <c r="H540" s="5" t="s">
        <v>3932</v>
      </c>
      <c r="I540" s="5" t="s">
        <v>67</v>
      </c>
      <c r="J540" s="5" t="s">
        <v>4939</v>
      </c>
      <c r="K540" s="5" t="s">
        <v>1597</v>
      </c>
      <c r="L540" s="22"/>
      <c r="M540" s="8" t="str">
        <f t="shared" si="80"/>
        <v>Ok</v>
      </c>
      <c r="N540" s="9" t="b">
        <f t="shared" si="81"/>
        <v>1</v>
      </c>
      <c r="O540" s="9" t="b">
        <f t="shared" si="82"/>
        <v>0</v>
      </c>
      <c r="P540" s="8" t="str">
        <f t="shared" si="83"/>
        <v>FALSE</v>
      </c>
      <c r="Q540" s="8" t="str">
        <f t="shared" si="84"/>
        <v>FALSE</v>
      </c>
      <c r="R540" s="9" t="b">
        <f t="shared" si="85"/>
        <v>0</v>
      </c>
      <c r="S540" s="8" t="b">
        <f t="shared" si="86"/>
        <v>0</v>
      </c>
      <c r="T540" s="10" t="b">
        <f t="shared" si="87"/>
        <v>0</v>
      </c>
      <c r="U540" s="8" t="str">
        <f t="shared" si="88"/>
        <v>TRUE</v>
      </c>
      <c r="V540" s="11" t="str">
        <f t="shared" si="89"/>
        <v>TRUE</v>
      </c>
    </row>
    <row r="541" spans="1:22" ht="15.75">
      <c r="A541" s="21">
        <v>539</v>
      </c>
      <c r="B541" s="5" t="s">
        <v>1598</v>
      </c>
      <c r="C541" s="23" t="s">
        <v>3386</v>
      </c>
      <c r="D541" s="23" t="s">
        <v>34</v>
      </c>
      <c r="E541" s="5" t="s">
        <v>1599</v>
      </c>
      <c r="F541" s="71" t="s">
        <v>6104</v>
      </c>
      <c r="G541" s="22" t="s">
        <v>3933</v>
      </c>
      <c r="H541" s="5" t="s">
        <v>3932</v>
      </c>
      <c r="I541" s="5" t="s">
        <v>26</v>
      </c>
      <c r="J541" s="5" t="s">
        <v>5637</v>
      </c>
      <c r="K541" s="5" t="s">
        <v>1600</v>
      </c>
      <c r="L541" s="22"/>
      <c r="M541" s="8" t="str">
        <f t="shared" si="80"/>
        <v>Ok</v>
      </c>
      <c r="N541" s="9" t="b">
        <f t="shared" si="81"/>
        <v>1</v>
      </c>
      <c r="O541" s="9" t="b">
        <f t="shared" si="82"/>
        <v>0</v>
      </c>
      <c r="P541" s="8" t="str">
        <f t="shared" si="83"/>
        <v>FALSE</v>
      </c>
      <c r="Q541" s="8" t="str">
        <f t="shared" si="84"/>
        <v>FALSE</v>
      </c>
      <c r="R541" s="9" t="b">
        <f t="shared" si="85"/>
        <v>0</v>
      </c>
      <c r="S541" s="8" t="b">
        <f t="shared" si="86"/>
        <v>0</v>
      </c>
      <c r="T541" s="10" t="b">
        <f t="shared" si="87"/>
        <v>0</v>
      </c>
      <c r="U541" s="8" t="str">
        <f t="shared" si="88"/>
        <v>FALSE</v>
      </c>
      <c r="V541" s="11" t="str">
        <f t="shared" si="89"/>
        <v>FALSE</v>
      </c>
    </row>
    <row r="542" spans="1:22" ht="15.75">
      <c r="A542" s="21">
        <v>540</v>
      </c>
      <c r="B542" s="5" t="s">
        <v>1601</v>
      </c>
      <c r="C542" s="23" t="s">
        <v>3914</v>
      </c>
      <c r="D542" s="23" t="s">
        <v>17</v>
      </c>
      <c r="E542" s="5" t="s">
        <v>1602</v>
      </c>
      <c r="F542" s="71" t="s">
        <v>6104</v>
      </c>
      <c r="G542" s="22" t="s">
        <v>85</v>
      </c>
      <c r="H542" s="5" t="s">
        <v>120</v>
      </c>
      <c r="I542" s="5" t="s">
        <v>26</v>
      </c>
      <c r="J542" s="5" t="s">
        <v>5541</v>
      </c>
      <c r="K542" s="5" t="s">
        <v>1603</v>
      </c>
      <c r="L542" s="22"/>
      <c r="M542" s="8" t="str">
        <f t="shared" si="80"/>
        <v>Ok</v>
      </c>
      <c r="N542" s="9" t="b">
        <f t="shared" si="81"/>
        <v>0</v>
      </c>
      <c r="O542" s="9" t="b">
        <f t="shared" si="82"/>
        <v>1</v>
      </c>
      <c r="P542" s="8" t="str">
        <f t="shared" si="83"/>
        <v>FALSE</v>
      </c>
      <c r="Q542" s="8" t="str">
        <f t="shared" si="84"/>
        <v>FALSE</v>
      </c>
      <c r="R542" s="9" t="b">
        <f t="shared" si="85"/>
        <v>1</v>
      </c>
      <c r="S542" s="8" t="b">
        <f t="shared" si="86"/>
        <v>1</v>
      </c>
      <c r="T542" s="10" t="b">
        <f t="shared" si="87"/>
        <v>0</v>
      </c>
      <c r="U542" s="8" t="str">
        <f t="shared" si="88"/>
        <v>FALSE</v>
      </c>
      <c r="V542" s="11" t="str">
        <f t="shared" si="89"/>
        <v>TRUE</v>
      </c>
    </row>
    <row r="543" spans="1:22" ht="15.75">
      <c r="A543" s="21">
        <v>541</v>
      </c>
      <c r="B543" s="5" t="s">
        <v>1604</v>
      </c>
      <c r="C543" s="23" t="s">
        <v>3247</v>
      </c>
      <c r="D543" s="23" t="s">
        <v>77</v>
      </c>
      <c r="E543" s="5" t="s">
        <v>1605</v>
      </c>
      <c r="F543" s="71" t="s">
        <v>6104</v>
      </c>
      <c r="G543" s="22" t="s">
        <v>179</v>
      </c>
      <c r="H543" s="5" t="s">
        <v>3932</v>
      </c>
      <c r="I543" s="5" t="s">
        <v>50</v>
      </c>
      <c r="J543" s="5" t="s">
        <v>5255</v>
      </c>
      <c r="K543" s="5">
        <v>846693458</v>
      </c>
      <c r="L543" s="22"/>
      <c r="M543" s="8" t="str">
        <f t="shared" si="80"/>
        <v>Ok</v>
      </c>
      <c r="N543" s="9" t="b">
        <f t="shared" si="81"/>
        <v>1</v>
      </c>
      <c r="O543" s="9" t="b">
        <f t="shared" si="82"/>
        <v>0</v>
      </c>
      <c r="P543" s="8" t="str">
        <f t="shared" si="83"/>
        <v>FALSE</v>
      </c>
      <c r="Q543" s="8" t="str">
        <f t="shared" si="84"/>
        <v>FALSE</v>
      </c>
      <c r="R543" s="9" t="b">
        <f t="shared" si="85"/>
        <v>1</v>
      </c>
      <c r="S543" s="8" t="b">
        <f t="shared" si="86"/>
        <v>0</v>
      </c>
      <c r="T543" s="10" t="b">
        <f t="shared" si="87"/>
        <v>0</v>
      </c>
      <c r="U543" s="8" t="str">
        <f t="shared" si="88"/>
        <v>TRUE</v>
      </c>
      <c r="V543" s="11" t="str">
        <f t="shared" si="89"/>
        <v>FALSE</v>
      </c>
    </row>
    <row r="544" spans="1:22" ht="15.75">
      <c r="A544" s="21">
        <v>542</v>
      </c>
      <c r="B544" s="5" t="s">
        <v>1606</v>
      </c>
      <c r="C544" s="23" t="s">
        <v>3915</v>
      </c>
      <c r="D544" s="23" t="s">
        <v>17</v>
      </c>
      <c r="E544" s="5" t="s">
        <v>1607</v>
      </c>
      <c r="F544" s="71" t="s">
        <v>6104</v>
      </c>
      <c r="G544" s="22" t="s">
        <v>85</v>
      </c>
      <c r="H544" s="5" t="s">
        <v>120</v>
      </c>
      <c r="I544" s="5" t="s">
        <v>67</v>
      </c>
      <c r="J544" s="5" t="s">
        <v>5605</v>
      </c>
      <c r="K544" s="5" t="s">
        <v>1608</v>
      </c>
      <c r="L544" s="22"/>
      <c r="M544" s="8" t="str">
        <f t="shared" si="80"/>
        <v>Ok</v>
      </c>
      <c r="N544" s="9" t="b">
        <f t="shared" si="81"/>
        <v>0</v>
      </c>
      <c r="O544" s="9" t="b">
        <f t="shared" si="82"/>
        <v>1</v>
      </c>
      <c r="P544" s="8" t="str">
        <f t="shared" si="83"/>
        <v>FALSE</v>
      </c>
      <c r="Q544" s="8" t="str">
        <f t="shared" si="84"/>
        <v>FALSE</v>
      </c>
      <c r="R544" s="9" t="b">
        <f t="shared" si="85"/>
        <v>1</v>
      </c>
      <c r="S544" s="8" t="b">
        <f t="shared" si="86"/>
        <v>1</v>
      </c>
      <c r="T544" s="10" t="b">
        <f t="shared" si="87"/>
        <v>0</v>
      </c>
      <c r="U544" s="8" t="str">
        <f t="shared" si="88"/>
        <v>FALSE</v>
      </c>
      <c r="V544" s="11" t="str">
        <f t="shared" si="89"/>
        <v>TRUE</v>
      </c>
    </row>
    <row r="545" spans="1:22" ht="15.75">
      <c r="A545" s="21">
        <v>543</v>
      </c>
      <c r="B545" s="5" t="s">
        <v>1609</v>
      </c>
      <c r="C545" s="23" t="s">
        <v>3710</v>
      </c>
      <c r="D545" s="23" t="s">
        <v>59</v>
      </c>
      <c r="E545" s="5" t="s">
        <v>1610</v>
      </c>
      <c r="F545" s="71" t="s">
        <v>6104</v>
      </c>
      <c r="G545" s="22" t="s">
        <v>3934</v>
      </c>
      <c r="H545" s="5" t="s">
        <v>13</v>
      </c>
      <c r="I545" s="5" t="s">
        <v>26</v>
      </c>
      <c r="J545" s="5" t="s">
        <v>5552</v>
      </c>
      <c r="K545" s="5" t="s">
        <v>1611</v>
      </c>
      <c r="L545" s="22"/>
      <c r="M545" s="8" t="str">
        <f t="shared" si="80"/>
        <v>Ok</v>
      </c>
      <c r="N545" s="9" t="b">
        <f t="shared" si="81"/>
        <v>0</v>
      </c>
      <c r="O545" s="9" t="b">
        <f t="shared" si="82"/>
        <v>1</v>
      </c>
      <c r="P545" s="8" t="str">
        <f t="shared" si="83"/>
        <v>FALSE</v>
      </c>
      <c r="Q545" s="8" t="str">
        <f t="shared" si="84"/>
        <v>FALSE</v>
      </c>
      <c r="R545" s="9" t="b">
        <f t="shared" si="85"/>
        <v>0</v>
      </c>
      <c r="S545" s="8" t="b">
        <f t="shared" si="86"/>
        <v>0</v>
      </c>
      <c r="T545" s="10" t="b">
        <f t="shared" si="87"/>
        <v>0</v>
      </c>
      <c r="U545" s="8" t="str">
        <f t="shared" si="88"/>
        <v>FALSE</v>
      </c>
      <c r="V545" s="11" t="str">
        <f t="shared" si="89"/>
        <v>TRUE</v>
      </c>
    </row>
    <row r="546" spans="1:22" ht="15.75">
      <c r="A546" s="21">
        <v>544</v>
      </c>
      <c r="B546" s="5" t="s">
        <v>1612</v>
      </c>
      <c r="C546" s="23" t="s">
        <v>3023</v>
      </c>
      <c r="D546" s="23" t="s">
        <v>34</v>
      </c>
      <c r="E546" s="5" t="s">
        <v>255</v>
      </c>
      <c r="F546" s="71" t="s">
        <v>6104</v>
      </c>
      <c r="G546" s="22" t="s">
        <v>179</v>
      </c>
      <c r="H546" s="5" t="s">
        <v>3932</v>
      </c>
      <c r="I546" s="5" t="s">
        <v>56</v>
      </c>
      <c r="J546" s="5" t="s">
        <v>5467</v>
      </c>
      <c r="K546" s="5" t="s">
        <v>1613</v>
      </c>
      <c r="L546" s="22"/>
      <c r="M546" s="8" t="str">
        <f t="shared" si="80"/>
        <v>Ok</v>
      </c>
      <c r="N546" s="9" t="b">
        <f t="shared" si="81"/>
        <v>0</v>
      </c>
      <c r="O546" s="9" t="b">
        <f t="shared" si="82"/>
        <v>0</v>
      </c>
      <c r="P546" s="8" t="str">
        <f t="shared" si="83"/>
        <v>FALSE</v>
      </c>
      <c r="Q546" s="8" t="str">
        <f t="shared" si="84"/>
        <v>FALSE</v>
      </c>
      <c r="R546" s="9" t="b">
        <f t="shared" si="85"/>
        <v>1</v>
      </c>
      <c r="S546" s="8" t="b">
        <f t="shared" si="86"/>
        <v>0</v>
      </c>
      <c r="T546" s="10" t="b">
        <f t="shared" si="87"/>
        <v>1</v>
      </c>
      <c r="U546" s="8" t="str">
        <f t="shared" si="88"/>
        <v>FALSE</v>
      </c>
      <c r="V546" s="11" t="str">
        <f t="shared" si="89"/>
        <v>TRUE</v>
      </c>
    </row>
    <row r="547" spans="1:22" ht="15.75">
      <c r="A547" s="21">
        <v>545</v>
      </c>
      <c r="B547" s="5" t="s">
        <v>1614</v>
      </c>
      <c r="C547" s="23" t="s">
        <v>3837</v>
      </c>
      <c r="D547" s="23" t="s">
        <v>59</v>
      </c>
      <c r="E547" s="5" t="s">
        <v>1615</v>
      </c>
      <c r="F547" s="71" t="s">
        <v>6104</v>
      </c>
      <c r="G547" s="22" t="s">
        <v>144</v>
      </c>
      <c r="H547" s="5" t="s">
        <v>25</v>
      </c>
      <c r="I547" s="5" t="s">
        <v>56</v>
      </c>
      <c r="J547" s="5" t="s">
        <v>5521</v>
      </c>
      <c r="K547" s="5" t="s">
        <v>1616</v>
      </c>
      <c r="L547" s="22"/>
      <c r="M547" s="8" t="str">
        <f t="shared" si="80"/>
        <v>Ok</v>
      </c>
      <c r="N547" s="9" t="b">
        <f t="shared" si="81"/>
        <v>0</v>
      </c>
      <c r="O547" s="9" t="b">
        <f t="shared" si="82"/>
        <v>1</v>
      </c>
      <c r="P547" s="8" t="str">
        <f t="shared" si="83"/>
        <v>FALSE</v>
      </c>
      <c r="Q547" s="8" t="str">
        <f t="shared" si="84"/>
        <v>FALSE</v>
      </c>
      <c r="R547" s="9" t="b">
        <f t="shared" si="85"/>
        <v>1</v>
      </c>
      <c r="S547" s="8" t="b">
        <f t="shared" si="86"/>
        <v>0</v>
      </c>
      <c r="T547" s="10" t="b">
        <f t="shared" si="87"/>
        <v>1</v>
      </c>
      <c r="U547" s="8" t="str">
        <f t="shared" si="88"/>
        <v>FALSE</v>
      </c>
      <c r="V547" s="11" t="str">
        <f t="shared" si="89"/>
        <v>TRUE</v>
      </c>
    </row>
    <row r="548" spans="1:22" ht="15.75">
      <c r="A548" s="21">
        <v>546</v>
      </c>
      <c r="B548" s="5" t="s">
        <v>1617</v>
      </c>
      <c r="C548" s="23" t="s">
        <v>3024</v>
      </c>
      <c r="D548" s="23" t="s">
        <v>34</v>
      </c>
      <c r="E548" s="5" t="s">
        <v>1618</v>
      </c>
      <c r="F548" s="71" t="s">
        <v>6104</v>
      </c>
      <c r="G548" s="22" t="s">
        <v>74</v>
      </c>
      <c r="H548" s="5" t="s">
        <v>41</v>
      </c>
      <c r="I548" s="5" t="s">
        <v>14</v>
      </c>
      <c r="J548" s="5" t="s">
        <v>5461</v>
      </c>
      <c r="K548" s="5" t="s">
        <v>1619</v>
      </c>
      <c r="L548" s="22"/>
      <c r="M548" s="8" t="str">
        <f t="shared" si="80"/>
        <v>Ok</v>
      </c>
      <c r="N548" s="9" t="b">
        <f t="shared" si="81"/>
        <v>0</v>
      </c>
      <c r="O548" s="9" t="b">
        <f t="shared" si="82"/>
        <v>0</v>
      </c>
      <c r="P548" s="8" t="str">
        <f t="shared" si="83"/>
        <v>FALSE</v>
      </c>
      <c r="Q548" s="8" t="str">
        <f t="shared" si="84"/>
        <v>FALSE</v>
      </c>
      <c r="R548" s="9" t="b">
        <f t="shared" si="85"/>
        <v>0</v>
      </c>
      <c r="S548" s="8" t="b">
        <f t="shared" si="86"/>
        <v>0</v>
      </c>
      <c r="T548" s="10" t="b">
        <f t="shared" si="87"/>
        <v>1</v>
      </c>
      <c r="U548" s="8" t="str">
        <f t="shared" si="88"/>
        <v>FALSE</v>
      </c>
      <c r="V548" s="11" t="str">
        <f t="shared" si="89"/>
        <v>TRUE</v>
      </c>
    </row>
    <row r="549" spans="1:22" ht="15.75">
      <c r="A549" s="21">
        <v>547</v>
      </c>
      <c r="B549" s="5" t="s">
        <v>1620</v>
      </c>
      <c r="C549" s="23" t="s">
        <v>3838</v>
      </c>
      <c r="D549" s="23" t="s">
        <v>59</v>
      </c>
      <c r="E549" s="5" t="s">
        <v>1621</v>
      </c>
      <c r="F549" s="71" t="s">
        <v>6104</v>
      </c>
      <c r="G549" s="22" t="s">
        <v>144</v>
      </c>
      <c r="H549" s="5" t="s">
        <v>25</v>
      </c>
      <c r="I549" s="5" t="s">
        <v>67</v>
      </c>
      <c r="J549" s="5" t="s">
        <v>5183</v>
      </c>
      <c r="K549" s="5" t="s">
        <v>1622</v>
      </c>
      <c r="L549" s="22"/>
      <c r="M549" s="8" t="str">
        <f t="shared" si="80"/>
        <v>Ok</v>
      </c>
      <c r="N549" s="9" t="b">
        <f t="shared" si="81"/>
        <v>0</v>
      </c>
      <c r="O549" s="9" t="b">
        <f t="shared" si="82"/>
        <v>1</v>
      </c>
      <c r="P549" s="8" t="str">
        <f t="shared" si="83"/>
        <v>FALSE</v>
      </c>
      <c r="Q549" s="8" t="str">
        <f t="shared" si="84"/>
        <v>FALSE</v>
      </c>
      <c r="R549" s="9" t="b">
        <f t="shared" si="85"/>
        <v>1</v>
      </c>
      <c r="S549" s="8" t="b">
        <f t="shared" si="86"/>
        <v>0</v>
      </c>
      <c r="T549" s="10" t="b">
        <f t="shared" si="87"/>
        <v>0</v>
      </c>
      <c r="U549" s="8" t="str">
        <f t="shared" si="88"/>
        <v>TRUE</v>
      </c>
      <c r="V549" s="11" t="str">
        <f t="shared" si="89"/>
        <v>TRUE</v>
      </c>
    </row>
    <row r="550" spans="1:22" ht="15.75">
      <c r="A550" s="21">
        <v>548</v>
      </c>
      <c r="B550" s="5" t="s">
        <v>1623</v>
      </c>
      <c r="C550" s="23" t="s">
        <v>3387</v>
      </c>
      <c r="D550" s="23" t="s">
        <v>17</v>
      </c>
      <c r="E550" s="5" t="s">
        <v>1624</v>
      </c>
      <c r="F550" s="71" t="s">
        <v>6104</v>
      </c>
      <c r="G550" s="22" t="s">
        <v>3933</v>
      </c>
      <c r="H550" s="5" t="s">
        <v>3932</v>
      </c>
      <c r="I550" s="5" t="s">
        <v>50</v>
      </c>
      <c r="J550" s="5" t="s">
        <v>4796</v>
      </c>
      <c r="K550" s="5" t="s">
        <v>1625</v>
      </c>
      <c r="L550" s="22"/>
      <c r="M550" s="8" t="str">
        <f t="shared" si="80"/>
        <v>Ok</v>
      </c>
      <c r="N550" s="9" t="b">
        <f t="shared" si="81"/>
        <v>1</v>
      </c>
      <c r="O550" s="9" t="b">
        <f t="shared" si="82"/>
        <v>1</v>
      </c>
      <c r="P550" s="8" t="str">
        <f t="shared" si="83"/>
        <v>FALSE</v>
      </c>
      <c r="Q550" s="8" t="str">
        <f t="shared" si="84"/>
        <v>FALSE</v>
      </c>
      <c r="R550" s="9" t="b">
        <f t="shared" si="85"/>
        <v>0</v>
      </c>
      <c r="S550" s="8" t="b">
        <f t="shared" si="86"/>
        <v>0</v>
      </c>
      <c r="T550" s="10" t="b">
        <f t="shared" si="87"/>
        <v>0</v>
      </c>
      <c r="U550" s="8" t="str">
        <f t="shared" si="88"/>
        <v>TRUE</v>
      </c>
      <c r="V550" s="11" t="str">
        <f t="shared" si="89"/>
        <v>TRUE</v>
      </c>
    </row>
    <row r="551" spans="1:22" ht="15.75">
      <c r="A551" s="21">
        <v>549</v>
      </c>
      <c r="B551" s="5" t="s">
        <v>1626</v>
      </c>
      <c r="C551" s="23" t="s">
        <v>3248</v>
      </c>
      <c r="D551" s="23" t="s">
        <v>77</v>
      </c>
      <c r="E551" s="5" t="s">
        <v>1627</v>
      </c>
      <c r="F551" s="71" t="s">
        <v>6104</v>
      </c>
      <c r="G551" s="22" t="s">
        <v>179</v>
      </c>
      <c r="H551" s="5" t="s">
        <v>3932</v>
      </c>
      <c r="I551" s="5" t="s">
        <v>67</v>
      </c>
      <c r="J551" s="5" t="s">
        <v>5083</v>
      </c>
      <c r="K551" s="5" t="s">
        <v>1628</v>
      </c>
      <c r="L551" s="22"/>
      <c r="M551" s="8" t="str">
        <f t="shared" si="80"/>
        <v>Ok</v>
      </c>
      <c r="N551" s="9" t="b">
        <f t="shared" si="81"/>
        <v>1</v>
      </c>
      <c r="O551" s="9" t="b">
        <f t="shared" si="82"/>
        <v>0</v>
      </c>
      <c r="P551" s="8" t="str">
        <f t="shared" si="83"/>
        <v>FALSE</v>
      </c>
      <c r="Q551" s="8" t="str">
        <f t="shared" si="84"/>
        <v>FALSE</v>
      </c>
      <c r="R551" s="9" t="b">
        <f t="shared" si="85"/>
        <v>1</v>
      </c>
      <c r="S551" s="8" t="b">
        <f t="shared" si="86"/>
        <v>0</v>
      </c>
      <c r="T551" s="10" t="b">
        <f t="shared" si="87"/>
        <v>0</v>
      </c>
      <c r="U551" s="8" t="str">
        <f t="shared" si="88"/>
        <v>TRUE</v>
      </c>
      <c r="V551" s="11" t="str">
        <f t="shared" si="89"/>
        <v>TRUE</v>
      </c>
    </row>
    <row r="552" spans="1:22" ht="15.75">
      <c r="A552" s="21">
        <v>550</v>
      </c>
      <c r="B552" s="5" t="s">
        <v>1629</v>
      </c>
      <c r="C552" s="23" t="s">
        <v>3025</v>
      </c>
      <c r="D552" s="23" t="s">
        <v>34</v>
      </c>
      <c r="E552" s="5" t="s">
        <v>1630</v>
      </c>
      <c r="F552" s="71" t="s">
        <v>6104</v>
      </c>
      <c r="G552" s="22" t="s">
        <v>74</v>
      </c>
      <c r="H552" s="5" t="s">
        <v>41</v>
      </c>
      <c r="I552" s="5" t="s">
        <v>50</v>
      </c>
      <c r="J552" s="5" t="s">
        <v>4845</v>
      </c>
      <c r="K552" s="5" t="s">
        <v>1631</v>
      </c>
      <c r="L552" s="22"/>
      <c r="M552" s="8" t="str">
        <f t="shared" si="80"/>
        <v>Ok</v>
      </c>
      <c r="N552" s="9" t="b">
        <f t="shared" si="81"/>
        <v>0</v>
      </c>
      <c r="O552" s="9" t="b">
        <f t="shared" si="82"/>
        <v>0</v>
      </c>
      <c r="P552" s="8" t="str">
        <f t="shared" si="83"/>
        <v>FALSE</v>
      </c>
      <c r="Q552" s="8" t="str">
        <f t="shared" si="84"/>
        <v>FALSE</v>
      </c>
      <c r="R552" s="9" t="b">
        <f t="shared" si="85"/>
        <v>0</v>
      </c>
      <c r="S552" s="8" t="b">
        <f t="shared" si="86"/>
        <v>0</v>
      </c>
      <c r="T552" s="10" t="b">
        <f t="shared" si="87"/>
        <v>0</v>
      </c>
      <c r="U552" s="8" t="str">
        <f t="shared" si="88"/>
        <v>TRUE</v>
      </c>
      <c r="V552" s="11" t="str">
        <f t="shared" si="89"/>
        <v>FALSE</v>
      </c>
    </row>
    <row r="553" spans="1:22" ht="15.75">
      <c r="A553" s="21">
        <v>551</v>
      </c>
      <c r="B553" s="5" t="s">
        <v>1632</v>
      </c>
      <c r="C553" s="23" t="s">
        <v>3152</v>
      </c>
      <c r="D553" s="23" t="s">
        <v>77</v>
      </c>
      <c r="E553" s="5" t="s">
        <v>1633</v>
      </c>
      <c r="F553" s="71" t="s">
        <v>6104</v>
      </c>
      <c r="G553" s="22" t="s">
        <v>179</v>
      </c>
      <c r="H553" s="5" t="s">
        <v>3932</v>
      </c>
      <c r="I553" s="5" t="s">
        <v>21</v>
      </c>
      <c r="J553" s="5" t="s">
        <v>4801</v>
      </c>
      <c r="K553" s="5" t="s">
        <v>1634</v>
      </c>
      <c r="L553" s="22"/>
      <c r="M553" s="8" t="str">
        <f t="shared" si="80"/>
        <v>Ok</v>
      </c>
      <c r="N553" s="9" t="b">
        <f t="shared" si="81"/>
        <v>0</v>
      </c>
      <c r="O553" s="9" t="b">
        <f t="shared" si="82"/>
        <v>0</v>
      </c>
      <c r="P553" s="8" t="str">
        <f t="shared" si="83"/>
        <v>FALSE</v>
      </c>
      <c r="Q553" s="8" t="str">
        <f t="shared" si="84"/>
        <v>FALSE</v>
      </c>
      <c r="R553" s="9" t="b">
        <f t="shared" si="85"/>
        <v>1</v>
      </c>
      <c r="S553" s="8" t="b">
        <f t="shared" si="86"/>
        <v>0</v>
      </c>
      <c r="T553" s="10" t="b">
        <f t="shared" si="87"/>
        <v>0</v>
      </c>
      <c r="U553" s="8" t="str">
        <f t="shared" si="88"/>
        <v>TRUE</v>
      </c>
      <c r="V553" s="11" t="str">
        <f t="shared" si="89"/>
        <v>TRUE</v>
      </c>
    </row>
    <row r="554" spans="1:22" ht="15.75">
      <c r="A554" s="21">
        <v>552</v>
      </c>
      <c r="B554" s="5" t="s">
        <v>1635</v>
      </c>
      <c r="C554" s="23" t="s">
        <v>3791</v>
      </c>
      <c r="D554" s="23" t="s">
        <v>59</v>
      </c>
      <c r="E554" s="5" t="s">
        <v>1636</v>
      </c>
      <c r="F554" s="71" t="s">
        <v>6104</v>
      </c>
      <c r="G554" s="22" t="s">
        <v>24</v>
      </c>
      <c r="H554" s="5" t="s">
        <v>25</v>
      </c>
      <c r="I554" s="5" t="s">
        <v>67</v>
      </c>
      <c r="J554" s="5" t="s">
        <v>5382</v>
      </c>
      <c r="K554" s="5" t="s">
        <v>1637</v>
      </c>
      <c r="L554" s="22"/>
      <c r="M554" s="8" t="str">
        <f t="shared" si="80"/>
        <v>Ok</v>
      </c>
      <c r="N554" s="9" t="b">
        <f t="shared" si="81"/>
        <v>0</v>
      </c>
      <c r="O554" s="9" t="b">
        <f t="shared" si="82"/>
        <v>1</v>
      </c>
      <c r="P554" s="8" t="str">
        <f t="shared" si="83"/>
        <v>FALSE</v>
      </c>
      <c r="Q554" s="8" t="str">
        <f t="shared" si="84"/>
        <v>FALSE</v>
      </c>
      <c r="R554" s="9" t="b">
        <f t="shared" si="85"/>
        <v>0</v>
      </c>
      <c r="S554" s="8" t="b">
        <f t="shared" si="86"/>
        <v>0</v>
      </c>
      <c r="T554" s="10" t="b">
        <f t="shared" si="87"/>
        <v>0</v>
      </c>
      <c r="U554" s="8" t="str">
        <f t="shared" si="88"/>
        <v>TRUE</v>
      </c>
      <c r="V554" s="11" t="str">
        <f t="shared" si="89"/>
        <v>TRUE</v>
      </c>
    </row>
    <row r="555" spans="1:22" ht="15.75">
      <c r="A555" s="21">
        <v>553</v>
      </c>
      <c r="B555" s="5" t="s">
        <v>1638</v>
      </c>
      <c r="C555" s="23" t="s">
        <v>3492</v>
      </c>
      <c r="D555" s="23" t="s">
        <v>77</v>
      </c>
      <c r="E555" s="5" t="s">
        <v>1639</v>
      </c>
      <c r="F555" s="71" t="s">
        <v>6104</v>
      </c>
      <c r="G555" s="22" t="s">
        <v>160</v>
      </c>
      <c r="H555" s="5" t="s">
        <v>3932</v>
      </c>
      <c r="I555" s="5" t="s">
        <v>50</v>
      </c>
      <c r="J555" s="5" t="s">
        <v>4897</v>
      </c>
      <c r="K555" s="5" t="s">
        <v>1640</v>
      </c>
      <c r="L555" s="22"/>
      <c r="M555" s="8" t="str">
        <f t="shared" si="80"/>
        <v>Ok</v>
      </c>
      <c r="N555" s="9" t="b">
        <f t="shared" si="81"/>
        <v>1</v>
      </c>
      <c r="O555" s="9" t="b">
        <f t="shared" si="82"/>
        <v>0</v>
      </c>
      <c r="P555" s="8" t="str">
        <f t="shared" si="83"/>
        <v>FALSE</v>
      </c>
      <c r="Q555" s="8" t="str">
        <f t="shared" si="84"/>
        <v>FALSE</v>
      </c>
      <c r="R555" s="9" t="b">
        <f t="shared" si="85"/>
        <v>0</v>
      </c>
      <c r="S555" s="8" t="b">
        <f t="shared" si="86"/>
        <v>0</v>
      </c>
      <c r="T555" s="10" t="b">
        <f t="shared" si="87"/>
        <v>0</v>
      </c>
      <c r="U555" s="8" t="str">
        <f t="shared" si="88"/>
        <v>TRUE</v>
      </c>
      <c r="V555" s="11" t="str">
        <f t="shared" si="89"/>
        <v>TRUE</v>
      </c>
    </row>
    <row r="556" spans="1:22" ht="15.75">
      <c r="A556" s="21">
        <v>554</v>
      </c>
      <c r="B556" s="5" t="s">
        <v>1641</v>
      </c>
      <c r="C556" s="23" t="s">
        <v>3306</v>
      </c>
      <c r="D556" s="23" t="s">
        <v>77</v>
      </c>
      <c r="E556" s="5" t="s">
        <v>1642</v>
      </c>
      <c r="F556" s="71" t="s">
        <v>6104</v>
      </c>
      <c r="G556" s="22" t="s">
        <v>179</v>
      </c>
      <c r="H556" s="5" t="s">
        <v>3932</v>
      </c>
      <c r="I556" s="5" t="s">
        <v>26</v>
      </c>
      <c r="J556" s="5" t="s">
        <v>5704</v>
      </c>
      <c r="K556" s="5" t="s">
        <v>1643</v>
      </c>
      <c r="L556" s="22"/>
      <c r="M556" s="8" t="str">
        <f t="shared" si="80"/>
        <v>Ok</v>
      </c>
      <c r="N556" s="9" t="b">
        <f t="shared" si="81"/>
        <v>1</v>
      </c>
      <c r="O556" s="9" t="b">
        <f t="shared" si="82"/>
        <v>0</v>
      </c>
      <c r="P556" s="8" t="str">
        <f t="shared" si="83"/>
        <v>FALSE</v>
      </c>
      <c r="Q556" s="8" t="str">
        <f t="shared" si="84"/>
        <v>FALSE</v>
      </c>
      <c r="R556" s="9" t="b">
        <f t="shared" si="85"/>
        <v>1</v>
      </c>
      <c r="S556" s="8" t="b">
        <f t="shared" si="86"/>
        <v>0</v>
      </c>
      <c r="T556" s="10" t="b">
        <f t="shared" si="87"/>
        <v>0</v>
      </c>
      <c r="U556" s="8" t="str">
        <f t="shared" si="88"/>
        <v>FALSE</v>
      </c>
      <c r="V556" s="11" t="str">
        <f t="shared" si="89"/>
        <v>TRUE</v>
      </c>
    </row>
    <row r="557" spans="1:22" ht="15.75">
      <c r="A557" s="21">
        <v>555</v>
      </c>
      <c r="B557" s="5" t="s">
        <v>1644</v>
      </c>
      <c r="C557" s="23" t="s">
        <v>3493</v>
      </c>
      <c r="D557" s="23" t="s">
        <v>77</v>
      </c>
      <c r="E557" s="5" t="s">
        <v>1645</v>
      </c>
      <c r="F557" s="71" t="s">
        <v>6104</v>
      </c>
      <c r="G557" s="22" t="s">
        <v>160</v>
      </c>
      <c r="H557" s="5" t="s">
        <v>3932</v>
      </c>
      <c r="I557" s="5" t="s">
        <v>56</v>
      </c>
      <c r="J557" s="5" t="s">
        <v>5072</v>
      </c>
      <c r="K557" s="5" t="s">
        <v>1646</v>
      </c>
      <c r="L557" s="22"/>
      <c r="M557" s="8" t="str">
        <f t="shared" si="80"/>
        <v>Ok</v>
      </c>
      <c r="N557" s="9" t="b">
        <f t="shared" si="81"/>
        <v>1</v>
      </c>
      <c r="O557" s="9" t="b">
        <f t="shared" si="82"/>
        <v>0</v>
      </c>
      <c r="P557" s="8" t="str">
        <f t="shared" si="83"/>
        <v>FALSE</v>
      </c>
      <c r="Q557" s="8" t="str">
        <f t="shared" si="84"/>
        <v>FALSE</v>
      </c>
      <c r="R557" s="9" t="b">
        <f t="shared" si="85"/>
        <v>0</v>
      </c>
      <c r="S557" s="8" t="b">
        <f t="shared" si="86"/>
        <v>0</v>
      </c>
      <c r="T557" s="10" t="b">
        <f t="shared" si="87"/>
        <v>1</v>
      </c>
      <c r="U557" s="8" t="str">
        <f t="shared" si="88"/>
        <v>TRUE</v>
      </c>
      <c r="V557" s="11" t="str">
        <f t="shared" si="89"/>
        <v>TRUE</v>
      </c>
    </row>
    <row r="558" spans="1:22" ht="15.75">
      <c r="A558" s="21">
        <v>556</v>
      </c>
      <c r="B558" s="5" t="s">
        <v>1647</v>
      </c>
      <c r="C558" s="23" t="s">
        <v>3916</v>
      </c>
      <c r="D558" s="23" t="s">
        <v>17</v>
      </c>
      <c r="E558" s="5" t="s">
        <v>1648</v>
      </c>
      <c r="F558" s="71" t="s">
        <v>6104</v>
      </c>
      <c r="G558" s="22" t="s">
        <v>119</v>
      </c>
      <c r="H558" s="5" t="s">
        <v>120</v>
      </c>
      <c r="I558" s="5" t="s">
        <v>42</v>
      </c>
      <c r="J558" s="5" t="s">
        <v>5076</v>
      </c>
      <c r="K558" s="5" t="s">
        <v>1649</v>
      </c>
      <c r="L558" s="22"/>
      <c r="M558" s="8" t="str">
        <f t="shared" si="80"/>
        <v>Ok</v>
      </c>
      <c r="N558" s="9" t="b">
        <f t="shared" si="81"/>
        <v>0</v>
      </c>
      <c r="O558" s="9" t="b">
        <f t="shared" si="82"/>
        <v>1</v>
      </c>
      <c r="P558" s="8" t="str">
        <f t="shared" si="83"/>
        <v>FALSE</v>
      </c>
      <c r="Q558" s="8" t="str">
        <f t="shared" si="84"/>
        <v>FALSE</v>
      </c>
      <c r="R558" s="9" t="b">
        <f t="shared" si="85"/>
        <v>0</v>
      </c>
      <c r="S558" s="8" t="b">
        <f t="shared" si="86"/>
        <v>1</v>
      </c>
      <c r="T558" s="10" t="b">
        <f t="shared" si="87"/>
        <v>1</v>
      </c>
      <c r="U558" s="8" t="str">
        <f t="shared" si="88"/>
        <v>TRUE</v>
      </c>
      <c r="V558" s="11" t="str">
        <f t="shared" si="89"/>
        <v>TRUE</v>
      </c>
    </row>
    <row r="559" spans="1:22" ht="15.75">
      <c r="A559" s="21">
        <v>557</v>
      </c>
      <c r="B559" s="5" t="s">
        <v>1650</v>
      </c>
      <c r="C559" s="23" t="s">
        <v>3711</v>
      </c>
      <c r="D559" s="23" t="s">
        <v>59</v>
      </c>
      <c r="E559" s="5" t="s">
        <v>1651</v>
      </c>
      <c r="F559" s="71" t="s">
        <v>6104</v>
      </c>
      <c r="G559" s="22" t="s">
        <v>3934</v>
      </c>
      <c r="H559" s="5" t="s">
        <v>13</v>
      </c>
      <c r="I559" s="5" t="s">
        <v>67</v>
      </c>
      <c r="J559" s="5" t="s">
        <v>5392</v>
      </c>
      <c r="K559" s="5" t="s">
        <v>1652</v>
      </c>
      <c r="L559" s="22"/>
      <c r="M559" s="8" t="str">
        <f t="shared" si="80"/>
        <v>Ok</v>
      </c>
      <c r="N559" s="9" t="b">
        <f t="shared" si="81"/>
        <v>0</v>
      </c>
      <c r="O559" s="9" t="b">
        <f t="shared" si="82"/>
        <v>1</v>
      </c>
      <c r="P559" s="8" t="str">
        <f t="shared" si="83"/>
        <v>FALSE</v>
      </c>
      <c r="Q559" s="8" t="str">
        <f t="shared" si="84"/>
        <v>FALSE</v>
      </c>
      <c r="R559" s="9" t="b">
        <f t="shared" si="85"/>
        <v>0</v>
      </c>
      <c r="S559" s="8" t="b">
        <f t="shared" si="86"/>
        <v>0</v>
      </c>
      <c r="T559" s="10" t="b">
        <f t="shared" si="87"/>
        <v>0</v>
      </c>
      <c r="U559" s="8" t="str">
        <f t="shared" si="88"/>
        <v>TRUE</v>
      </c>
      <c r="V559" s="11" t="str">
        <f t="shared" si="89"/>
        <v>TRUE</v>
      </c>
    </row>
    <row r="560" spans="1:22" ht="15.75">
      <c r="A560" s="21">
        <v>558</v>
      </c>
      <c r="B560" s="5" t="s">
        <v>1653</v>
      </c>
      <c r="C560" s="23" t="s">
        <v>3026</v>
      </c>
      <c r="D560" s="23" t="s">
        <v>34</v>
      </c>
      <c r="E560" s="5" t="s">
        <v>1654</v>
      </c>
      <c r="F560" s="71" t="s">
        <v>6104</v>
      </c>
      <c r="G560" s="22" t="s">
        <v>74</v>
      </c>
      <c r="H560" s="5" t="s">
        <v>71</v>
      </c>
      <c r="I560" s="5" t="s">
        <v>50</v>
      </c>
      <c r="J560" s="5" t="s">
        <v>5532</v>
      </c>
      <c r="K560" s="5" t="s">
        <v>1655</v>
      </c>
      <c r="L560" s="22"/>
      <c r="M560" s="8" t="str">
        <f t="shared" si="80"/>
        <v>Ok</v>
      </c>
      <c r="N560" s="9" t="b">
        <f t="shared" si="81"/>
        <v>0</v>
      </c>
      <c r="O560" s="9" t="b">
        <f t="shared" si="82"/>
        <v>0</v>
      </c>
      <c r="P560" s="8" t="str">
        <f t="shared" si="83"/>
        <v>FALSE</v>
      </c>
      <c r="Q560" s="8" t="str">
        <f t="shared" si="84"/>
        <v>FALSE</v>
      </c>
      <c r="R560" s="9" t="b">
        <f t="shared" si="85"/>
        <v>0</v>
      </c>
      <c r="S560" s="8" t="b">
        <f t="shared" si="86"/>
        <v>1</v>
      </c>
      <c r="T560" s="10" t="b">
        <f t="shared" si="87"/>
        <v>0</v>
      </c>
      <c r="U560" s="8" t="str">
        <f t="shared" si="88"/>
        <v>FALSE</v>
      </c>
      <c r="V560" s="11" t="str">
        <f t="shared" si="89"/>
        <v>TRUE</v>
      </c>
    </row>
    <row r="561" spans="1:22" ht="15.75">
      <c r="A561" s="21">
        <v>559</v>
      </c>
      <c r="B561" s="5" t="s">
        <v>1656</v>
      </c>
      <c r="C561" s="23" t="s">
        <v>3494</v>
      </c>
      <c r="D561" s="23" t="s">
        <v>77</v>
      </c>
      <c r="E561" s="5" t="s">
        <v>1657</v>
      </c>
      <c r="F561" s="71" t="s">
        <v>6104</v>
      </c>
      <c r="G561" s="22" t="s">
        <v>160</v>
      </c>
      <c r="H561" s="5" t="s">
        <v>3932</v>
      </c>
      <c r="I561" s="5" t="s">
        <v>26</v>
      </c>
      <c r="J561" s="5" t="s">
        <v>5391</v>
      </c>
      <c r="K561" s="5" t="s">
        <v>1658</v>
      </c>
      <c r="L561" s="22"/>
      <c r="M561" s="8" t="str">
        <f t="shared" si="80"/>
        <v>Ok</v>
      </c>
      <c r="N561" s="9" t="b">
        <f t="shared" si="81"/>
        <v>1</v>
      </c>
      <c r="O561" s="9" t="b">
        <f t="shared" si="82"/>
        <v>0</v>
      </c>
      <c r="P561" s="8" t="str">
        <f t="shared" si="83"/>
        <v>FALSE</v>
      </c>
      <c r="Q561" s="8" t="str">
        <f t="shared" si="84"/>
        <v>FALSE</v>
      </c>
      <c r="R561" s="9" t="b">
        <f t="shared" si="85"/>
        <v>0</v>
      </c>
      <c r="S561" s="8" t="b">
        <f t="shared" si="86"/>
        <v>0</v>
      </c>
      <c r="T561" s="10" t="b">
        <f t="shared" si="87"/>
        <v>0</v>
      </c>
      <c r="U561" s="8" t="str">
        <f t="shared" si="88"/>
        <v>TRUE</v>
      </c>
      <c r="V561" s="11" t="str">
        <f t="shared" si="89"/>
        <v>TRUE</v>
      </c>
    </row>
    <row r="562" spans="1:22" ht="15.75">
      <c r="A562" s="21">
        <v>560</v>
      </c>
      <c r="B562" s="5" t="s">
        <v>3951</v>
      </c>
      <c r="C562" s="23" t="s">
        <v>3153</v>
      </c>
      <c r="D562" s="23" t="s">
        <v>77</v>
      </c>
      <c r="E562" s="5" t="s">
        <v>1659</v>
      </c>
      <c r="F562" s="71" t="s">
        <v>6104</v>
      </c>
      <c r="G562" s="22" t="s">
        <v>179</v>
      </c>
      <c r="H562" s="22" t="s">
        <v>179</v>
      </c>
      <c r="I562" s="5" t="s">
        <v>50</v>
      </c>
      <c r="J562" s="5" t="s">
        <v>5372</v>
      </c>
      <c r="K562" s="5" t="s">
        <v>1660</v>
      </c>
      <c r="L562" s="22"/>
      <c r="M562" s="8" t="str">
        <f t="shared" si="80"/>
        <v>Ok</v>
      </c>
      <c r="N562" s="9" t="b">
        <f t="shared" si="81"/>
        <v>0</v>
      </c>
      <c r="O562" s="9" t="b">
        <f t="shared" si="82"/>
        <v>0</v>
      </c>
      <c r="P562" s="8" t="str">
        <f t="shared" si="83"/>
        <v>FALSE</v>
      </c>
      <c r="Q562" s="8" t="str">
        <f t="shared" si="84"/>
        <v>FALSE</v>
      </c>
      <c r="R562" s="9" t="b">
        <f t="shared" si="85"/>
        <v>1</v>
      </c>
      <c r="S562" s="8" t="b">
        <f t="shared" si="86"/>
        <v>1</v>
      </c>
      <c r="T562" s="10" t="b">
        <f t="shared" si="87"/>
        <v>0</v>
      </c>
      <c r="U562" s="8" t="str">
        <f t="shared" si="88"/>
        <v>TRUE</v>
      </c>
      <c r="V562" s="11" t="str">
        <f t="shared" si="89"/>
        <v>TRUE</v>
      </c>
    </row>
    <row r="563" spans="1:22" ht="15.75">
      <c r="A563" s="21">
        <v>561</v>
      </c>
      <c r="B563" s="5" t="s">
        <v>1661</v>
      </c>
      <c r="C563" s="23" t="s">
        <v>3388</v>
      </c>
      <c r="D563" s="23" t="s">
        <v>17</v>
      </c>
      <c r="E563" s="5" t="s">
        <v>1662</v>
      </c>
      <c r="F563" s="71" t="s">
        <v>6104</v>
      </c>
      <c r="G563" s="22" t="s">
        <v>3933</v>
      </c>
      <c r="H563" s="5" t="s">
        <v>3932</v>
      </c>
      <c r="I563" s="5" t="s">
        <v>56</v>
      </c>
      <c r="J563" s="5" t="s">
        <v>4992</v>
      </c>
      <c r="K563" s="5" t="s">
        <v>1663</v>
      </c>
      <c r="L563" s="22"/>
      <c r="M563" s="8" t="str">
        <f t="shared" si="80"/>
        <v>Ok</v>
      </c>
      <c r="N563" s="9" t="b">
        <f t="shared" si="81"/>
        <v>1</v>
      </c>
      <c r="O563" s="9" t="b">
        <f t="shared" si="82"/>
        <v>1</v>
      </c>
      <c r="P563" s="8" t="str">
        <f t="shared" si="83"/>
        <v>FALSE</v>
      </c>
      <c r="Q563" s="8" t="str">
        <f t="shared" si="84"/>
        <v>FALSE</v>
      </c>
      <c r="R563" s="9" t="b">
        <f t="shared" si="85"/>
        <v>0</v>
      </c>
      <c r="S563" s="8" t="b">
        <f t="shared" si="86"/>
        <v>0</v>
      </c>
      <c r="T563" s="10" t="b">
        <f t="shared" si="87"/>
        <v>1</v>
      </c>
      <c r="U563" s="8" t="str">
        <f t="shared" si="88"/>
        <v>TRUE</v>
      </c>
      <c r="V563" s="11" t="str">
        <f t="shared" si="89"/>
        <v>TRUE</v>
      </c>
    </row>
    <row r="564" spans="1:22" ht="15.75">
      <c r="A564" s="21">
        <v>562</v>
      </c>
      <c r="B564" s="5" t="s">
        <v>1664</v>
      </c>
      <c r="C564" s="23" t="s">
        <v>3495</v>
      </c>
      <c r="D564" s="23" t="s">
        <v>77</v>
      </c>
      <c r="E564" s="5" t="s">
        <v>1665</v>
      </c>
      <c r="F564" s="71" t="s">
        <v>6104</v>
      </c>
      <c r="G564" s="22" t="s">
        <v>160</v>
      </c>
      <c r="H564" s="5" t="s">
        <v>3932</v>
      </c>
      <c r="I564" s="5" t="s">
        <v>56</v>
      </c>
      <c r="J564" s="5" t="s">
        <v>5635</v>
      </c>
      <c r="K564" s="5" t="s">
        <v>1666</v>
      </c>
      <c r="L564" s="22"/>
      <c r="M564" s="8" t="str">
        <f t="shared" si="80"/>
        <v>Ok</v>
      </c>
      <c r="N564" s="9" t="b">
        <f t="shared" si="81"/>
        <v>1</v>
      </c>
      <c r="O564" s="9" t="b">
        <f t="shared" si="82"/>
        <v>0</v>
      </c>
      <c r="P564" s="8" t="str">
        <f t="shared" si="83"/>
        <v>FALSE</v>
      </c>
      <c r="Q564" s="8" t="str">
        <f t="shared" si="84"/>
        <v>FALSE</v>
      </c>
      <c r="R564" s="9" t="b">
        <f t="shared" si="85"/>
        <v>0</v>
      </c>
      <c r="S564" s="8" t="b">
        <f t="shared" si="86"/>
        <v>0</v>
      </c>
      <c r="T564" s="10" t="b">
        <f t="shared" si="87"/>
        <v>1</v>
      </c>
      <c r="U564" s="8" t="str">
        <f t="shared" si="88"/>
        <v>FALSE</v>
      </c>
      <c r="V564" s="11" t="str">
        <f t="shared" si="89"/>
        <v>TRUE</v>
      </c>
    </row>
    <row r="565" spans="1:22" ht="15.75">
      <c r="A565" s="21">
        <v>563</v>
      </c>
      <c r="B565" s="5" t="s">
        <v>1667</v>
      </c>
      <c r="C565" s="23" t="s">
        <v>3839</v>
      </c>
      <c r="D565" s="23" t="s">
        <v>59</v>
      </c>
      <c r="E565" s="5" t="s">
        <v>1668</v>
      </c>
      <c r="F565" s="71" t="s">
        <v>6104</v>
      </c>
      <c r="G565" s="22" t="s">
        <v>144</v>
      </c>
      <c r="H565" s="5" t="s">
        <v>25</v>
      </c>
      <c r="I565" s="5" t="s">
        <v>26</v>
      </c>
      <c r="J565" s="5" t="s">
        <v>5178</v>
      </c>
      <c r="K565" s="5" t="s">
        <v>1669</v>
      </c>
      <c r="L565" s="22"/>
      <c r="M565" s="8" t="str">
        <f t="shared" si="80"/>
        <v>Ok</v>
      </c>
      <c r="N565" s="9" t="b">
        <f t="shared" si="81"/>
        <v>0</v>
      </c>
      <c r="O565" s="9" t="b">
        <f t="shared" si="82"/>
        <v>1</v>
      </c>
      <c r="P565" s="8" t="str">
        <f t="shared" si="83"/>
        <v>FALSE</v>
      </c>
      <c r="Q565" s="8" t="str">
        <f t="shared" si="84"/>
        <v>FALSE</v>
      </c>
      <c r="R565" s="9" t="b">
        <f t="shared" si="85"/>
        <v>1</v>
      </c>
      <c r="S565" s="8" t="b">
        <f t="shared" si="86"/>
        <v>0</v>
      </c>
      <c r="T565" s="10" t="b">
        <f t="shared" si="87"/>
        <v>0</v>
      </c>
      <c r="U565" s="8" t="str">
        <f t="shared" si="88"/>
        <v>TRUE</v>
      </c>
      <c r="V565" s="11" t="str">
        <f t="shared" si="89"/>
        <v>TRUE</v>
      </c>
    </row>
    <row r="566" spans="1:22" ht="15.75">
      <c r="A566" s="21">
        <v>564</v>
      </c>
      <c r="B566" s="5" t="s">
        <v>1670</v>
      </c>
      <c r="C566" s="23" t="s">
        <v>3249</v>
      </c>
      <c r="D566" s="23" t="s">
        <v>77</v>
      </c>
      <c r="E566" s="5" t="s">
        <v>1671</v>
      </c>
      <c r="F566" s="71" t="s">
        <v>6104</v>
      </c>
      <c r="G566" s="22" t="s">
        <v>179</v>
      </c>
      <c r="H566" s="5" t="s">
        <v>3932</v>
      </c>
      <c r="I566" s="5" t="s">
        <v>26</v>
      </c>
      <c r="J566" s="5" t="s">
        <v>4870</v>
      </c>
      <c r="K566" s="5" t="s">
        <v>1672</v>
      </c>
      <c r="L566" s="22"/>
      <c r="M566" s="8" t="str">
        <f t="shared" si="80"/>
        <v>Ok</v>
      </c>
      <c r="N566" s="9" t="b">
        <f t="shared" si="81"/>
        <v>1</v>
      </c>
      <c r="O566" s="9" t="b">
        <f t="shared" si="82"/>
        <v>0</v>
      </c>
      <c r="P566" s="8" t="str">
        <f t="shared" si="83"/>
        <v>FALSE</v>
      </c>
      <c r="Q566" s="8" t="str">
        <f t="shared" si="84"/>
        <v>FALSE</v>
      </c>
      <c r="R566" s="9" t="b">
        <f t="shared" si="85"/>
        <v>1</v>
      </c>
      <c r="S566" s="8" t="b">
        <f t="shared" si="86"/>
        <v>0</v>
      </c>
      <c r="T566" s="10" t="b">
        <f t="shared" si="87"/>
        <v>0</v>
      </c>
      <c r="U566" s="8" t="str">
        <f t="shared" si="88"/>
        <v>TRUE</v>
      </c>
      <c r="V566" s="11" t="str">
        <f t="shared" si="89"/>
        <v>TRUE</v>
      </c>
    </row>
    <row r="567" spans="1:22" ht="15.75">
      <c r="A567" s="21">
        <v>565</v>
      </c>
      <c r="B567" s="5" t="s">
        <v>1673</v>
      </c>
      <c r="C567" s="23" t="s">
        <v>3389</v>
      </c>
      <c r="D567" s="23" t="s">
        <v>17</v>
      </c>
      <c r="E567" s="5" t="s">
        <v>1674</v>
      </c>
      <c r="F567" s="71" t="s">
        <v>6104</v>
      </c>
      <c r="G567" s="22" t="s">
        <v>3933</v>
      </c>
      <c r="H567" s="5" t="s">
        <v>3932</v>
      </c>
      <c r="I567" s="5" t="s">
        <v>14</v>
      </c>
      <c r="J567" s="5" t="s">
        <v>4997</v>
      </c>
      <c r="K567" s="5" t="s">
        <v>1675</v>
      </c>
      <c r="L567" s="22"/>
      <c r="M567" s="8" t="str">
        <f t="shared" si="80"/>
        <v>Ok</v>
      </c>
      <c r="N567" s="9" t="b">
        <f t="shared" si="81"/>
        <v>1</v>
      </c>
      <c r="O567" s="9" t="b">
        <f t="shared" si="82"/>
        <v>1</v>
      </c>
      <c r="P567" s="8" t="str">
        <f t="shared" si="83"/>
        <v>FALSE</v>
      </c>
      <c r="Q567" s="8" t="str">
        <f t="shared" si="84"/>
        <v>FALSE</v>
      </c>
      <c r="R567" s="9" t="b">
        <f t="shared" si="85"/>
        <v>0</v>
      </c>
      <c r="S567" s="8" t="b">
        <f t="shared" si="86"/>
        <v>0</v>
      </c>
      <c r="T567" s="10" t="b">
        <f t="shared" si="87"/>
        <v>1</v>
      </c>
      <c r="U567" s="8" t="str">
        <f t="shared" si="88"/>
        <v>TRUE</v>
      </c>
      <c r="V567" s="11" t="str">
        <f t="shared" si="89"/>
        <v>TRUE</v>
      </c>
    </row>
    <row r="568" spans="1:22" ht="15.75">
      <c r="A568" s="21">
        <v>566</v>
      </c>
      <c r="B568" s="5" t="s">
        <v>1676</v>
      </c>
      <c r="C568" s="23" t="s">
        <v>3095</v>
      </c>
      <c r="D568" s="23" t="s">
        <v>77</v>
      </c>
      <c r="E568" s="5" t="s">
        <v>1677</v>
      </c>
      <c r="F568" s="71" t="s">
        <v>6104</v>
      </c>
      <c r="G568" s="22" t="s">
        <v>179</v>
      </c>
      <c r="H568" s="22" t="s">
        <v>3932</v>
      </c>
      <c r="I568" s="5" t="s">
        <v>67</v>
      </c>
      <c r="J568" s="5" t="s">
        <v>4816</v>
      </c>
      <c r="K568" s="5" t="s">
        <v>1678</v>
      </c>
      <c r="L568" s="22"/>
      <c r="M568" s="8" t="str">
        <f t="shared" si="80"/>
        <v>Ok</v>
      </c>
      <c r="N568" s="9" t="b">
        <f t="shared" si="81"/>
        <v>0</v>
      </c>
      <c r="O568" s="9" t="b">
        <f t="shared" si="82"/>
        <v>0</v>
      </c>
      <c r="P568" s="8" t="str">
        <f t="shared" si="83"/>
        <v>FALSE</v>
      </c>
      <c r="Q568" s="8" t="str">
        <f t="shared" si="84"/>
        <v>FALSE</v>
      </c>
      <c r="R568" s="9" t="b">
        <f t="shared" si="85"/>
        <v>1</v>
      </c>
      <c r="S568" s="8" t="b">
        <f t="shared" si="86"/>
        <v>0</v>
      </c>
      <c r="T568" s="10" t="b">
        <f t="shared" si="87"/>
        <v>0</v>
      </c>
      <c r="U568" s="8" t="str">
        <f t="shared" si="88"/>
        <v>TRUE</v>
      </c>
      <c r="V568" s="11" t="str">
        <f t="shared" si="89"/>
        <v>TRUE</v>
      </c>
    </row>
    <row r="569" spans="1:22" ht="15.75">
      <c r="A569" s="21">
        <v>567</v>
      </c>
      <c r="B569" s="5" t="s">
        <v>1679</v>
      </c>
      <c r="C569" s="23" t="s">
        <v>3154</v>
      </c>
      <c r="D569" s="23" t="s">
        <v>34</v>
      </c>
      <c r="E569" s="5" t="s">
        <v>1680</v>
      </c>
      <c r="F569" s="71" t="s">
        <v>6104</v>
      </c>
      <c r="G569" s="22" t="s">
        <v>179</v>
      </c>
      <c r="H569" s="5" t="s">
        <v>3932</v>
      </c>
      <c r="I569" s="5" t="s">
        <v>21</v>
      </c>
      <c r="J569" s="5" t="s">
        <v>4991</v>
      </c>
      <c r="K569" s="5" t="s">
        <v>1681</v>
      </c>
      <c r="L569" s="22"/>
      <c r="M569" s="8" t="str">
        <f t="shared" si="80"/>
        <v>Ok</v>
      </c>
      <c r="N569" s="9" t="b">
        <f t="shared" si="81"/>
        <v>0</v>
      </c>
      <c r="O569" s="9" t="b">
        <f t="shared" si="82"/>
        <v>0</v>
      </c>
      <c r="P569" s="8" t="str">
        <f t="shared" si="83"/>
        <v>FALSE</v>
      </c>
      <c r="Q569" s="8" t="str">
        <f t="shared" si="84"/>
        <v>FALSE</v>
      </c>
      <c r="R569" s="9" t="b">
        <f t="shared" si="85"/>
        <v>1</v>
      </c>
      <c r="S569" s="8" t="b">
        <f t="shared" si="86"/>
        <v>0</v>
      </c>
      <c r="T569" s="10" t="b">
        <f t="shared" si="87"/>
        <v>0</v>
      </c>
      <c r="U569" s="8" t="str">
        <f t="shared" si="88"/>
        <v>TRUE</v>
      </c>
      <c r="V569" s="11" t="str">
        <f t="shared" si="89"/>
        <v>TRUE</v>
      </c>
    </row>
    <row r="570" spans="1:22" ht="15.75">
      <c r="A570" s="21">
        <v>568</v>
      </c>
      <c r="B570" s="5" t="s">
        <v>1682</v>
      </c>
      <c r="C570" s="23" t="s">
        <v>3496</v>
      </c>
      <c r="D570" s="23" t="s">
        <v>77</v>
      </c>
      <c r="E570" s="5" t="s">
        <v>1683</v>
      </c>
      <c r="F570" s="71" t="s">
        <v>6104</v>
      </c>
      <c r="G570" s="22" t="s">
        <v>160</v>
      </c>
      <c r="H570" s="5" t="s">
        <v>3932</v>
      </c>
      <c r="I570" s="5" t="s">
        <v>14</v>
      </c>
      <c r="J570" s="5" t="s">
        <v>5109</v>
      </c>
      <c r="K570" s="5" t="s">
        <v>1684</v>
      </c>
      <c r="L570" s="22"/>
      <c r="M570" s="8" t="str">
        <f t="shared" si="80"/>
        <v>Ok</v>
      </c>
      <c r="N570" s="9" t="b">
        <f t="shared" si="81"/>
        <v>1</v>
      </c>
      <c r="O570" s="9" t="b">
        <f t="shared" si="82"/>
        <v>0</v>
      </c>
      <c r="P570" s="8" t="str">
        <f t="shared" si="83"/>
        <v>FALSE</v>
      </c>
      <c r="Q570" s="8" t="str">
        <f t="shared" si="84"/>
        <v>FALSE</v>
      </c>
      <c r="R570" s="9" t="b">
        <f t="shared" si="85"/>
        <v>0</v>
      </c>
      <c r="S570" s="8" t="b">
        <f t="shared" si="86"/>
        <v>0</v>
      </c>
      <c r="T570" s="10" t="b">
        <f t="shared" si="87"/>
        <v>1</v>
      </c>
      <c r="U570" s="8" t="str">
        <f t="shared" si="88"/>
        <v>TRUE</v>
      </c>
      <c r="V570" s="11" t="str">
        <f t="shared" si="89"/>
        <v>TRUE</v>
      </c>
    </row>
    <row r="571" spans="1:22" ht="15.75">
      <c r="A571" s="21">
        <v>569</v>
      </c>
      <c r="B571" s="5" t="s">
        <v>1685</v>
      </c>
      <c r="C571" s="23" t="s">
        <v>3497</v>
      </c>
      <c r="D571" s="23" t="s">
        <v>77</v>
      </c>
      <c r="E571" s="5" t="s">
        <v>1686</v>
      </c>
      <c r="F571" s="71" t="s">
        <v>6104</v>
      </c>
      <c r="G571" s="22" t="s">
        <v>160</v>
      </c>
      <c r="H571" s="5" t="s">
        <v>3932</v>
      </c>
      <c r="I571" s="5" t="s">
        <v>42</v>
      </c>
      <c r="J571" s="5" t="s">
        <v>5062</v>
      </c>
      <c r="K571" s="5" t="s">
        <v>1687</v>
      </c>
      <c r="L571" s="22"/>
      <c r="M571" s="8" t="str">
        <f t="shared" si="80"/>
        <v>Ok</v>
      </c>
      <c r="N571" s="9" t="b">
        <f t="shared" si="81"/>
        <v>1</v>
      </c>
      <c r="O571" s="9" t="b">
        <f t="shared" si="82"/>
        <v>0</v>
      </c>
      <c r="P571" s="8" t="str">
        <f t="shared" si="83"/>
        <v>FALSE</v>
      </c>
      <c r="Q571" s="8" t="str">
        <f t="shared" si="84"/>
        <v>FALSE</v>
      </c>
      <c r="R571" s="9" t="b">
        <f t="shared" si="85"/>
        <v>0</v>
      </c>
      <c r="S571" s="8" t="b">
        <f t="shared" si="86"/>
        <v>0</v>
      </c>
      <c r="T571" s="10" t="b">
        <f t="shared" si="87"/>
        <v>1</v>
      </c>
      <c r="U571" s="8" t="str">
        <f t="shared" si="88"/>
        <v>TRUE</v>
      </c>
      <c r="V571" s="11" t="str">
        <f t="shared" si="89"/>
        <v>TRUE</v>
      </c>
    </row>
    <row r="572" spans="1:22" ht="15.75">
      <c r="A572" s="21">
        <v>570</v>
      </c>
      <c r="B572" s="5" t="s">
        <v>1688</v>
      </c>
      <c r="C572" s="23" t="s">
        <v>3624</v>
      </c>
      <c r="D572" s="23" t="s">
        <v>59</v>
      </c>
      <c r="E572" s="5" t="s">
        <v>1689</v>
      </c>
      <c r="F572" s="71" t="s">
        <v>6104</v>
      </c>
      <c r="G572" s="22" t="s">
        <v>179</v>
      </c>
      <c r="H572" s="5" t="s">
        <v>36</v>
      </c>
      <c r="I572" s="5" t="s">
        <v>14</v>
      </c>
      <c r="J572" s="5" t="s">
        <v>5293</v>
      </c>
      <c r="K572" s="5" t="s">
        <v>1690</v>
      </c>
      <c r="L572" s="22"/>
      <c r="M572" s="8" t="str">
        <f t="shared" si="80"/>
        <v>Ok</v>
      </c>
      <c r="N572" s="9" t="b">
        <f t="shared" si="81"/>
        <v>1</v>
      </c>
      <c r="O572" s="9" t="b">
        <f t="shared" si="82"/>
        <v>1</v>
      </c>
      <c r="P572" s="8" t="str">
        <f t="shared" si="83"/>
        <v>FALSE</v>
      </c>
      <c r="Q572" s="8" t="str">
        <f t="shared" si="84"/>
        <v>FALSE</v>
      </c>
      <c r="R572" s="9" t="b">
        <f t="shared" si="85"/>
        <v>1</v>
      </c>
      <c r="S572" s="8" t="b">
        <f t="shared" si="86"/>
        <v>1</v>
      </c>
      <c r="T572" s="10" t="b">
        <f t="shared" si="87"/>
        <v>1</v>
      </c>
      <c r="U572" s="8" t="str">
        <f t="shared" si="88"/>
        <v>TRUE</v>
      </c>
      <c r="V572" s="11" t="str">
        <f t="shared" si="89"/>
        <v>FALSE</v>
      </c>
    </row>
    <row r="573" spans="1:22" ht="15.75">
      <c r="A573" s="21">
        <v>571</v>
      </c>
      <c r="B573" s="5" t="s">
        <v>1691</v>
      </c>
      <c r="C573" s="23" t="s">
        <v>3792</v>
      </c>
      <c r="D573" s="23" t="s">
        <v>59</v>
      </c>
      <c r="E573" s="5" t="s">
        <v>1692</v>
      </c>
      <c r="F573" s="71" t="s">
        <v>6104</v>
      </c>
      <c r="G573" s="22" t="s">
        <v>24</v>
      </c>
      <c r="H573" s="5" t="s">
        <v>25</v>
      </c>
      <c r="I573" s="5" t="s">
        <v>67</v>
      </c>
      <c r="J573" s="5" t="s">
        <v>5423</v>
      </c>
      <c r="K573" s="5" t="s">
        <v>1693</v>
      </c>
      <c r="L573" s="22"/>
      <c r="M573" s="8" t="str">
        <f t="shared" si="80"/>
        <v>Ok</v>
      </c>
      <c r="N573" s="9" t="b">
        <f t="shared" si="81"/>
        <v>0</v>
      </c>
      <c r="O573" s="9" t="b">
        <f t="shared" si="82"/>
        <v>1</v>
      </c>
      <c r="P573" s="8" t="str">
        <f t="shared" si="83"/>
        <v>FALSE</v>
      </c>
      <c r="Q573" s="8" t="str">
        <f t="shared" si="84"/>
        <v>FALSE</v>
      </c>
      <c r="R573" s="9" t="b">
        <f t="shared" si="85"/>
        <v>0</v>
      </c>
      <c r="S573" s="8" t="b">
        <f t="shared" si="86"/>
        <v>0</v>
      </c>
      <c r="T573" s="10" t="b">
        <f t="shared" si="87"/>
        <v>0</v>
      </c>
      <c r="U573" s="8" t="str">
        <f t="shared" si="88"/>
        <v>TRUE</v>
      </c>
      <c r="V573" s="11" t="str">
        <f t="shared" si="89"/>
        <v>TRUE</v>
      </c>
    </row>
    <row r="574" spans="1:22" ht="15.75">
      <c r="A574" s="21">
        <v>572</v>
      </c>
      <c r="B574" s="5" t="s">
        <v>1694</v>
      </c>
      <c r="C574" s="23" t="s">
        <v>3840</v>
      </c>
      <c r="D574" s="23" t="s">
        <v>59</v>
      </c>
      <c r="E574" s="5" t="s">
        <v>1695</v>
      </c>
      <c r="F574" s="71" t="s">
        <v>6104</v>
      </c>
      <c r="G574" s="22" t="s">
        <v>144</v>
      </c>
      <c r="H574" s="5" t="s">
        <v>25</v>
      </c>
      <c r="I574" s="5" t="s">
        <v>67</v>
      </c>
      <c r="J574" s="5" t="s">
        <v>5643</v>
      </c>
      <c r="K574" s="5" t="s">
        <v>1696</v>
      </c>
      <c r="L574" s="22"/>
      <c r="M574" s="8" t="str">
        <f t="shared" si="80"/>
        <v>Ok</v>
      </c>
      <c r="N574" s="9" t="b">
        <f t="shared" si="81"/>
        <v>0</v>
      </c>
      <c r="O574" s="9" t="b">
        <f t="shared" si="82"/>
        <v>1</v>
      </c>
      <c r="P574" s="8" t="str">
        <f t="shared" si="83"/>
        <v>FALSE</v>
      </c>
      <c r="Q574" s="8" t="str">
        <f t="shared" si="84"/>
        <v>FALSE</v>
      </c>
      <c r="R574" s="9" t="b">
        <f t="shared" si="85"/>
        <v>1</v>
      </c>
      <c r="S574" s="8" t="b">
        <f t="shared" si="86"/>
        <v>0</v>
      </c>
      <c r="T574" s="10" t="b">
        <f t="shared" si="87"/>
        <v>0</v>
      </c>
      <c r="U574" s="8" t="str">
        <f t="shared" si="88"/>
        <v>FALSE</v>
      </c>
      <c r="V574" s="11" t="str">
        <f t="shared" si="89"/>
        <v>FALSE</v>
      </c>
    </row>
    <row r="575" spans="1:22" ht="15.75">
      <c r="A575" s="21">
        <v>573</v>
      </c>
      <c r="B575" s="5" t="s">
        <v>1697</v>
      </c>
      <c r="C575" s="23" t="s">
        <v>3917</v>
      </c>
      <c r="D575" s="23" t="s">
        <v>17</v>
      </c>
      <c r="E575" s="5" t="s">
        <v>1698</v>
      </c>
      <c r="F575" s="71" t="s">
        <v>6104</v>
      </c>
      <c r="G575" s="22" t="s">
        <v>85</v>
      </c>
      <c r="H575" s="5" t="s">
        <v>120</v>
      </c>
      <c r="I575" s="5" t="s">
        <v>14</v>
      </c>
      <c r="J575" s="5" t="s">
        <v>4797</v>
      </c>
      <c r="K575" s="5" t="s">
        <v>1699</v>
      </c>
      <c r="L575" s="22"/>
      <c r="M575" s="8" t="str">
        <f t="shared" si="80"/>
        <v>Ok</v>
      </c>
      <c r="N575" s="9" t="b">
        <f t="shared" si="81"/>
        <v>0</v>
      </c>
      <c r="O575" s="9" t="b">
        <f t="shared" si="82"/>
        <v>1</v>
      </c>
      <c r="P575" s="8" t="str">
        <f t="shared" si="83"/>
        <v>FALSE</v>
      </c>
      <c r="Q575" s="8" t="str">
        <f t="shared" si="84"/>
        <v>FALSE</v>
      </c>
      <c r="R575" s="9" t="b">
        <f t="shared" si="85"/>
        <v>1</v>
      </c>
      <c r="S575" s="8" t="b">
        <f t="shared" si="86"/>
        <v>1</v>
      </c>
      <c r="T575" s="10" t="b">
        <f t="shared" si="87"/>
        <v>1</v>
      </c>
      <c r="U575" s="8" t="str">
        <f t="shared" si="88"/>
        <v>TRUE</v>
      </c>
      <c r="V575" s="11" t="str">
        <f t="shared" si="89"/>
        <v>TRUE</v>
      </c>
    </row>
    <row r="576" spans="1:22" ht="15.75">
      <c r="A576" s="21">
        <v>574</v>
      </c>
      <c r="B576" s="5" t="s">
        <v>1700</v>
      </c>
      <c r="C576" s="23" t="s">
        <v>3625</v>
      </c>
      <c r="D576" s="23" t="s">
        <v>59</v>
      </c>
      <c r="E576" s="5" t="s">
        <v>1701</v>
      </c>
      <c r="F576" s="71" t="s">
        <v>6104</v>
      </c>
      <c r="G576" s="22" t="s">
        <v>160</v>
      </c>
      <c r="H576" s="5" t="s">
        <v>36</v>
      </c>
      <c r="I576" s="5" t="s">
        <v>50</v>
      </c>
      <c r="J576" s="5" t="s">
        <v>5659</v>
      </c>
      <c r="K576" s="5" t="s">
        <v>1702</v>
      </c>
      <c r="L576" s="22"/>
      <c r="M576" s="8" t="str">
        <f t="shared" si="80"/>
        <v>Ok</v>
      </c>
      <c r="N576" s="9" t="b">
        <f t="shared" si="81"/>
        <v>1</v>
      </c>
      <c r="O576" s="9" t="b">
        <f t="shared" si="82"/>
        <v>1</v>
      </c>
      <c r="P576" s="8" t="str">
        <f t="shared" si="83"/>
        <v>FALSE</v>
      </c>
      <c r="Q576" s="8" t="str">
        <f t="shared" si="84"/>
        <v>FALSE</v>
      </c>
      <c r="R576" s="9" t="b">
        <f t="shared" si="85"/>
        <v>0</v>
      </c>
      <c r="S576" s="8" t="b">
        <f t="shared" si="86"/>
        <v>1</v>
      </c>
      <c r="T576" s="10" t="b">
        <f t="shared" si="87"/>
        <v>0</v>
      </c>
      <c r="U576" s="8" t="str">
        <f t="shared" si="88"/>
        <v>FALSE</v>
      </c>
      <c r="V576" s="11" t="str">
        <f t="shared" si="89"/>
        <v>TRUE</v>
      </c>
    </row>
    <row r="577" spans="1:22" ht="15.75">
      <c r="A577" s="21">
        <v>575</v>
      </c>
      <c r="B577" s="5" t="s">
        <v>1703</v>
      </c>
      <c r="C577" s="23" t="s">
        <v>3918</v>
      </c>
      <c r="D577" s="23" t="s">
        <v>17</v>
      </c>
      <c r="E577" s="5" t="s">
        <v>1704</v>
      </c>
      <c r="F577" s="71" t="s">
        <v>6104</v>
      </c>
      <c r="G577" s="22" t="s">
        <v>119</v>
      </c>
      <c r="H577" s="5" t="s">
        <v>86</v>
      </c>
      <c r="I577" s="5" t="s">
        <v>56</v>
      </c>
      <c r="J577" s="5" t="s">
        <v>5609</v>
      </c>
      <c r="K577" s="5" t="s">
        <v>1705</v>
      </c>
      <c r="L577" s="22"/>
      <c r="M577" s="8" t="str">
        <f t="shared" si="80"/>
        <v>Ok</v>
      </c>
      <c r="N577" s="9" t="b">
        <f t="shared" si="81"/>
        <v>0</v>
      </c>
      <c r="O577" s="9" t="b">
        <f t="shared" si="82"/>
        <v>1</v>
      </c>
      <c r="P577" s="8" t="str">
        <f t="shared" si="83"/>
        <v>FALSE</v>
      </c>
      <c r="Q577" s="8" t="str">
        <f t="shared" si="84"/>
        <v>FALSE</v>
      </c>
      <c r="R577" s="9" t="b">
        <f t="shared" si="85"/>
        <v>0</v>
      </c>
      <c r="S577" s="8" t="b">
        <f t="shared" si="86"/>
        <v>0</v>
      </c>
      <c r="T577" s="10" t="b">
        <f t="shared" si="87"/>
        <v>1</v>
      </c>
      <c r="U577" s="8" t="str">
        <f t="shared" si="88"/>
        <v>FALSE</v>
      </c>
      <c r="V577" s="11" t="str">
        <f t="shared" si="89"/>
        <v>TRUE</v>
      </c>
    </row>
    <row r="578" spans="1:22" ht="15.75">
      <c r="A578" s="21">
        <v>576</v>
      </c>
      <c r="B578" s="5" t="s">
        <v>1706</v>
      </c>
      <c r="C578" s="23" t="s">
        <v>3626</v>
      </c>
      <c r="D578" s="23" t="s">
        <v>59</v>
      </c>
      <c r="E578" s="5" t="s">
        <v>1707</v>
      </c>
      <c r="F578" s="71" t="s">
        <v>6104</v>
      </c>
      <c r="G578" s="22" t="s">
        <v>160</v>
      </c>
      <c r="H578" s="5" t="s">
        <v>13</v>
      </c>
      <c r="I578" s="5" t="s">
        <v>21</v>
      </c>
      <c r="J578" s="5" t="s">
        <v>5104</v>
      </c>
      <c r="K578" s="5" t="s">
        <v>1708</v>
      </c>
      <c r="L578" s="22"/>
      <c r="M578" s="8" t="str">
        <f t="shared" si="80"/>
        <v>Ok</v>
      </c>
      <c r="N578" s="9" t="b">
        <f t="shared" si="81"/>
        <v>1</v>
      </c>
      <c r="O578" s="9" t="b">
        <f t="shared" si="82"/>
        <v>1</v>
      </c>
      <c r="P578" s="8" t="str">
        <f t="shared" si="83"/>
        <v>FALSE</v>
      </c>
      <c r="Q578" s="8" t="str">
        <f t="shared" si="84"/>
        <v>FALSE</v>
      </c>
      <c r="R578" s="9" t="b">
        <f t="shared" si="85"/>
        <v>0</v>
      </c>
      <c r="S578" s="8" t="b">
        <f t="shared" si="86"/>
        <v>0</v>
      </c>
      <c r="T578" s="10" t="b">
        <f t="shared" si="87"/>
        <v>0</v>
      </c>
      <c r="U578" s="8" t="str">
        <f t="shared" si="88"/>
        <v>TRUE</v>
      </c>
      <c r="V578" s="11" t="str">
        <f t="shared" si="89"/>
        <v>TRUE</v>
      </c>
    </row>
    <row r="579" spans="1:22" ht="15.75">
      <c r="A579" s="21">
        <v>577</v>
      </c>
      <c r="B579" s="5" t="s">
        <v>1709</v>
      </c>
      <c r="C579" s="23" t="s">
        <v>3155</v>
      </c>
      <c r="D579" s="23" t="s">
        <v>77</v>
      </c>
      <c r="E579" s="5" t="s">
        <v>1710</v>
      </c>
      <c r="F579" s="71" t="s">
        <v>6104</v>
      </c>
      <c r="G579" s="22" t="s">
        <v>179</v>
      </c>
      <c r="H579" s="5" t="s">
        <v>3932</v>
      </c>
      <c r="I579" s="5" t="s">
        <v>21</v>
      </c>
      <c r="J579" s="5" t="s">
        <v>5028</v>
      </c>
      <c r="K579" s="5" t="s">
        <v>1711</v>
      </c>
      <c r="L579" s="22"/>
      <c r="M579" s="8" t="str">
        <f t="shared" ref="M579:M642" si="90">IF(COUNTIF($B$3:$B$1002,B579)&gt;1,"Duplicate","Ok")</f>
        <v>Ok</v>
      </c>
      <c r="N579" s="9" t="b">
        <f t="shared" ref="N579:N642" si="91">EXACT(C579,PROPER(C579))</f>
        <v>0</v>
      </c>
      <c r="O579" s="9" t="b">
        <f t="shared" ref="O579:O642" si="92">EXACT(D579,PROPER(D579))</f>
        <v>0</v>
      </c>
      <c r="P579" s="8" t="str">
        <f t="shared" ref="P579:P642" si="93">IF(ISNUMBER(E579),"TRUE","FALSE")</f>
        <v>FALSE</v>
      </c>
      <c r="Q579" s="8" t="str">
        <f t="shared" ref="Q579:Q642" si="94">IF(ISNUMBER(F579),"TRUE","FALSE")</f>
        <v>FALSE</v>
      </c>
      <c r="R579" s="9" t="b">
        <f t="shared" ref="R579:R642" si="95">EXACT(G579,PROPER(G579))</f>
        <v>1</v>
      </c>
      <c r="S579" s="8" t="b">
        <f t="shared" ref="S579:S642" si="96">EXACT(H579,PROPER(H579))</f>
        <v>0</v>
      </c>
      <c r="T579" s="10" t="b">
        <f t="shared" ref="T579:T642" si="97">EXACT(I579,PROPER(I579))</f>
        <v>0</v>
      </c>
      <c r="U579" s="8" t="str">
        <f t="shared" ref="U579:U642" si="98">IF(RIGHT(J579,10)="@email.com","TRUE","FALSE")</f>
        <v>TRUE</v>
      </c>
      <c r="V579" s="11" t="str">
        <f t="shared" ref="V579:V642" si="99">IF(LEFT(K579,2)="08","TRUE","FALSE")</f>
        <v>TRUE</v>
      </c>
    </row>
    <row r="580" spans="1:22" ht="15.75">
      <c r="A580" s="21">
        <v>578</v>
      </c>
      <c r="B580" s="5" t="s">
        <v>1712</v>
      </c>
      <c r="C580" s="23" t="s">
        <v>3156</v>
      </c>
      <c r="D580" s="23" t="s">
        <v>77</v>
      </c>
      <c r="E580" s="5" t="s">
        <v>1713</v>
      </c>
      <c r="F580" s="71" t="s">
        <v>6104</v>
      </c>
      <c r="G580" s="22" t="s">
        <v>179</v>
      </c>
      <c r="H580" s="22" t="s">
        <v>3932</v>
      </c>
      <c r="I580" s="5" t="s">
        <v>56</v>
      </c>
      <c r="J580" s="5" t="s">
        <v>5754</v>
      </c>
      <c r="K580" s="5" t="s">
        <v>1714</v>
      </c>
      <c r="L580" s="22"/>
      <c r="M580" s="8" t="str">
        <f t="shared" si="90"/>
        <v>Ok</v>
      </c>
      <c r="N580" s="9" t="b">
        <f t="shared" si="91"/>
        <v>0</v>
      </c>
      <c r="O580" s="9" t="b">
        <f t="shared" si="92"/>
        <v>0</v>
      </c>
      <c r="P580" s="8" t="str">
        <f t="shared" si="93"/>
        <v>FALSE</v>
      </c>
      <c r="Q580" s="8" t="str">
        <f t="shared" si="94"/>
        <v>FALSE</v>
      </c>
      <c r="R580" s="9" t="b">
        <f t="shared" si="95"/>
        <v>1</v>
      </c>
      <c r="S580" s="8" t="b">
        <f t="shared" si="96"/>
        <v>0</v>
      </c>
      <c r="T580" s="10" t="b">
        <f t="shared" si="97"/>
        <v>1</v>
      </c>
      <c r="U580" s="8" t="str">
        <f t="shared" si="98"/>
        <v>FALSE</v>
      </c>
      <c r="V580" s="11" t="str">
        <f t="shared" si="99"/>
        <v>TRUE</v>
      </c>
    </row>
    <row r="581" spans="1:22" ht="15.75">
      <c r="A581" s="21">
        <v>579</v>
      </c>
      <c r="B581" s="5" t="s">
        <v>1715</v>
      </c>
      <c r="C581" s="23" t="s">
        <v>3841</v>
      </c>
      <c r="D581" s="23" t="s">
        <v>59</v>
      </c>
      <c r="E581" s="5" t="s">
        <v>1716</v>
      </c>
      <c r="F581" s="71" t="s">
        <v>6104</v>
      </c>
      <c r="G581" s="22" t="s">
        <v>144</v>
      </c>
      <c r="H581" s="5" t="s">
        <v>25</v>
      </c>
      <c r="I581" s="5" t="s">
        <v>56</v>
      </c>
      <c r="J581" s="5" t="s">
        <v>5252</v>
      </c>
      <c r="K581" s="5" t="s">
        <v>1717</v>
      </c>
      <c r="L581" s="22"/>
      <c r="M581" s="8" t="str">
        <f t="shared" si="90"/>
        <v>Ok</v>
      </c>
      <c r="N581" s="9" t="b">
        <f t="shared" si="91"/>
        <v>0</v>
      </c>
      <c r="O581" s="9" t="b">
        <f t="shared" si="92"/>
        <v>1</v>
      </c>
      <c r="P581" s="8" t="str">
        <f t="shared" si="93"/>
        <v>FALSE</v>
      </c>
      <c r="Q581" s="8" t="str">
        <f t="shared" si="94"/>
        <v>FALSE</v>
      </c>
      <c r="R581" s="9" t="b">
        <f t="shared" si="95"/>
        <v>1</v>
      </c>
      <c r="S581" s="8" t="b">
        <f t="shared" si="96"/>
        <v>0</v>
      </c>
      <c r="T581" s="10" t="b">
        <f t="shared" si="97"/>
        <v>1</v>
      </c>
      <c r="U581" s="8" t="str">
        <f t="shared" si="98"/>
        <v>TRUE</v>
      </c>
      <c r="V581" s="11" t="str">
        <f t="shared" si="99"/>
        <v>TRUE</v>
      </c>
    </row>
    <row r="582" spans="1:22" ht="15.75">
      <c r="A582" s="21">
        <v>580</v>
      </c>
      <c r="B582" s="5" t="s">
        <v>1718</v>
      </c>
      <c r="C582" s="23" t="s">
        <v>3390</v>
      </c>
      <c r="D582" s="23" t="s">
        <v>17</v>
      </c>
      <c r="E582" s="5" t="s">
        <v>1719</v>
      </c>
      <c r="F582" s="71" t="s">
        <v>6104</v>
      </c>
      <c r="G582" s="22" t="s">
        <v>3933</v>
      </c>
      <c r="H582" s="5" t="s">
        <v>3932</v>
      </c>
      <c r="I582" s="5" t="s">
        <v>14</v>
      </c>
      <c r="J582" s="5" t="s">
        <v>5589</v>
      </c>
      <c r="K582" s="5" t="s">
        <v>1720</v>
      </c>
      <c r="L582" s="22"/>
      <c r="M582" s="8" t="str">
        <f t="shared" si="90"/>
        <v>Ok</v>
      </c>
      <c r="N582" s="9" t="b">
        <f t="shared" si="91"/>
        <v>1</v>
      </c>
      <c r="O582" s="9" t="b">
        <f t="shared" si="92"/>
        <v>1</v>
      </c>
      <c r="P582" s="8" t="str">
        <f t="shared" si="93"/>
        <v>FALSE</v>
      </c>
      <c r="Q582" s="8" t="str">
        <f t="shared" si="94"/>
        <v>FALSE</v>
      </c>
      <c r="R582" s="9" t="b">
        <f t="shared" si="95"/>
        <v>0</v>
      </c>
      <c r="S582" s="8" t="b">
        <f t="shared" si="96"/>
        <v>0</v>
      </c>
      <c r="T582" s="10" t="b">
        <f t="shared" si="97"/>
        <v>1</v>
      </c>
      <c r="U582" s="8" t="str">
        <f t="shared" si="98"/>
        <v>FALSE</v>
      </c>
      <c r="V582" s="11" t="str">
        <f t="shared" si="99"/>
        <v>TRUE</v>
      </c>
    </row>
    <row r="583" spans="1:22" ht="15.75">
      <c r="A583" s="21">
        <v>581</v>
      </c>
      <c r="B583" s="5" t="s">
        <v>1721</v>
      </c>
      <c r="C583" s="23" t="s">
        <v>3712</v>
      </c>
      <c r="D583" s="23" t="s">
        <v>59</v>
      </c>
      <c r="E583" s="5" t="s">
        <v>1722</v>
      </c>
      <c r="F583" s="71" t="s">
        <v>6104</v>
      </c>
      <c r="G583" s="22" t="s">
        <v>3934</v>
      </c>
      <c r="H583" s="5" t="s">
        <v>13</v>
      </c>
      <c r="I583" s="5" t="s">
        <v>67</v>
      </c>
      <c r="J583" s="5" t="s">
        <v>5306</v>
      </c>
      <c r="K583" s="5" t="s">
        <v>1723</v>
      </c>
      <c r="L583" s="22"/>
      <c r="M583" s="8" t="str">
        <f t="shared" si="90"/>
        <v>Ok</v>
      </c>
      <c r="N583" s="9" t="b">
        <f t="shared" si="91"/>
        <v>0</v>
      </c>
      <c r="O583" s="9" t="b">
        <f t="shared" si="92"/>
        <v>1</v>
      </c>
      <c r="P583" s="8" t="str">
        <f t="shared" si="93"/>
        <v>FALSE</v>
      </c>
      <c r="Q583" s="8" t="str">
        <f t="shared" si="94"/>
        <v>FALSE</v>
      </c>
      <c r="R583" s="9" t="b">
        <f t="shared" si="95"/>
        <v>0</v>
      </c>
      <c r="S583" s="8" t="b">
        <f t="shared" si="96"/>
        <v>0</v>
      </c>
      <c r="T583" s="10" t="b">
        <f t="shared" si="97"/>
        <v>0</v>
      </c>
      <c r="U583" s="8" t="str">
        <f t="shared" si="98"/>
        <v>TRUE</v>
      </c>
      <c r="V583" s="11" t="str">
        <f t="shared" si="99"/>
        <v>TRUE</v>
      </c>
    </row>
    <row r="584" spans="1:22" ht="15.75">
      <c r="A584" s="21">
        <v>582</v>
      </c>
      <c r="B584" s="5" t="s">
        <v>1724</v>
      </c>
      <c r="C584" s="23" t="s">
        <v>3627</v>
      </c>
      <c r="D584" s="23" t="s">
        <v>59</v>
      </c>
      <c r="E584" s="5" t="s">
        <v>1725</v>
      </c>
      <c r="F584" s="71" t="s">
        <v>6104</v>
      </c>
      <c r="G584" s="22" t="s">
        <v>179</v>
      </c>
      <c r="H584" s="5" t="s">
        <v>36</v>
      </c>
      <c r="I584" s="5" t="s">
        <v>21</v>
      </c>
      <c r="J584" s="5" t="s">
        <v>5419</v>
      </c>
      <c r="K584" s="5" t="s">
        <v>1726</v>
      </c>
      <c r="L584" s="22"/>
      <c r="M584" s="8" t="str">
        <f t="shared" si="90"/>
        <v>Ok</v>
      </c>
      <c r="N584" s="9" t="b">
        <f t="shared" si="91"/>
        <v>1</v>
      </c>
      <c r="O584" s="9" t="b">
        <f t="shared" si="92"/>
        <v>1</v>
      </c>
      <c r="P584" s="8" t="str">
        <f t="shared" si="93"/>
        <v>FALSE</v>
      </c>
      <c r="Q584" s="8" t="str">
        <f t="shared" si="94"/>
        <v>FALSE</v>
      </c>
      <c r="R584" s="9" t="b">
        <f t="shared" si="95"/>
        <v>1</v>
      </c>
      <c r="S584" s="8" t="b">
        <f t="shared" si="96"/>
        <v>1</v>
      </c>
      <c r="T584" s="10" t="b">
        <f t="shared" si="97"/>
        <v>0</v>
      </c>
      <c r="U584" s="8" t="str">
        <f t="shared" si="98"/>
        <v>TRUE</v>
      </c>
      <c r="V584" s="11" t="str">
        <f t="shared" si="99"/>
        <v>TRUE</v>
      </c>
    </row>
    <row r="585" spans="1:22" ht="15.75">
      <c r="A585" s="21">
        <v>583</v>
      </c>
      <c r="B585" s="5" t="s">
        <v>1727</v>
      </c>
      <c r="C585" s="23" t="s">
        <v>3713</v>
      </c>
      <c r="D585" s="23" t="s">
        <v>59</v>
      </c>
      <c r="E585" s="5" t="s">
        <v>1728</v>
      </c>
      <c r="F585" s="71" t="s">
        <v>6104</v>
      </c>
      <c r="G585" s="22" t="s">
        <v>3934</v>
      </c>
      <c r="H585" s="5" t="s">
        <v>13</v>
      </c>
      <c r="I585" s="5" t="s">
        <v>50</v>
      </c>
      <c r="J585" s="5" t="s">
        <v>4937</v>
      </c>
      <c r="K585" s="5" t="s">
        <v>1729</v>
      </c>
      <c r="L585" s="22"/>
      <c r="M585" s="8" t="str">
        <f t="shared" si="90"/>
        <v>Ok</v>
      </c>
      <c r="N585" s="9" t="b">
        <f t="shared" si="91"/>
        <v>0</v>
      </c>
      <c r="O585" s="9" t="b">
        <f t="shared" si="92"/>
        <v>1</v>
      </c>
      <c r="P585" s="8" t="str">
        <f t="shared" si="93"/>
        <v>FALSE</v>
      </c>
      <c r="Q585" s="8" t="str">
        <f t="shared" si="94"/>
        <v>FALSE</v>
      </c>
      <c r="R585" s="9" t="b">
        <f t="shared" si="95"/>
        <v>0</v>
      </c>
      <c r="S585" s="8" t="b">
        <f t="shared" si="96"/>
        <v>0</v>
      </c>
      <c r="T585" s="10" t="b">
        <f t="shared" si="97"/>
        <v>0</v>
      </c>
      <c r="U585" s="8" t="str">
        <f t="shared" si="98"/>
        <v>TRUE</v>
      </c>
      <c r="V585" s="11" t="str">
        <f t="shared" si="99"/>
        <v>TRUE</v>
      </c>
    </row>
    <row r="586" spans="1:22" ht="15.75">
      <c r="A586" s="21">
        <v>584</v>
      </c>
      <c r="B586" s="5" t="s">
        <v>1730</v>
      </c>
      <c r="C586" s="23" t="s">
        <v>3628</v>
      </c>
      <c r="D586" s="23" t="s">
        <v>59</v>
      </c>
      <c r="E586" s="5" t="s">
        <v>1731</v>
      </c>
      <c r="F586" s="71" t="s">
        <v>6105</v>
      </c>
      <c r="G586" s="22" t="s">
        <v>160</v>
      </c>
      <c r="H586" s="5" t="s">
        <v>36</v>
      </c>
      <c r="I586" s="5" t="s">
        <v>67</v>
      </c>
      <c r="J586" s="5" t="s">
        <v>5634</v>
      </c>
      <c r="K586" s="5" t="s">
        <v>1732</v>
      </c>
      <c r="L586" s="22"/>
      <c r="M586" s="8" t="str">
        <f t="shared" si="90"/>
        <v>Ok</v>
      </c>
      <c r="N586" s="9" t="b">
        <f t="shared" si="91"/>
        <v>1</v>
      </c>
      <c r="O586" s="9" t="b">
        <f t="shared" si="92"/>
        <v>1</v>
      </c>
      <c r="P586" s="8" t="str">
        <f t="shared" si="93"/>
        <v>FALSE</v>
      </c>
      <c r="Q586" s="8" t="str">
        <f t="shared" si="94"/>
        <v>FALSE</v>
      </c>
      <c r="R586" s="9" t="b">
        <f t="shared" si="95"/>
        <v>0</v>
      </c>
      <c r="S586" s="8" t="b">
        <f t="shared" si="96"/>
        <v>1</v>
      </c>
      <c r="T586" s="10" t="b">
        <f t="shared" si="97"/>
        <v>0</v>
      </c>
      <c r="U586" s="8" t="str">
        <f t="shared" si="98"/>
        <v>FALSE</v>
      </c>
      <c r="V586" s="11" t="str">
        <f t="shared" si="99"/>
        <v>TRUE</v>
      </c>
    </row>
    <row r="587" spans="1:22" ht="15.75">
      <c r="A587" s="21">
        <v>585</v>
      </c>
      <c r="B587" s="5" t="s">
        <v>1733</v>
      </c>
      <c r="C587" s="23" t="s">
        <v>3157</v>
      </c>
      <c r="D587" s="23" t="s">
        <v>77</v>
      </c>
      <c r="E587" s="5" t="s">
        <v>1734</v>
      </c>
      <c r="F587" s="71" t="s">
        <v>6105</v>
      </c>
      <c r="G587" s="22" t="s">
        <v>179</v>
      </c>
      <c r="H587" s="22" t="s">
        <v>179</v>
      </c>
      <c r="I587" s="5" t="s">
        <v>50</v>
      </c>
      <c r="J587" s="5" t="s">
        <v>5362</v>
      </c>
      <c r="K587" s="5" t="s">
        <v>1735</v>
      </c>
      <c r="L587" s="22"/>
      <c r="M587" s="8" t="str">
        <f t="shared" si="90"/>
        <v>Ok</v>
      </c>
      <c r="N587" s="9" t="b">
        <f t="shared" si="91"/>
        <v>0</v>
      </c>
      <c r="O587" s="9" t="b">
        <f t="shared" si="92"/>
        <v>0</v>
      </c>
      <c r="P587" s="8" t="str">
        <f t="shared" si="93"/>
        <v>FALSE</v>
      </c>
      <c r="Q587" s="8" t="str">
        <f t="shared" si="94"/>
        <v>FALSE</v>
      </c>
      <c r="R587" s="9" t="b">
        <f t="shared" si="95"/>
        <v>1</v>
      </c>
      <c r="S587" s="8" t="b">
        <f t="shared" si="96"/>
        <v>1</v>
      </c>
      <c r="T587" s="10" t="b">
        <f t="shared" si="97"/>
        <v>0</v>
      </c>
      <c r="U587" s="8" t="str">
        <f t="shared" si="98"/>
        <v>TRUE</v>
      </c>
      <c r="V587" s="11" t="str">
        <f t="shared" si="99"/>
        <v>FALSE</v>
      </c>
    </row>
    <row r="588" spans="1:22" ht="15.75">
      <c r="A588" s="21">
        <v>586</v>
      </c>
      <c r="B588" s="5" t="s">
        <v>1736</v>
      </c>
      <c r="C588" s="23" t="s">
        <v>3629</v>
      </c>
      <c r="D588" s="23" t="s">
        <v>59</v>
      </c>
      <c r="E588" s="5" t="s">
        <v>1737</v>
      </c>
      <c r="F588" s="71" t="s">
        <v>6105</v>
      </c>
      <c r="G588" s="22" t="s">
        <v>160</v>
      </c>
      <c r="H588" s="5" t="s">
        <v>13</v>
      </c>
      <c r="I588" s="5" t="s">
        <v>67</v>
      </c>
      <c r="J588" s="5" t="s">
        <v>5093</v>
      </c>
      <c r="K588" s="5" t="s">
        <v>1738</v>
      </c>
      <c r="L588" s="22"/>
      <c r="M588" s="8" t="str">
        <f t="shared" si="90"/>
        <v>Ok</v>
      </c>
      <c r="N588" s="9" t="b">
        <f t="shared" si="91"/>
        <v>1</v>
      </c>
      <c r="O588" s="9" t="b">
        <f t="shared" si="92"/>
        <v>1</v>
      </c>
      <c r="P588" s="8" t="str">
        <f t="shared" si="93"/>
        <v>FALSE</v>
      </c>
      <c r="Q588" s="8" t="str">
        <f t="shared" si="94"/>
        <v>FALSE</v>
      </c>
      <c r="R588" s="9" t="b">
        <f t="shared" si="95"/>
        <v>0</v>
      </c>
      <c r="S588" s="8" t="b">
        <f t="shared" si="96"/>
        <v>0</v>
      </c>
      <c r="T588" s="10" t="b">
        <f t="shared" si="97"/>
        <v>0</v>
      </c>
      <c r="U588" s="8" t="str">
        <f t="shared" si="98"/>
        <v>TRUE</v>
      </c>
      <c r="V588" s="11" t="str">
        <f t="shared" si="99"/>
        <v>TRUE</v>
      </c>
    </row>
    <row r="589" spans="1:22" ht="15.75">
      <c r="A589" s="21">
        <v>587</v>
      </c>
      <c r="B589" s="5" t="s">
        <v>1739</v>
      </c>
      <c r="C589" s="23" t="s">
        <v>3842</v>
      </c>
      <c r="D589" s="23" t="s">
        <v>59</v>
      </c>
      <c r="E589" s="5" t="s">
        <v>1740</v>
      </c>
      <c r="F589" s="71" t="s">
        <v>6105</v>
      </c>
      <c r="G589" s="22" t="s">
        <v>144</v>
      </c>
      <c r="H589" s="5" t="s">
        <v>25</v>
      </c>
      <c r="I589" s="5" t="s">
        <v>26</v>
      </c>
      <c r="J589" s="5" t="s">
        <v>5110</v>
      </c>
      <c r="K589" s="5" t="s">
        <v>1741</v>
      </c>
      <c r="L589" s="22"/>
      <c r="M589" s="8" t="str">
        <f t="shared" si="90"/>
        <v>Ok</v>
      </c>
      <c r="N589" s="9" t="b">
        <f t="shared" si="91"/>
        <v>0</v>
      </c>
      <c r="O589" s="9" t="b">
        <f t="shared" si="92"/>
        <v>1</v>
      </c>
      <c r="P589" s="8" t="str">
        <f t="shared" si="93"/>
        <v>FALSE</v>
      </c>
      <c r="Q589" s="8" t="str">
        <f t="shared" si="94"/>
        <v>FALSE</v>
      </c>
      <c r="R589" s="9" t="b">
        <f t="shared" si="95"/>
        <v>1</v>
      </c>
      <c r="S589" s="8" t="b">
        <f t="shared" si="96"/>
        <v>0</v>
      </c>
      <c r="T589" s="10" t="b">
        <f t="shared" si="97"/>
        <v>0</v>
      </c>
      <c r="U589" s="8" t="str">
        <f t="shared" si="98"/>
        <v>TRUE</v>
      </c>
      <c r="V589" s="11" t="str">
        <f t="shared" si="99"/>
        <v>TRUE</v>
      </c>
    </row>
    <row r="590" spans="1:22" ht="15.75">
      <c r="A590" s="21">
        <v>588</v>
      </c>
      <c r="B590" s="5" t="s">
        <v>1742</v>
      </c>
      <c r="C590" s="23" t="s">
        <v>3391</v>
      </c>
      <c r="D590" s="23" t="s">
        <v>17</v>
      </c>
      <c r="E590" s="5" t="s">
        <v>1743</v>
      </c>
      <c r="F590" s="71" t="s">
        <v>6105</v>
      </c>
      <c r="G590" s="22" t="s">
        <v>3933</v>
      </c>
      <c r="H590" s="5" t="s">
        <v>3932</v>
      </c>
      <c r="I590" s="5" t="s">
        <v>42</v>
      </c>
      <c r="J590" s="5" t="s">
        <v>4821</v>
      </c>
      <c r="K590" s="5">
        <v>89756465588</v>
      </c>
      <c r="L590" s="22"/>
      <c r="M590" s="8" t="str">
        <f t="shared" si="90"/>
        <v>Ok</v>
      </c>
      <c r="N590" s="9" t="b">
        <f t="shared" si="91"/>
        <v>1</v>
      </c>
      <c r="O590" s="9" t="b">
        <f t="shared" si="92"/>
        <v>1</v>
      </c>
      <c r="P590" s="8" t="str">
        <f t="shared" si="93"/>
        <v>FALSE</v>
      </c>
      <c r="Q590" s="8" t="str">
        <f t="shared" si="94"/>
        <v>FALSE</v>
      </c>
      <c r="R590" s="9" t="b">
        <f t="shared" si="95"/>
        <v>0</v>
      </c>
      <c r="S590" s="8" t="b">
        <f t="shared" si="96"/>
        <v>0</v>
      </c>
      <c r="T590" s="10" t="b">
        <f t="shared" si="97"/>
        <v>1</v>
      </c>
      <c r="U590" s="8" t="str">
        <f t="shared" si="98"/>
        <v>TRUE</v>
      </c>
      <c r="V590" s="11" t="str">
        <f t="shared" si="99"/>
        <v>FALSE</v>
      </c>
    </row>
    <row r="591" spans="1:22" ht="15.75">
      <c r="A591" s="21">
        <v>589</v>
      </c>
      <c r="B591" s="5" t="s">
        <v>1744</v>
      </c>
      <c r="C591" s="23" t="s">
        <v>3793</v>
      </c>
      <c r="D591" s="23" t="s">
        <v>59</v>
      </c>
      <c r="E591" s="5" t="s">
        <v>1745</v>
      </c>
      <c r="F591" s="71" t="s">
        <v>6105</v>
      </c>
      <c r="G591" s="22" t="s">
        <v>24</v>
      </c>
      <c r="H591" s="5" t="s">
        <v>25</v>
      </c>
      <c r="I591" s="5" t="s">
        <v>50</v>
      </c>
      <c r="J591" s="5" t="s">
        <v>5607</v>
      </c>
      <c r="K591" s="5">
        <v>89756465589</v>
      </c>
      <c r="L591" s="22"/>
      <c r="M591" s="8" t="str">
        <f t="shared" si="90"/>
        <v>Ok</v>
      </c>
      <c r="N591" s="9" t="b">
        <f t="shared" si="91"/>
        <v>0</v>
      </c>
      <c r="O591" s="9" t="b">
        <f t="shared" si="92"/>
        <v>1</v>
      </c>
      <c r="P591" s="8" t="str">
        <f t="shared" si="93"/>
        <v>FALSE</v>
      </c>
      <c r="Q591" s="8" t="str">
        <f t="shared" si="94"/>
        <v>FALSE</v>
      </c>
      <c r="R591" s="9" t="b">
        <f t="shared" si="95"/>
        <v>0</v>
      </c>
      <c r="S591" s="8" t="b">
        <f t="shared" si="96"/>
        <v>0</v>
      </c>
      <c r="T591" s="10" t="b">
        <f t="shared" si="97"/>
        <v>0</v>
      </c>
      <c r="U591" s="8" t="str">
        <f t="shared" si="98"/>
        <v>FALSE</v>
      </c>
      <c r="V591" s="11" t="str">
        <f t="shared" si="99"/>
        <v>FALSE</v>
      </c>
    </row>
    <row r="592" spans="1:22" ht="15.75">
      <c r="A592" s="21">
        <v>590</v>
      </c>
      <c r="B592" s="5" t="s">
        <v>1746</v>
      </c>
      <c r="C592" s="23" t="s">
        <v>3919</v>
      </c>
      <c r="D592" s="23" t="s">
        <v>17</v>
      </c>
      <c r="E592" s="5" t="s">
        <v>1747</v>
      </c>
      <c r="F592" s="71" t="s">
        <v>6105</v>
      </c>
      <c r="G592" s="22" t="s">
        <v>85</v>
      </c>
      <c r="H592" s="5" t="s">
        <v>120</v>
      </c>
      <c r="I592" s="5" t="s">
        <v>42</v>
      </c>
      <c r="J592" s="5" t="s">
        <v>5624</v>
      </c>
      <c r="K592" s="5" t="s">
        <v>1748</v>
      </c>
      <c r="L592" s="22"/>
      <c r="M592" s="8" t="str">
        <f t="shared" si="90"/>
        <v>Ok</v>
      </c>
      <c r="N592" s="9" t="b">
        <f t="shared" si="91"/>
        <v>0</v>
      </c>
      <c r="O592" s="9" t="b">
        <f t="shared" si="92"/>
        <v>1</v>
      </c>
      <c r="P592" s="8" t="str">
        <f t="shared" si="93"/>
        <v>FALSE</v>
      </c>
      <c r="Q592" s="8" t="str">
        <f t="shared" si="94"/>
        <v>FALSE</v>
      </c>
      <c r="R592" s="9" t="b">
        <f t="shared" si="95"/>
        <v>1</v>
      </c>
      <c r="S592" s="8" t="b">
        <f t="shared" si="96"/>
        <v>1</v>
      </c>
      <c r="T592" s="10" t="b">
        <f t="shared" si="97"/>
        <v>1</v>
      </c>
      <c r="U592" s="8" t="str">
        <f t="shared" si="98"/>
        <v>FALSE</v>
      </c>
      <c r="V592" s="11" t="str">
        <f t="shared" si="99"/>
        <v>TRUE</v>
      </c>
    </row>
    <row r="593" spans="1:22" ht="15.75">
      <c r="A593" s="21">
        <v>591</v>
      </c>
      <c r="B593" s="5" t="s">
        <v>1749</v>
      </c>
      <c r="C593" s="23" t="s">
        <v>3561</v>
      </c>
      <c r="D593" s="23" t="s">
        <v>77</v>
      </c>
      <c r="E593" s="5" t="s">
        <v>1750</v>
      </c>
      <c r="F593" s="71" t="s">
        <v>6105</v>
      </c>
      <c r="G593" s="22" t="s">
        <v>12</v>
      </c>
      <c r="H593" s="5" t="s">
        <v>36</v>
      </c>
      <c r="I593" s="5" t="s">
        <v>56</v>
      </c>
      <c r="J593" s="5" t="s">
        <v>5366</v>
      </c>
      <c r="K593" s="5">
        <v>820802079</v>
      </c>
      <c r="L593" s="22"/>
      <c r="M593" s="8" t="str">
        <f t="shared" si="90"/>
        <v>Ok</v>
      </c>
      <c r="N593" s="9" t="b">
        <f t="shared" si="91"/>
        <v>1</v>
      </c>
      <c r="O593" s="9" t="b">
        <f t="shared" si="92"/>
        <v>0</v>
      </c>
      <c r="P593" s="8" t="str">
        <f t="shared" si="93"/>
        <v>FALSE</v>
      </c>
      <c r="Q593" s="8" t="str">
        <f t="shared" si="94"/>
        <v>FALSE</v>
      </c>
      <c r="R593" s="9" t="b">
        <f t="shared" si="95"/>
        <v>1</v>
      </c>
      <c r="S593" s="8" t="b">
        <f t="shared" si="96"/>
        <v>1</v>
      </c>
      <c r="T593" s="10" t="b">
        <f t="shared" si="97"/>
        <v>1</v>
      </c>
      <c r="U593" s="8" t="str">
        <f t="shared" si="98"/>
        <v>TRUE</v>
      </c>
      <c r="V593" s="11" t="str">
        <f t="shared" si="99"/>
        <v>FALSE</v>
      </c>
    </row>
    <row r="594" spans="1:22" ht="15.75">
      <c r="A594" s="21">
        <v>592</v>
      </c>
      <c r="B594" s="5" t="s">
        <v>1751</v>
      </c>
      <c r="C594" s="23" t="s">
        <v>3498</v>
      </c>
      <c r="D594" s="23" t="s">
        <v>77</v>
      </c>
      <c r="E594" s="5" t="s">
        <v>1752</v>
      </c>
      <c r="F594" s="71" t="s">
        <v>6105</v>
      </c>
      <c r="G594" s="22" t="s">
        <v>160</v>
      </c>
      <c r="H594" s="5" t="s">
        <v>3932</v>
      </c>
      <c r="I594" s="5" t="s">
        <v>50</v>
      </c>
      <c r="J594" s="5" t="s">
        <v>5523</v>
      </c>
      <c r="K594" s="5" t="s">
        <v>1753</v>
      </c>
      <c r="L594" s="22"/>
      <c r="M594" s="8" t="str">
        <f t="shared" si="90"/>
        <v>Ok</v>
      </c>
      <c r="N594" s="9" t="b">
        <f t="shared" si="91"/>
        <v>1</v>
      </c>
      <c r="O594" s="9" t="b">
        <f t="shared" si="92"/>
        <v>0</v>
      </c>
      <c r="P594" s="8" t="str">
        <f t="shared" si="93"/>
        <v>FALSE</v>
      </c>
      <c r="Q594" s="8" t="str">
        <f t="shared" si="94"/>
        <v>FALSE</v>
      </c>
      <c r="R594" s="9" t="b">
        <f t="shared" si="95"/>
        <v>0</v>
      </c>
      <c r="S594" s="8" t="b">
        <f t="shared" si="96"/>
        <v>0</v>
      </c>
      <c r="T594" s="10" t="b">
        <f t="shared" si="97"/>
        <v>0</v>
      </c>
      <c r="U594" s="8" t="str">
        <f t="shared" si="98"/>
        <v>FALSE</v>
      </c>
      <c r="V594" s="11" t="str">
        <f t="shared" si="99"/>
        <v>FALSE</v>
      </c>
    </row>
    <row r="595" spans="1:22" ht="15.75">
      <c r="A595" s="21">
        <v>593</v>
      </c>
      <c r="B595" s="5" t="s">
        <v>1754</v>
      </c>
      <c r="C595" s="23" t="s">
        <v>3250</v>
      </c>
      <c r="D595" s="23" t="s">
        <v>77</v>
      </c>
      <c r="E595" s="5" t="s">
        <v>1755</v>
      </c>
      <c r="F595" s="71" t="s">
        <v>6105</v>
      </c>
      <c r="G595" s="22" t="s">
        <v>179</v>
      </c>
      <c r="H595" s="5" t="s">
        <v>3932</v>
      </c>
      <c r="I595" s="5" t="s">
        <v>56</v>
      </c>
      <c r="J595" s="5" t="s">
        <v>4928</v>
      </c>
      <c r="K595" s="5" t="s">
        <v>1756</v>
      </c>
      <c r="L595" s="22"/>
      <c r="M595" s="8" t="str">
        <f t="shared" si="90"/>
        <v>Ok</v>
      </c>
      <c r="N595" s="9" t="b">
        <f t="shared" si="91"/>
        <v>1</v>
      </c>
      <c r="O595" s="9" t="b">
        <f t="shared" si="92"/>
        <v>0</v>
      </c>
      <c r="P595" s="8" t="str">
        <f t="shared" si="93"/>
        <v>FALSE</v>
      </c>
      <c r="Q595" s="8" t="str">
        <f t="shared" si="94"/>
        <v>FALSE</v>
      </c>
      <c r="R595" s="9" t="b">
        <f t="shared" si="95"/>
        <v>1</v>
      </c>
      <c r="S595" s="8" t="b">
        <f t="shared" si="96"/>
        <v>0</v>
      </c>
      <c r="T595" s="10" t="b">
        <f t="shared" si="97"/>
        <v>1</v>
      </c>
      <c r="U595" s="8" t="str">
        <f t="shared" si="98"/>
        <v>TRUE</v>
      </c>
      <c r="V595" s="11" t="str">
        <f t="shared" si="99"/>
        <v>TRUE</v>
      </c>
    </row>
    <row r="596" spans="1:22" ht="15.75">
      <c r="A596" s="21">
        <v>594</v>
      </c>
      <c r="B596" s="5" t="s">
        <v>1757</v>
      </c>
      <c r="C596" s="23" t="s">
        <v>3158</v>
      </c>
      <c r="D596" s="23" t="s">
        <v>34</v>
      </c>
      <c r="E596" s="5" t="s">
        <v>1758</v>
      </c>
      <c r="F596" s="71" t="s">
        <v>6105</v>
      </c>
      <c r="G596" s="22" t="s">
        <v>179</v>
      </c>
      <c r="H596" s="22" t="s">
        <v>3932</v>
      </c>
      <c r="I596" s="5" t="s">
        <v>67</v>
      </c>
      <c r="J596" s="5" t="s">
        <v>5175</v>
      </c>
      <c r="K596" s="5" t="s">
        <v>1759</v>
      </c>
      <c r="L596" s="22"/>
      <c r="M596" s="8" t="str">
        <f t="shared" si="90"/>
        <v>Ok</v>
      </c>
      <c r="N596" s="9" t="b">
        <f t="shared" si="91"/>
        <v>0</v>
      </c>
      <c r="O596" s="9" t="b">
        <f t="shared" si="92"/>
        <v>0</v>
      </c>
      <c r="P596" s="8" t="str">
        <f t="shared" si="93"/>
        <v>FALSE</v>
      </c>
      <c r="Q596" s="8" t="str">
        <f t="shared" si="94"/>
        <v>FALSE</v>
      </c>
      <c r="R596" s="9" t="b">
        <f t="shared" si="95"/>
        <v>1</v>
      </c>
      <c r="S596" s="8" t="b">
        <f t="shared" si="96"/>
        <v>0</v>
      </c>
      <c r="T596" s="10" t="b">
        <f t="shared" si="97"/>
        <v>0</v>
      </c>
      <c r="U596" s="8" t="str">
        <f t="shared" si="98"/>
        <v>TRUE</v>
      </c>
      <c r="V596" s="11" t="str">
        <f t="shared" si="99"/>
        <v>FALSE</v>
      </c>
    </row>
    <row r="597" spans="1:22" ht="15.75">
      <c r="A597" s="21">
        <v>595</v>
      </c>
      <c r="B597" s="5" t="s">
        <v>1760</v>
      </c>
      <c r="C597" s="23" t="s">
        <v>3714</v>
      </c>
      <c r="D597" s="23" t="s">
        <v>59</v>
      </c>
      <c r="E597" s="5" t="s">
        <v>1761</v>
      </c>
      <c r="F597" s="71" t="s">
        <v>6105</v>
      </c>
      <c r="G597" s="22" t="s">
        <v>3934</v>
      </c>
      <c r="H597" s="5" t="s">
        <v>13</v>
      </c>
      <c r="I597" s="5" t="s">
        <v>42</v>
      </c>
      <c r="J597" s="5" t="s">
        <v>4819</v>
      </c>
      <c r="K597" s="5" t="s">
        <v>1762</v>
      </c>
      <c r="L597" s="22"/>
      <c r="M597" s="8" t="str">
        <f t="shared" si="90"/>
        <v>Ok</v>
      </c>
      <c r="N597" s="9" t="b">
        <f t="shared" si="91"/>
        <v>0</v>
      </c>
      <c r="O597" s="9" t="b">
        <f t="shared" si="92"/>
        <v>1</v>
      </c>
      <c r="P597" s="8" t="str">
        <f t="shared" si="93"/>
        <v>FALSE</v>
      </c>
      <c r="Q597" s="8" t="str">
        <f t="shared" si="94"/>
        <v>FALSE</v>
      </c>
      <c r="R597" s="9" t="b">
        <f t="shared" si="95"/>
        <v>0</v>
      </c>
      <c r="S597" s="8" t="b">
        <f t="shared" si="96"/>
        <v>0</v>
      </c>
      <c r="T597" s="10" t="b">
        <f t="shared" si="97"/>
        <v>1</v>
      </c>
      <c r="U597" s="8" t="str">
        <f t="shared" si="98"/>
        <v>TRUE</v>
      </c>
      <c r="V597" s="11" t="str">
        <f t="shared" si="99"/>
        <v>FALSE</v>
      </c>
    </row>
    <row r="598" spans="1:22" ht="15.75">
      <c r="A598" s="21">
        <v>596</v>
      </c>
      <c r="B598" s="5" t="s">
        <v>1763</v>
      </c>
      <c r="C598" s="23" t="s">
        <v>3159</v>
      </c>
      <c r="D598" s="23" t="s">
        <v>77</v>
      </c>
      <c r="E598" s="5" t="s">
        <v>1764</v>
      </c>
      <c r="F598" s="71" t="s">
        <v>6105</v>
      </c>
      <c r="G598" s="22" t="s">
        <v>179</v>
      </c>
      <c r="H598" s="22" t="s">
        <v>3932</v>
      </c>
      <c r="I598" s="5" t="s">
        <v>67</v>
      </c>
      <c r="J598" s="5" t="s">
        <v>5620</v>
      </c>
      <c r="K598" s="5" t="s">
        <v>1765</v>
      </c>
      <c r="L598" s="22"/>
      <c r="M598" s="8" t="str">
        <f t="shared" si="90"/>
        <v>Ok</v>
      </c>
      <c r="N598" s="9" t="b">
        <f t="shared" si="91"/>
        <v>0</v>
      </c>
      <c r="O598" s="9" t="b">
        <f t="shared" si="92"/>
        <v>0</v>
      </c>
      <c r="P598" s="8" t="str">
        <f t="shared" si="93"/>
        <v>FALSE</v>
      </c>
      <c r="Q598" s="8" t="str">
        <f t="shared" si="94"/>
        <v>FALSE</v>
      </c>
      <c r="R598" s="9" t="b">
        <f t="shared" si="95"/>
        <v>1</v>
      </c>
      <c r="S598" s="8" t="b">
        <f t="shared" si="96"/>
        <v>0</v>
      </c>
      <c r="T598" s="10" t="b">
        <f t="shared" si="97"/>
        <v>0</v>
      </c>
      <c r="U598" s="8" t="str">
        <f t="shared" si="98"/>
        <v>FALSE</v>
      </c>
      <c r="V598" s="11" t="str">
        <f t="shared" si="99"/>
        <v>TRUE</v>
      </c>
    </row>
    <row r="599" spans="1:22" ht="15.75">
      <c r="A599" s="21">
        <v>597</v>
      </c>
      <c r="B599" s="5" t="s">
        <v>1766</v>
      </c>
      <c r="C599" s="23" t="s">
        <v>3307</v>
      </c>
      <c r="D599" s="23" t="s">
        <v>77</v>
      </c>
      <c r="E599" s="5" t="s">
        <v>1767</v>
      </c>
      <c r="F599" s="71" t="s">
        <v>6105</v>
      </c>
      <c r="G599" s="22" t="s">
        <v>179</v>
      </c>
      <c r="H599" s="5" t="s">
        <v>3932</v>
      </c>
      <c r="I599" s="5" t="s">
        <v>50</v>
      </c>
      <c r="J599" s="5" t="s">
        <v>5259</v>
      </c>
      <c r="K599" s="5" t="s">
        <v>1768</v>
      </c>
      <c r="L599" s="22"/>
      <c r="M599" s="8" t="str">
        <f t="shared" si="90"/>
        <v>Ok</v>
      </c>
      <c r="N599" s="9" t="b">
        <f t="shared" si="91"/>
        <v>1</v>
      </c>
      <c r="O599" s="9" t="b">
        <f t="shared" si="92"/>
        <v>0</v>
      </c>
      <c r="P599" s="8" t="str">
        <f t="shared" si="93"/>
        <v>FALSE</v>
      </c>
      <c r="Q599" s="8" t="str">
        <f t="shared" si="94"/>
        <v>FALSE</v>
      </c>
      <c r="R599" s="9" t="b">
        <f t="shared" si="95"/>
        <v>1</v>
      </c>
      <c r="S599" s="8" t="b">
        <f t="shared" si="96"/>
        <v>0</v>
      </c>
      <c r="T599" s="10" t="b">
        <f t="shared" si="97"/>
        <v>0</v>
      </c>
      <c r="U599" s="8" t="str">
        <f t="shared" si="98"/>
        <v>TRUE</v>
      </c>
      <c r="V599" s="11" t="str">
        <f t="shared" si="99"/>
        <v>TRUE</v>
      </c>
    </row>
    <row r="600" spans="1:22" ht="15.75">
      <c r="A600" s="21">
        <v>598</v>
      </c>
      <c r="B600" s="5" t="s">
        <v>1769</v>
      </c>
      <c r="C600" s="23" t="s">
        <v>3715</v>
      </c>
      <c r="D600" s="23" t="s">
        <v>59</v>
      </c>
      <c r="E600" s="5" t="s">
        <v>1770</v>
      </c>
      <c r="F600" s="71" t="s">
        <v>6105</v>
      </c>
      <c r="G600" s="22" t="s">
        <v>3934</v>
      </c>
      <c r="H600" s="5" t="s">
        <v>13</v>
      </c>
      <c r="I600" s="5" t="s">
        <v>14</v>
      </c>
      <c r="J600" s="5" t="s">
        <v>5394</v>
      </c>
      <c r="K600" s="5" t="s">
        <v>1771</v>
      </c>
      <c r="L600" s="22"/>
      <c r="M600" s="8" t="str">
        <f t="shared" si="90"/>
        <v>Ok</v>
      </c>
      <c r="N600" s="9" t="b">
        <f t="shared" si="91"/>
        <v>0</v>
      </c>
      <c r="O600" s="9" t="b">
        <f t="shared" si="92"/>
        <v>1</v>
      </c>
      <c r="P600" s="8" t="str">
        <f t="shared" si="93"/>
        <v>FALSE</v>
      </c>
      <c r="Q600" s="8" t="str">
        <f t="shared" si="94"/>
        <v>FALSE</v>
      </c>
      <c r="R600" s="9" t="b">
        <f t="shared" si="95"/>
        <v>0</v>
      </c>
      <c r="S600" s="8" t="b">
        <f t="shared" si="96"/>
        <v>0</v>
      </c>
      <c r="T600" s="10" t="b">
        <f t="shared" si="97"/>
        <v>1</v>
      </c>
      <c r="U600" s="8" t="str">
        <f t="shared" si="98"/>
        <v>TRUE</v>
      </c>
      <c r="V600" s="11" t="str">
        <f t="shared" si="99"/>
        <v>TRUE</v>
      </c>
    </row>
    <row r="601" spans="1:22" ht="15.75">
      <c r="A601" s="21">
        <v>599</v>
      </c>
      <c r="B601" s="5" t="s">
        <v>1772</v>
      </c>
      <c r="C601" s="23" t="s">
        <v>3716</v>
      </c>
      <c r="D601" s="23" t="s">
        <v>59</v>
      </c>
      <c r="E601" s="5" t="s">
        <v>1773</v>
      </c>
      <c r="F601" s="71" t="s">
        <v>6105</v>
      </c>
      <c r="G601" s="22" t="s">
        <v>3934</v>
      </c>
      <c r="H601" s="5" t="s">
        <v>13</v>
      </c>
      <c r="I601" s="5" t="s">
        <v>50</v>
      </c>
      <c r="J601" s="5" t="s">
        <v>5707</v>
      </c>
      <c r="K601" s="5" t="s">
        <v>1774</v>
      </c>
      <c r="L601" s="22"/>
      <c r="M601" s="8" t="str">
        <f t="shared" si="90"/>
        <v>Ok</v>
      </c>
      <c r="N601" s="9" t="b">
        <f t="shared" si="91"/>
        <v>0</v>
      </c>
      <c r="O601" s="9" t="b">
        <f t="shared" si="92"/>
        <v>1</v>
      </c>
      <c r="P601" s="8" t="str">
        <f t="shared" si="93"/>
        <v>FALSE</v>
      </c>
      <c r="Q601" s="8" t="str">
        <f t="shared" si="94"/>
        <v>FALSE</v>
      </c>
      <c r="R601" s="9" t="b">
        <f t="shared" si="95"/>
        <v>0</v>
      </c>
      <c r="S601" s="8" t="b">
        <f t="shared" si="96"/>
        <v>0</v>
      </c>
      <c r="T601" s="10" t="b">
        <f t="shared" si="97"/>
        <v>0</v>
      </c>
      <c r="U601" s="8" t="str">
        <f t="shared" si="98"/>
        <v>FALSE</v>
      </c>
      <c r="V601" s="11" t="str">
        <f t="shared" si="99"/>
        <v>TRUE</v>
      </c>
    </row>
    <row r="602" spans="1:22" ht="15.75">
      <c r="A602" s="21">
        <v>600</v>
      </c>
      <c r="B602" s="5" t="s">
        <v>1775</v>
      </c>
      <c r="C602" s="23" t="s">
        <v>3794</v>
      </c>
      <c r="D602" s="23" t="s">
        <v>59</v>
      </c>
      <c r="E602" s="5" t="s">
        <v>1776</v>
      </c>
      <c r="F602" s="71" t="s">
        <v>6105</v>
      </c>
      <c r="G602" s="22" t="s">
        <v>24</v>
      </c>
      <c r="H602" s="5" t="s">
        <v>25</v>
      </c>
      <c r="I602" s="5" t="s">
        <v>21</v>
      </c>
      <c r="J602" s="5" t="s">
        <v>5126</v>
      </c>
      <c r="K602" s="5" t="s">
        <v>1777</v>
      </c>
      <c r="L602" s="22"/>
      <c r="M602" s="8" t="str">
        <f t="shared" si="90"/>
        <v>Ok</v>
      </c>
      <c r="N602" s="9" t="b">
        <f t="shared" si="91"/>
        <v>0</v>
      </c>
      <c r="O602" s="9" t="b">
        <f t="shared" si="92"/>
        <v>1</v>
      </c>
      <c r="P602" s="8" t="str">
        <f t="shared" si="93"/>
        <v>FALSE</v>
      </c>
      <c r="Q602" s="8" t="str">
        <f t="shared" si="94"/>
        <v>FALSE</v>
      </c>
      <c r="R602" s="9" t="b">
        <f t="shared" si="95"/>
        <v>0</v>
      </c>
      <c r="S602" s="8" t="b">
        <f t="shared" si="96"/>
        <v>0</v>
      </c>
      <c r="T602" s="10" t="b">
        <f t="shared" si="97"/>
        <v>0</v>
      </c>
      <c r="U602" s="8" t="str">
        <f t="shared" si="98"/>
        <v>TRUE</v>
      </c>
      <c r="V602" s="11" t="str">
        <f t="shared" si="99"/>
        <v>TRUE</v>
      </c>
    </row>
    <row r="603" spans="1:22" ht="15.75">
      <c r="A603" s="21">
        <v>601</v>
      </c>
      <c r="B603" s="5" t="s">
        <v>1778</v>
      </c>
      <c r="C603" s="23" t="s">
        <v>3160</v>
      </c>
      <c r="D603" s="23" t="s">
        <v>77</v>
      </c>
      <c r="E603" s="5" t="s">
        <v>1779</v>
      </c>
      <c r="F603" s="71" t="s">
        <v>6105</v>
      </c>
      <c r="G603" s="22" t="s">
        <v>179</v>
      </c>
      <c r="H603" s="22" t="s">
        <v>179</v>
      </c>
      <c r="I603" s="5" t="s">
        <v>21</v>
      </c>
      <c r="J603" s="5" t="s">
        <v>5344</v>
      </c>
      <c r="K603" s="5" t="s">
        <v>1780</v>
      </c>
      <c r="L603" s="22"/>
      <c r="M603" s="8" t="str">
        <f t="shared" si="90"/>
        <v>Ok</v>
      </c>
      <c r="N603" s="9" t="b">
        <f t="shared" si="91"/>
        <v>0</v>
      </c>
      <c r="O603" s="9" t="b">
        <f t="shared" si="92"/>
        <v>0</v>
      </c>
      <c r="P603" s="8" t="str">
        <f t="shared" si="93"/>
        <v>FALSE</v>
      </c>
      <c r="Q603" s="8" t="str">
        <f t="shared" si="94"/>
        <v>FALSE</v>
      </c>
      <c r="R603" s="9" t="b">
        <f t="shared" si="95"/>
        <v>1</v>
      </c>
      <c r="S603" s="8" t="b">
        <f t="shared" si="96"/>
        <v>1</v>
      </c>
      <c r="T603" s="10" t="b">
        <f t="shared" si="97"/>
        <v>0</v>
      </c>
      <c r="U603" s="8" t="str">
        <f t="shared" si="98"/>
        <v>TRUE</v>
      </c>
      <c r="V603" s="11" t="str">
        <f t="shared" si="99"/>
        <v>TRUE</v>
      </c>
    </row>
    <row r="604" spans="1:22" ht="15.75">
      <c r="A604" s="21">
        <v>602</v>
      </c>
      <c r="B604" s="5" t="s">
        <v>3952</v>
      </c>
      <c r="C604" s="23" t="s">
        <v>3027</v>
      </c>
      <c r="D604" s="23" t="s">
        <v>34</v>
      </c>
      <c r="E604" s="5" t="s">
        <v>1781</v>
      </c>
      <c r="F604" s="71" t="s">
        <v>6105</v>
      </c>
      <c r="G604" s="22" t="s">
        <v>179</v>
      </c>
      <c r="H604" s="5" t="s">
        <v>3932</v>
      </c>
      <c r="I604" s="5" t="s">
        <v>56</v>
      </c>
      <c r="J604" s="5" t="s">
        <v>4838</v>
      </c>
      <c r="K604" s="5" t="s">
        <v>1782</v>
      </c>
      <c r="L604" s="22"/>
      <c r="M604" s="8" t="str">
        <f t="shared" si="90"/>
        <v>Ok</v>
      </c>
      <c r="N604" s="9" t="b">
        <f t="shared" si="91"/>
        <v>0</v>
      </c>
      <c r="O604" s="9" t="b">
        <f t="shared" si="92"/>
        <v>0</v>
      </c>
      <c r="P604" s="8" t="str">
        <f t="shared" si="93"/>
        <v>FALSE</v>
      </c>
      <c r="Q604" s="8" t="str">
        <f t="shared" si="94"/>
        <v>FALSE</v>
      </c>
      <c r="R604" s="9" t="b">
        <f t="shared" si="95"/>
        <v>1</v>
      </c>
      <c r="S604" s="8" t="b">
        <f t="shared" si="96"/>
        <v>0</v>
      </c>
      <c r="T604" s="10" t="b">
        <f t="shared" si="97"/>
        <v>1</v>
      </c>
      <c r="U604" s="8" t="str">
        <f t="shared" si="98"/>
        <v>TRUE</v>
      </c>
      <c r="V604" s="11" t="str">
        <f t="shared" si="99"/>
        <v>TRUE</v>
      </c>
    </row>
    <row r="605" spans="1:22" ht="15.75">
      <c r="A605" s="21">
        <v>603</v>
      </c>
      <c r="B605" s="5" t="s">
        <v>1783</v>
      </c>
      <c r="C605" s="23" t="s">
        <v>3843</v>
      </c>
      <c r="D605" s="23" t="s">
        <v>59</v>
      </c>
      <c r="E605" s="5" t="s">
        <v>1784</v>
      </c>
      <c r="F605" s="71" t="s">
        <v>6105</v>
      </c>
      <c r="G605" s="22" t="s">
        <v>144</v>
      </c>
      <c r="H605" s="5" t="s">
        <v>25</v>
      </c>
      <c r="I605" s="5" t="s">
        <v>26</v>
      </c>
      <c r="J605" s="5" t="s">
        <v>5713</v>
      </c>
      <c r="K605" s="5" t="s">
        <v>1785</v>
      </c>
      <c r="L605" s="22"/>
      <c r="M605" s="8" t="str">
        <f t="shared" si="90"/>
        <v>Ok</v>
      </c>
      <c r="N605" s="9" t="b">
        <f t="shared" si="91"/>
        <v>0</v>
      </c>
      <c r="O605" s="9" t="b">
        <f t="shared" si="92"/>
        <v>1</v>
      </c>
      <c r="P605" s="8" t="str">
        <f t="shared" si="93"/>
        <v>FALSE</v>
      </c>
      <c r="Q605" s="8" t="str">
        <f t="shared" si="94"/>
        <v>FALSE</v>
      </c>
      <c r="R605" s="9" t="b">
        <f t="shared" si="95"/>
        <v>1</v>
      </c>
      <c r="S605" s="8" t="b">
        <f t="shared" si="96"/>
        <v>0</v>
      </c>
      <c r="T605" s="10" t="b">
        <f t="shared" si="97"/>
        <v>0</v>
      </c>
      <c r="U605" s="8" t="str">
        <f t="shared" si="98"/>
        <v>FALSE</v>
      </c>
      <c r="V605" s="11" t="str">
        <f t="shared" si="99"/>
        <v>TRUE</v>
      </c>
    </row>
    <row r="606" spans="1:22" ht="15.75">
      <c r="A606" s="21">
        <v>604</v>
      </c>
      <c r="B606" s="5" t="s">
        <v>1786</v>
      </c>
      <c r="C606" s="23" t="s">
        <v>3499</v>
      </c>
      <c r="D606" s="23" t="s">
        <v>77</v>
      </c>
      <c r="E606" s="5" t="s">
        <v>1787</v>
      </c>
      <c r="F606" s="71" t="s">
        <v>6105</v>
      </c>
      <c r="G606" s="22" t="s">
        <v>160</v>
      </c>
      <c r="H606" s="5" t="s">
        <v>3932</v>
      </c>
      <c r="I606" s="5" t="s">
        <v>67</v>
      </c>
      <c r="J606" s="5" t="s">
        <v>4900</v>
      </c>
      <c r="K606" s="5" t="s">
        <v>1788</v>
      </c>
      <c r="L606" s="22"/>
      <c r="M606" s="8" t="str">
        <f t="shared" si="90"/>
        <v>Ok</v>
      </c>
      <c r="N606" s="9" t="b">
        <f t="shared" si="91"/>
        <v>1</v>
      </c>
      <c r="O606" s="9" t="b">
        <f t="shared" si="92"/>
        <v>0</v>
      </c>
      <c r="P606" s="8" t="str">
        <f t="shared" si="93"/>
        <v>FALSE</v>
      </c>
      <c r="Q606" s="8" t="str">
        <f t="shared" si="94"/>
        <v>FALSE</v>
      </c>
      <c r="R606" s="9" t="b">
        <f t="shared" si="95"/>
        <v>0</v>
      </c>
      <c r="S606" s="8" t="b">
        <f t="shared" si="96"/>
        <v>0</v>
      </c>
      <c r="T606" s="10" t="b">
        <f t="shared" si="97"/>
        <v>0</v>
      </c>
      <c r="U606" s="8" t="str">
        <f t="shared" si="98"/>
        <v>TRUE</v>
      </c>
      <c r="V606" s="11" t="str">
        <f t="shared" si="99"/>
        <v>TRUE</v>
      </c>
    </row>
    <row r="607" spans="1:22" ht="15.75">
      <c r="A607" s="21">
        <v>605</v>
      </c>
      <c r="B607" s="5" t="s">
        <v>1789</v>
      </c>
      <c r="C607" s="23" t="s">
        <v>3795</v>
      </c>
      <c r="D607" s="23" t="s">
        <v>59</v>
      </c>
      <c r="E607" s="5" t="s">
        <v>1790</v>
      </c>
      <c r="F607" s="71" t="s">
        <v>6105</v>
      </c>
      <c r="G607" s="22" t="s">
        <v>24</v>
      </c>
      <c r="H607" s="5" t="s">
        <v>25</v>
      </c>
      <c r="I607" s="5" t="s">
        <v>21</v>
      </c>
      <c r="J607" s="5" t="s">
        <v>5594</v>
      </c>
      <c r="K607" s="5" t="s">
        <v>1791</v>
      </c>
      <c r="L607" s="22"/>
      <c r="M607" s="8" t="str">
        <f t="shared" si="90"/>
        <v>Ok</v>
      </c>
      <c r="N607" s="9" t="b">
        <f t="shared" si="91"/>
        <v>0</v>
      </c>
      <c r="O607" s="9" t="b">
        <f t="shared" si="92"/>
        <v>1</v>
      </c>
      <c r="P607" s="8" t="str">
        <f t="shared" si="93"/>
        <v>FALSE</v>
      </c>
      <c r="Q607" s="8" t="str">
        <f t="shared" si="94"/>
        <v>FALSE</v>
      </c>
      <c r="R607" s="9" t="b">
        <f t="shared" si="95"/>
        <v>0</v>
      </c>
      <c r="S607" s="8" t="b">
        <f t="shared" si="96"/>
        <v>0</v>
      </c>
      <c r="T607" s="10" t="b">
        <f t="shared" si="97"/>
        <v>0</v>
      </c>
      <c r="U607" s="8" t="str">
        <f t="shared" si="98"/>
        <v>FALSE</v>
      </c>
      <c r="V607" s="11" t="str">
        <f t="shared" si="99"/>
        <v>TRUE</v>
      </c>
    </row>
    <row r="608" spans="1:22" ht="15.75">
      <c r="A608" s="21">
        <v>606</v>
      </c>
      <c r="B608" s="5" t="s">
        <v>1792</v>
      </c>
      <c r="C608" s="23" t="s">
        <v>3251</v>
      </c>
      <c r="D608" s="23" t="s">
        <v>77</v>
      </c>
      <c r="E608" s="5" t="s">
        <v>1793</v>
      </c>
      <c r="F608" s="71" t="s">
        <v>6105</v>
      </c>
      <c r="G608" s="22" t="s">
        <v>179</v>
      </c>
      <c r="H608" s="5" t="s">
        <v>3932</v>
      </c>
      <c r="I608" s="5" t="s">
        <v>21</v>
      </c>
      <c r="J608" s="5" t="s">
        <v>5265</v>
      </c>
      <c r="K608" s="5" t="s">
        <v>1794</v>
      </c>
      <c r="L608" s="22"/>
      <c r="M608" s="8" t="str">
        <f t="shared" si="90"/>
        <v>Ok</v>
      </c>
      <c r="N608" s="9" t="b">
        <f t="shared" si="91"/>
        <v>1</v>
      </c>
      <c r="O608" s="9" t="b">
        <f t="shared" si="92"/>
        <v>0</v>
      </c>
      <c r="P608" s="8" t="str">
        <f t="shared" si="93"/>
        <v>FALSE</v>
      </c>
      <c r="Q608" s="8" t="str">
        <f t="shared" si="94"/>
        <v>FALSE</v>
      </c>
      <c r="R608" s="9" t="b">
        <f t="shared" si="95"/>
        <v>1</v>
      </c>
      <c r="S608" s="8" t="b">
        <f t="shared" si="96"/>
        <v>0</v>
      </c>
      <c r="T608" s="10" t="b">
        <f t="shared" si="97"/>
        <v>0</v>
      </c>
      <c r="U608" s="8" t="str">
        <f t="shared" si="98"/>
        <v>TRUE</v>
      </c>
      <c r="V608" s="11" t="str">
        <f t="shared" si="99"/>
        <v>TRUE</v>
      </c>
    </row>
    <row r="609" spans="1:22" ht="15.75">
      <c r="A609" s="21">
        <v>607</v>
      </c>
      <c r="B609" s="5" t="s">
        <v>1795</v>
      </c>
      <c r="C609" s="23" t="s">
        <v>3252</v>
      </c>
      <c r="D609" s="23" t="s">
        <v>77</v>
      </c>
      <c r="E609" s="5" t="s">
        <v>404</v>
      </c>
      <c r="F609" s="71" t="s">
        <v>6105</v>
      </c>
      <c r="G609" s="22" t="s">
        <v>179</v>
      </c>
      <c r="H609" s="5" t="s">
        <v>3932</v>
      </c>
      <c r="I609" s="5" t="s">
        <v>42</v>
      </c>
      <c r="J609" s="5" t="s">
        <v>4825</v>
      </c>
      <c r="K609" s="5" t="s">
        <v>1796</v>
      </c>
      <c r="L609" s="22"/>
      <c r="M609" s="8" t="str">
        <f t="shared" si="90"/>
        <v>Ok</v>
      </c>
      <c r="N609" s="9" t="b">
        <f t="shared" si="91"/>
        <v>1</v>
      </c>
      <c r="O609" s="9" t="b">
        <f t="shared" si="92"/>
        <v>0</v>
      </c>
      <c r="P609" s="8" t="str">
        <f t="shared" si="93"/>
        <v>FALSE</v>
      </c>
      <c r="Q609" s="8" t="str">
        <f t="shared" si="94"/>
        <v>FALSE</v>
      </c>
      <c r="R609" s="9" t="b">
        <f t="shared" si="95"/>
        <v>1</v>
      </c>
      <c r="S609" s="8" t="b">
        <f t="shared" si="96"/>
        <v>0</v>
      </c>
      <c r="T609" s="10" t="b">
        <f t="shared" si="97"/>
        <v>1</v>
      </c>
      <c r="U609" s="8" t="str">
        <f t="shared" si="98"/>
        <v>TRUE</v>
      </c>
      <c r="V609" s="11" t="str">
        <f t="shared" si="99"/>
        <v>TRUE</v>
      </c>
    </row>
    <row r="610" spans="1:22" ht="15.75">
      <c r="A610" s="21">
        <v>608</v>
      </c>
      <c r="B610" s="5" t="s">
        <v>1797</v>
      </c>
      <c r="C610" s="23" t="s">
        <v>3392</v>
      </c>
      <c r="D610" s="23" t="s">
        <v>17</v>
      </c>
      <c r="E610" s="5" t="s">
        <v>1798</v>
      </c>
      <c r="F610" s="71" t="s">
        <v>6105</v>
      </c>
      <c r="G610" s="22" t="s">
        <v>3933</v>
      </c>
      <c r="H610" s="5" t="s">
        <v>3932</v>
      </c>
      <c r="I610" s="5" t="s">
        <v>67</v>
      </c>
      <c r="J610" s="5" t="s">
        <v>5570</v>
      </c>
      <c r="K610" s="5" t="s">
        <v>1799</v>
      </c>
      <c r="L610" s="22"/>
      <c r="M610" s="8" t="str">
        <f t="shared" si="90"/>
        <v>Ok</v>
      </c>
      <c r="N610" s="9" t="b">
        <f t="shared" si="91"/>
        <v>1</v>
      </c>
      <c r="O610" s="9" t="b">
        <f t="shared" si="92"/>
        <v>1</v>
      </c>
      <c r="P610" s="8" t="str">
        <f t="shared" si="93"/>
        <v>FALSE</v>
      </c>
      <c r="Q610" s="8" t="str">
        <f t="shared" si="94"/>
        <v>FALSE</v>
      </c>
      <c r="R610" s="9" t="b">
        <f t="shared" si="95"/>
        <v>0</v>
      </c>
      <c r="S610" s="8" t="b">
        <f t="shared" si="96"/>
        <v>0</v>
      </c>
      <c r="T610" s="10" t="b">
        <f t="shared" si="97"/>
        <v>0</v>
      </c>
      <c r="U610" s="8" t="str">
        <f t="shared" si="98"/>
        <v>FALSE</v>
      </c>
      <c r="V610" s="11" t="str">
        <f t="shared" si="99"/>
        <v>TRUE</v>
      </c>
    </row>
    <row r="611" spans="1:22" ht="15.75">
      <c r="A611" s="21">
        <v>609</v>
      </c>
      <c r="B611" s="5" t="s">
        <v>1800</v>
      </c>
      <c r="C611" s="23" t="s">
        <v>3562</v>
      </c>
      <c r="D611" s="23" t="s">
        <v>77</v>
      </c>
      <c r="E611" s="5" t="s">
        <v>1215</v>
      </c>
      <c r="F611" s="71" t="s">
        <v>6105</v>
      </c>
      <c r="G611" s="22" t="s">
        <v>12</v>
      </c>
      <c r="H611" s="5" t="s">
        <v>13</v>
      </c>
      <c r="I611" s="5" t="s">
        <v>26</v>
      </c>
      <c r="J611" s="5" t="s">
        <v>4857</v>
      </c>
      <c r="K611" s="5" t="s">
        <v>1801</v>
      </c>
      <c r="L611" s="22"/>
      <c r="M611" s="8" t="str">
        <f t="shared" si="90"/>
        <v>Ok</v>
      </c>
      <c r="N611" s="9" t="b">
        <f t="shared" si="91"/>
        <v>1</v>
      </c>
      <c r="O611" s="9" t="b">
        <f t="shared" si="92"/>
        <v>0</v>
      </c>
      <c r="P611" s="8" t="str">
        <f t="shared" si="93"/>
        <v>FALSE</v>
      </c>
      <c r="Q611" s="8" t="str">
        <f t="shared" si="94"/>
        <v>FALSE</v>
      </c>
      <c r="R611" s="9" t="b">
        <f t="shared" si="95"/>
        <v>1</v>
      </c>
      <c r="S611" s="8" t="b">
        <f t="shared" si="96"/>
        <v>0</v>
      </c>
      <c r="T611" s="10" t="b">
        <f t="shared" si="97"/>
        <v>0</v>
      </c>
      <c r="U611" s="8" t="str">
        <f t="shared" si="98"/>
        <v>TRUE</v>
      </c>
      <c r="V611" s="11" t="str">
        <f t="shared" si="99"/>
        <v>TRUE</v>
      </c>
    </row>
    <row r="612" spans="1:22" ht="15.75">
      <c r="A612" s="21">
        <v>610</v>
      </c>
      <c r="B612" s="5" t="s">
        <v>1802</v>
      </c>
      <c r="C612" s="23" t="s">
        <v>3253</v>
      </c>
      <c r="D612" s="23" t="s">
        <v>77</v>
      </c>
      <c r="E612" s="5" t="s">
        <v>1803</v>
      </c>
      <c r="F612" s="71" t="s">
        <v>6105</v>
      </c>
      <c r="G612" s="22" t="s">
        <v>179</v>
      </c>
      <c r="H612" s="5" t="s">
        <v>3932</v>
      </c>
      <c r="I612" s="5" t="s">
        <v>67</v>
      </c>
      <c r="J612" s="5" t="s">
        <v>5273</v>
      </c>
      <c r="K612" s="5" t="s">
        <v>1804</v>
      </c>
      <c r="L612" s="22"/>
      <c r="M612" s="8" t="str">
        <f t="shared" si="90"/>
        <v>Ok</v>
      </c>
      <c r="N612" s="9" t="b">
        <f t="shared" si="91"/>
        <v>1</v>
      </c>
      <c r="O612" s="9" t="b">
        <f t="shared" si="92"/>
        <v>0</v>
      </c>
      <c r="P612" s="8" t="str">
        <f t="shared" si="93"/>
        <v>FALSE</v>
      </c>
      <c r="Q612" s="8" t="str">
        <f t="shared" si="94"/>
        <v>FALSE</v>
      </c>
      <c r="R612" s="9" t="b">
        <f t="shared" si="95"/>
        <v>1</v>
      </c>
      <c r="S612" s="8" t="b">
        <f t="shared" si="96"/>
        <v>0</v>
      </c>
      <c r="T612" s="10" t="b">
        <f t="shared" si="97"/>
        <v>0</v>
      </c>
      <c r="U612" s="8" t="str">
        <f t="shared" si="98"/>
        <v>TRUE</v>
      </c>
      <c r="V612" s="11" t="str">
        <f t="shared" si="99"/>
        <v>TRUE</v>
      </c>
    </row>
    <row r="613" spans="1:22" ht="15.75">
      <c r="A613" s="21">
        <v>611</v>
      </c>
      <c r="B613" s="5" t="s">
        <v>1805</v>
      </c>
      <c r="C613" s="23" t="s">
        <v>3161</v>
      </c>
      <c r="D613" s="23" t="s">
        <v>34</v>
      </c>
      <c r="E613" s="5" t="s">
        <v>1806</v>
      </c>
      <c r="F613" s="71" t="s">
        <v>6105</v>
      </c>
      <c r="G613" s="22" t="s">
        <v>179</v>
      </c>
      <c r="H613" s="22" t="s">
        <v>179</v>
      </c>
      <c r="I613" s="5" t="s">
        <v>50</v>
      </c>
      <c r="J613" s="5" t="s">
        <v>5567</v>
      </c>
      <c r="K613" s="5">
        <v>801463985</v>
      </c>
      <c r="L613" s="22"/>
      <c r="M613" s="8" t="str">
        <f t="shared" si="90"/>
        <v>Ok</v>
      </c>
      <c r="N613" s="9" t="b">
        <f t="shared" si="91"/>
        <v>0</v>
      </c>
      <c r="O613" s="9" t="b">
        <f t="shared" si="92"/>
        <v>0</v>
      </c>
      <c r="P613" s="8" t="str">
        <f t="shared" si="93"/>
        <v>FALSE</v>
      </c>
      <c r="Q613" s="8" t="str">
        <f t="shared" si="94"/>
        <v>FALSE</v>
      </c>
      <c r="R613" s="9" t="b">
        <f t="shared" si="95"/>
        <v>1</v>
      </c>
      <c r="S613" s="8" t="b">
        <f t="shared" si="96"/>
        <v>1</v>
      </c>
      <c r="T613" s="10" t="b">
        <f t="shared" si="97"/>
        <v>0</v>
      </c>
      <c r="U613" s="8" t="str">
        <f t="shared" si="98"/>
        <v>FALSE</v>
      </c>
      <c r="V613" s="11" t="str">
        <f t="shared" si="99"/>
        <v>FALSE</v>
      </c>
    </row>
    <row r="614" spans="1:22" ht="15.75">
      <c r="A614" s="21">
        <v>612</v>
      </c>
      <c r="B614" s="5" t="s">
        <v>1807</v>
      </c>
      <c r="C614" s="23" t="s">
        <v>3920</v>
      </c>
      <c r="D614" s="23" t="s">
        <v>17</v>
      </c>
      <c r="E614" s="5" t="s">
        <v>1808</v>
      </c>
      <c r="F614" s="71" t="s">
        <v>6105</v>
      </c>
      <c r="G614" s="22" t="s">
        <v>85</v>
      </c>
      <c r="H614" s="5" t="s">
        <v>120</v>
      </c>
      <c r="I614" s="5" t="s">
        <v>26</v>
      </c>
      <c r="J614" s="5" t="s">
        <v>5767</v>
      </c>
      <c r="K614" s="5" t="s">
        <v>1809</v>
      </c>
      <c r="L614" s="22"/>
      <c r="M614" s="8" t="str">
        <f t="shared" si="90"/>
        <v>Ok</v>
      </c>
      <c r="N614" s="9" t="b">
        <f t="shared" si="91"/>
        <v>0</v>
      </c>
      <c r="O614" s="9" t="b">
        <f t="shared" si="92"/>
        <v>1</v>
      </c>
      <c r="P614" s="8" t="str">
        <f t="shared" si="93"/>
        <v>FALSE</v>
      </c>
      <c r="Q614" s="8" t="str">
        <f t="shared" si="94"/>
        <v>FALSE</v>
      </c>
      <c r="R614" s="9" t="b">
        <f t="shared" si="95"/>
        <v>1</v>
      </c>
      <c r="S614" s="8" t="b">
        <f t="shared" si="96"/>
        <v>1</v>
      </c>
      <c r="T614" s="10" t="b">
        <f t="shared" si="97"/>
        <v>0</v>
      </c>
      <c r="U614" s="8" t="str">
        <f t="shared" si="98"/>
        <v>FALSE</v>
      </c>
      <c r="V614" s="11" t="str">
        <f t="shared" si="99"/>
        <v>FALSE</v>
      </c>
    </row>
    <row r="615" spans="1:22" ht="15.75">
      <c r="A615" s="21">
        <v>613</v>
      </c>
      <c r="B615" s="5" t="s">
        <v>1810</v>
      </c>
      <c r="C615" s="23" t="s">
        <v>3028</v>
      </c>
      <c r="D615" s="23" t="s">
        <v>34</v>
      </c>
      <c r="E615" s="5" t="s">
        <v>1793</v>
      </c>
      <c r="F615" s="71" t="s">
        <v>6105</v>
      </c>
      <c r="G615" s="22" t="s">
        <v>40</v>
      </c>
      <c r="H615" s="5" t="s">
        <v>71</v>
      </c>
      <c r="I615" s="5" t="s">
        <v>26</v>
      </c>
      <c r="J615" s="5" t="s">
        <v>5378</v>
      </c>
      <c r="K615" s="5" t="s">
        <v>1811</v>
      </c>
      <c r="L615" s="22"/>
      <c r="M615" s="8" t="str">
        <f t="shared" si="90"/>
        <v>Ok</v>
      </c>
      <c r="N615" s="9" t="b">
        <f t="shared" si="91"/>
        <v>0</v>
      </c>
      <c r="O615" s="9" t="b">
        <f t="shared" si="92"/>
        <v>0</v>
      </c>
      <c r="P615" s="8" t="str">
        <f t="shared" si="93"/>
        <v>FALSE</v>
      </c>
      <c r="Q615" s="8" t="str">
        <f t="shared" si="94"/>
        <v>FALSE</v>
      </c>
      <c r="R615" s="9" t="b">
        <f t="shared" si="95"/>
        <v>1</v>
      </c>
      <c r="S615" s="8" t="b">
        <f t="shared" si="96"/>
        <v>1</v>
      </c>
      <c r="T615" s="10" t="b">
        <f t="shared" si="97"/>
        <v>0</v>
      </c>
      <c r="U615" s="8" t="str">
        <f t="shared" si="98"/>
        <v>TRUE</v>
      </c>
      <c r="V615" s="11" t="str">
        <f t="shared" si="99"/>
        <v>TRUE</v>
      </c>
    </row>
    <row r="616" spans="1:22" ht="15.75">
      <c r="A616" s="21">
        <v>614</v>
      </c>
      <c r="B616" s="5" t="s">
        <v>1812</v>
      </c>
      <c r="C616" s="23" t="s">
        <v>3921</v>
      </c>
      <c r="D616" s="23" t="s">
        <v>17</v>
      </c>
      <c r="E616" s="5" t="s">
        <v>1813</v>
      </c>
      <c r="F616" s="71" t="s">
        <v>6105</v>
      </c>
      <c r="G616" s="22" t="s">
        <v>119</v>
      </c>
      <c r="H616" s="5" t="s">
        <v>86</v>
      </c>
      <c r="I616" s="5" t="s">
        <v>56</v>
      </c>
      <c r="J616" s="5" t="s">
        <v>4978</v>
      </c>
      <c r="K616" s="5">
        <v>814652233</v>
      </c>
      <c r="L616" s="22"/>
      <c r="M616" s="8" t="str">
        <f t="shared" si="90"/>
        <v>Ok</v>
      </c>
      <c r="N616" s="9" t="b">
        <f t="shared" si="91"/>
        <v>0</v>
      </c>
      <c r="O616" s="9" t="b">
        <f t="shared" si="92"/>
        <v>1</v>
      </c>
      <c r="P616" s="8" t="str">
        <f t="shared" si="93"/>
        <v>FALSE</v>
      </c>
      <c r="Q616" s="8" t="str">
        <f t="shared" si="94"/>
        <v>FALSE</v>
      </c>
      <c r="R616" s="9" t="b">
        <f t="shared" si="95"/>
        <v>0</v>
      </c>
      <c r="S616" s="8" t="b">
        <f t="shared" si="96"/>
        <v>0</v>
      </c>
      <c r="T616" s="10" t="b">
        <f t="shared" si="97"/>
        <v>1</v>
      </c>
      <c r="U616" s="8" t="str">
        <f t="shared" si="98"/>
        <v>TRUE</v>
      </c>
      <c r="V616" s="11" t="str">
        <f t="shared" si="99"/>
        <v>FALSE</v>
      </c>
    </row>
    <row r="617" spans="1:22" ht="15.75">
      <c r="A617" s="21">
        <v>615</v>
      </c>
      <c r="B617" s="5" t="s">
        <v>1814</v>
      </c>
      <c r="C617" s="23" t="s">
        <v>3922</v>
      </c>
      <c r="D617" s="23" t="s">
        <v>17</v>
      </c>
      <c r="E617" s="5" t="s">
        <v>1815</v>
      </c>
      <c r="F617" s="71" t="s">
        <v>6105</v>
      </c>
      <c r="G617" s="22" t="s">
        <v>119</v>
      </c>
      <c r="H617" s="5" t="s">
        <v>86</v>
      </c>
      <c r="I617" s="5" t="s">
        <v>21</v>
      </c>
      <c r="J617" s="5" t="s">
        <v>5018</v>
      </c>
      <c r="K617" s="5" t="s">
        <v>1816</v>
      </c>
      <c r="L617" s="22"/>
      <c r="M617" s="8" t="str">
        <f t="shared" si="90"/>
        <v>Ok</v>
      </c>
      <c r="N617" s="9" t="b">
        <f t="shared" si="91"/>
        <v>0</v>
      </c>
      <c r="O617" s="9" t="b">
        <f t="shared" si="92"/>
        <v>1</v>
      </c>
      <c r="P617" s="8" t="str">
        <f t="shared" si="93"/>
        <v>FALSE</v>
      </c>
      <c r="Q617" s="8" t="str">
        <f t="shared" si="94"/>
        <v>FALSE</v>
      </c>
      <c r="R617" s="9" t="b">
        <f t="shared" si="95"/>
        <v>0</v>
      </c>
      <c r="S617" s="8" t="b">
        <f t="shared" si="96"/>
        <v>0</v>
      </c>
      <c r="T617" s="10" t="b">
        <f t="shared" si="97"/>
        <v>0</v>
      </c>
      <c r="U617" s="8" t="str">
        <f t="shared" si="98"/>
        <v>TRUE</v>
      </c>
      <c r="V617" s="11" t="str">
        <f t="shared" si="99"/>
        <v>TRUE</v>
      </c>
    </row>
    <row r="618" spans="1:22" ht="15.75">
      <c r="A618" s="21">
        <v>616</v>
      </c>
      <c r="B618" s="5" t="s">
        <v>1817</v>
      </c>
      <c r="C618" s="23" t="s">
        <v>3844</v>
      </c>
      <c r="D618" s="23" t="s">
        <v>59</v>
      </c>
      <c r="E618" s="5" t="s">
        <v>1818</v>
      </c>
      <c r="F618" s="71" t="s">
        <v>6105</v>
      </c>
      <c r="G618" s="22" t="s">
        <v>144</v>
      </c>
      <c r="H618" s="5" t="s">
        <v>25</v>
      </c>
      <c r="I618" s="5" t="s">
        <v>42</v>
      </c>
      <c r="J618" s="5" t="s">
        <v>5453</v>
      </c>
      <c r="K618" s="5" t="s">
        <v>1819</v>
      </c>
      <c r="L618" s="22"/>
      <c r="M618" s="8" t="str">
        <f t="shared" si="90"/>
        <v>Ok</v>
      </c>
      <c r="N618" s="9" t="b">
        <f t="shared" si="91"/>
        <v>0</v>
      </c>
      <c r="O618" s="9" t="b">
        <f t="shared" si="92"/>
        <v>1</v>
      </c>
      <c r="P618" s="8" t="str">
        <f t="shared" si="93"/>
        <v>FALSE</v>
      </c>
      <c r="Q618" s="8" t="str">
        <f t="shared" si="94"/>
        <v>FALSE</v>
      </c>
      <c r="R618" s="9" t="b">
        <f t="shared" si="95"/>
        <v>1</v>
      </c>
      <c r="S618" s="8" t="b">
        <f t="shared" si="96"/>
        <v>0</v>
      </c>
      <c r="T618" s="10" t="b">
        <f t="shared" si="97"/>
        <v>1</v>
      </c>
      <c r="U618" s="8" t="str">
        <f t="shared" si="98"/>
        <v>TRUE</v>
      </c>
      <c r="V618" s="11" t="str">
        <f t="shared" si="99"/>
        <v>TRUE</v>
      </c>
    </row>
    <row r="619" spans="1:22" ht="15.75">
      <c r="A619" s="21">
        <v>617</v>
      </c>
      <c r="B619" s="5" t="s">
        <v>1820</v>
      </c>
      <c r="C619" s="23" t="s">
        <v>3029</v>
      </c>
      <c r="D619" s="23" t="s">
        <v>34</v>
      </c>
      <c r="E619" s="5" t="s">
        <v>1821</v>
      </c>
      <c r="F619" s="71" t="s">
        <v>6105</v>
      </c>
      <c r="G619" s="22" t="s">
        <v>74</v>
      </c>
      <c r="H619" s="5" t="s">
        <v>71</v>
      </c>
      <c r="I619" s="5" t="s">
        <v>26</v>
      </c>
      <c r="J619" s="5" t="s">
        <v>4848</v>
      </c>
      <c r="K619" s="5" t="s">
        <v>1822</v>
      </c>
      <c r="L619" s="22"/>
      <c r="M619" s="8" t="str">
        <f t="shared" si="90"/>
        <v>Ok</v>
      </c>
      <c r="N619" s="9" t="b">
        <f t="shared" si="91"/>
        <v>0</v>
      </c>
      <c r="O619" s="9" t="b">
        <f t="shared" si="92"/>
        <v>0</v>
      </c>
      <c r="P619" s="8" t="str">
        <f t="shared" si="93"/>
        <v>FALSE</v>
      </c>
      <c r="Q619" s="8" t="str">
        <f t="shared" si="94"/>
        <v>FALSE</v>
      </c>
      <c r="R619" s="9" t="b">
        <f t="shared" si="95"/>
        <v>0</v>
      </c>
      <c r="S619" s="8" t="b">
        <f t="shared" si="96"/>
        <v>1</v>
      </c>
      <c r="T619" s="10" t="b">
        <f t="shared" si="97"/>
        <v>0</v>
      </c>
      <c r="U619" s="8" t="str">
        <f t="shared" si="98"/>
        <v>TRUE</v>
      </c>
      <c r="V619" s="11" t="str">
        <f t="shared" si="99"/>
        <v>TRUE</v>
      </c>
    </row>
    <row r="620" spans="1:22" ht="15.75">
      <c r="A620" s="21">
        <v>618</v>
      </c>
      <c r="B620" s="5" t="s">
        <v>1823</v>
      </c>
      <c r="C620" s="23" t="s">
        <v>3563</v>
      </c>
      <c r="D620" s="23" t="s">
        <v>77</v>
      </c>
      <c r="E620" s="5" t="s">
        <v>1824</v>
      </c>
      <c r="F620" s="71" t="s">
        <v>6105</v>
      </c>
      <c r="G620" s="22" t="s">
        <v>12</v>
      </c>
      <c r="H620" s="5" t="s">
        <v>36</v>
      </c>
      <c r="I620" s="5" t="s">
        <v>42</v>
      </c>
      <c r="J620" s="5" t="s">
        <v>4952</v>
      </c>
      <c r="K620" s="5" t="s">
        <v>1825</v>
      </c>
      <c r="L620" s="22"/>
      <c r="M620" s="8" t="str">
        <f t="shared" si="90"/>
        <v>Ok</v>
      </c>
      <c r="N620" s="9" t="b">
        <f t="shared" si="91"/>
        <v>1</v>
      </c>
      <c r="O620" s="9" t="b">
        <f t="shared" si="92"/>
        <v>0</v>
      </c>
      <c r="P620" s="8" t="str">
        <f t="shared" si="93"/>
        <v>FALSE</v>
      </c>
      <c r="Q620" s="8" t="str">
        <f t="shared" si="94"/>
        <v>FALSE</v>
      </c>
      <c r="R620" s="9" t="b">
        <f t="shared" si="95"/>
        <v>1</v>
      </c>
      <c r="S620" s="8" t="b">
        <f t="shared" si="96"/>
        <v>1</v>
      </c>
      <c r="T620" s="10" t="b">
        <f t="shared" si="97"/>
        <v>1</v>
      </c>
      <c r="U620" s="8" t="str">
        <f t="shared" si="98"/>
        <v>TRUE</v>
      </c>
      <c r="V620" s="11" t="str">
        <f t="shared" si="99"/>
        <v>TRUE</v>
      </c>
    </row>
    <row r="621" spans="1:22" ht="15.75">
      <c r="A621" s="21">
        <v>619</v>
      </c>
      <c r="B621" s="5" t="s">
        <v>1826</v>
      </c>
      <c r="C621" s="23" t="s">
        <v>3564</v>
      </c>
      <c r="D621" s="23" t="s">
        <v>59</v>
      </c>
      <c r="E621" s="5" t="s">
        <v>1827</v>
      </c>
      <c r="F621" s="71" t="s">
        <v>6105</v>
      </c>
      <c r="G621" s="22" t="s">
        <v>12</v>
      </c>
      <c r="H621" s="5" t="s">
        <v>36</v>
      </c>
      <c r="I621" s="5" t="s">
        <v>14</v>
      </c>
      <c r="J621" s="5" t="s">
        <v>5297</v>
      </c>
      <c r="K621" s="5" t="s">
        <v>1828</v>
      </c>
      <c r="L621" s="22"/>
      <c r="M621" s="8" t="str">
        <f t="shared" si="90"/>
        <v>Ok</v>
      </c>
      <c r="N621" s="9" t="b">
        <f t="shared" si="91"/>
        <v>1</v>
      </c>
      <c r="O621" s="9" t="b">
        <f t="shared" si="92"/>
        <v>1</v>
      </c>
      <c r="P621" s="8" t="str">
        <f t="shared" si="93"/>
        <v>FALSE</v>
      </c>
      <c r="Q621" s="8" t="str">
        <f t="shared" si="94"/>
        <v>FALSE</v>
      </c>
      <c r="R621" s="9" t="b">
        <f t="shared" si="95"/>
        <v>1</v>
      </c>
      <c r="S621" s="8" t="b">
        <f t="shared" si="96"/>
        <v>1</v>
      </c>
      <c r="T621" s="10" t="b">
        <f t="shared" si="97"/>
        <v>1</v>
      </c>
      <c r="U621" s="8" t="str">
        <f t="shared" si="98"/>
        <v>TRUE</v>
      </c>
      <c r="V621" s="11" t="str">
        <f t="shared" si="99"/>
        <v>TRUE</v>
      </c>
    </row>
    <row r="622" spans="1:22" ht="15.75">
      <c r="A622" s="21">
        <v>620</v>
      </c>
      <c r="B622" s="5" t="s">
        <v>1829</v>
      </c>
      <c r="C622" s="23" t="s">
        <v>3308</v>
      </c>
      <c r="D622" s="23" t="s">
        <v>77</v>
      </c>
      <c r="E622" s="5" t="s">
        <v>1830</v>
      </c>
      <c r="F622" s="71" t="s">
        <v>6105</v>
      </c>
      <c r="G622" s="22" t="s">
        <v>179</v>
      </c>
      <c r="H622" s="5" t="s">
        <v>3932</v>
      </c>
      <c r="I622" s="5" t="s">
        <v>26</v>
      </c>
      <c r="J622" s="5" t="s">
        <v>4908</v>
      </c>
      <c r="K622" s="5" t="s">
        <v>1831</v>
      </c>
      <c r="L622" s="22"/>
      <c r="M622" s="8" t="str">
        <f t="shared" si="90"/>
        <v>Ok</v>
      </c>
      <c r="N622" s="9" t="b">
        <f t="shared" si="91"/>
        <v>1</v>
      </c>
      <c r="O622" s="9" t="b">
        <f t="shared" si="92"/>
        <v>0</v>
      </c>
      <c r="P622" s="8" t="str">
        <f t="shared" si="93"/>
        <v>FALSE</v>
      </c>
      <c r="Q622" s="8" t="str">
        <f t="shared" si="94"/>
        <v>FALSE</v>
      </c>
      <c r="R622" s="9" t="b">
        <f t="shared" si="95"/>
        <v>1</v>
      </c>
      <c r="S622" s="8" t="b">
        <f t="shared" si="96"/>
        <v>0</v>
      </c>
      <c r="T622" s="10" t="b">
        <f t="shared" si="97"/>
        <v>0</v>
      </c>
      <c r="U622" s="8" t="str">
        <f t="shared" si="98"/>
        <v>TRUE</v>
      </c>
      <c r="V622" s="11" t="str">
        <f t="shared" si="99"/>
        <v>TRUE</v>
      </c>
    </row>
    <row r="623" spans="1:22" ht="15.75">
      <c r="A623" s="21">
        <v>621</v>
      </c>
      <c r="B623" s="5" t="s">
        <v>1832</v>
      </c>
      <c r="C623" s="23" t="s">
        <v>3393</v>
      </c>
      <c r="D623" s="23" t="s">
        <v>17</v>
      </c>
      <c r="E623" s="5" t="s">
        <v>1833</v>
      </c>
      <c r="F623" s="71" t="s">
        <v>6105</v>
      </c>
      <c r="G623" s="22" t="s">
        <v>3933</v>
      </c>
      <c r="H623" s="5" t="s">
        <v>3932</v>
      </c>
      <c r="I623" s="5" t="s">
        <v>67</v>
      </c>
      <c r="J623" s="5" t="s">
        <v>5571</v>
      </c>
      <c r="K623" s="5">
        <v>89756465590</v>
      </c>
      <c r="L623" s="22"/>
      <c r="M623" s="8" t="str">
        <f t="shared" si="90"/>
        <v>Ok</v>
      </c>
      <c r="N623" s="9" t="b">
        <f t="shared" si="91"/>
        <v>1</v>
      </c>
      <c r="O623" s="9" t="b">
        <f t="shared" si="92"/>
        <v>1</v>
      </c>
      <c r="P623" s="8" t="str">
        <f t="shared" si="93"/>
        <v>FALSE</v>
      </c>
      <c r="Q623" s="8" t="str">
        <f t="shared" si="94"/>
        <v>FALSE</v>
      </c>
      <c r="R623" s="9" t="b">
        <f t="shared" si="95"/>
        <v>0</v>
      </c>
      <c r="S623" s="8" t="b">
        <f t="shared" si="96"/>
        <v>0</v>
      </c>
      <c r="T623" s="10" t="b">
        <f t="shared" si="97"/>
        <v>0</v>
      </c>
      <c r="U623" s="8" t="str">
        <f t="shared" si="98"/>
        <v>FALSE</v>
      </c>
      <c r="V623" s="11" t="str">
        <f t="shared" si="99"/>
        <v>FALSE</v>
      </c>
    </row>
    <row r="624" spans="1:22" ht="15.75">
      <c r="A624" s="21">
        <v>622</v>
      </c>
      <c r="B624" s="5" t="s">
        <v>1834</v>
      </c>
      <c r="C624" s="23" t="s">
        <v>3500</v>
      </c>
      <c r="D624" s="23" t="s">
        <v>77</v>
      </c>
      <c r="E624" s="5" t="s">
        <v>1835</v>
      </c>
      <c r="F624" s="71" t="s">
        <v>6105</v>
      </c>
      <c r="G624" s="22" t="s">
        <v>160</v>
      </c>
      <c r="H624" s="5" t="s">
        <v>3932</v>
      </c>
      <c r="I624" s="5" t="s">
        <v>67</v>
      </c>
      <c r="J624" s="5" t="s">
        <v>5558</v>
      </c>
      <c r="K624" s="5" t="s">
        <v>1836</v>
      </c>
      <c r="L624" s="22"/>
      <c r="M624" s="8" t="str">
        <f t="shared" si="90"/>
        <v>Ok</v>
      </c>
      <c r="N624" s="9" t="b">
        <f t="shared" si="91"/>
        <v>1</v>
      </c>
      <c r="O624" s="9" t="b">
        <f t="shared" si="92"/>
        <v>0</v>
      </c>
      <c r="P624" s="8" t="str">
        <f t="shared" si="93"/>
        <v>FALSE</v>
      </c>
      <c r="Q624" s="8" t="str">
        <f t="shared" si="94"/>
        <v>FALSE</v>
      </c>
      <c r="R624" s="9" t="b">
        <f t="shared" si="95"/>
        <v>0</v>
      </c>
      <c r="S624" s="8" t="b">
        <f t="shared" si="96"/>
        <v>0</v>
      </c>
      <c r="T624" s="10" t="b">
        <f t="shared" si="97"/>
        <v>0</v>
      </c>
      <c r="U624" s="8" t="str">
        <f t="shared" si="98"/>
        <v>FALSE</v>
      </c>
      <c r="V624" s="11" t="str">
        <f t="shared" si="99"/>
        <v>TRUE</v>
      </c>
    </row>
    <row r="625" spans="1:22" ht="15.75">
      <c r="A625" s="21">
        <v>623</v>
      </c>
      <c r="B625" s="5" t="s">
        <v>3953</v>
      </c>
      <c r="C625" s="23" t="s">
        <v>3717</v>
      </c>
      <c r="D625" s="23" t="s">
        <v>59</v>
      </c>
      <c r="E625" s="5" t="s">
        <v>1596</v>
      </c>
      <c r="F625" s="71" t="s">
        <v>6105</v>
      </c>
      <c r="G625" s="22" t="s">
        <v>3934</v>
      </c>
      <c r="H625" s="5" t="s">
        <v>13</v>
      </c>
      <c r="I625" s="5" t="s">
        <v>50</v>
      </c>
      <c r="J625" s="5" t="s">
        <v>4901</v>
      </c>
      <c r="K625" s="5" t="s">
        <v>1837</v>
      </c>
      <c r="L625" s="22"/>
      <c r="M625" s="8" t="str">
        <f t="shared" si="90"/>
        <v>Ok</v>
      </c>
      <c r="N625" s="9" t="b">
        <f t="shared" si="91"/>
        <v>0</v>
      </c>
      <c r="O625" s="9" t="b">
        <f t="shared" si="92"/>
        <v>1</v>
      </c>
      <c r="P625" s="8" t="str">
        <f t="shared" si="93"/>
        <v>FALSE</v>
      </c>
      <c r="Q625" s="8" t="str">
        <f t="shared" si="94"/>
        <v>FALSE</v>
      </c>
      <c r="R625" s="9" t="b">
        <f t="shared" si="95"/>
        <v>0</v>
      </c>
      <c r="S625" s="8" t="b">
        <f t="shared" si="96"/>
        <v>0</v>
      </c>
      <c r="T625" s="10" t="b">
        <f t="shared" si="97"/>
        <v>0</v>
      </c>
      <c r="U625" s="8" t="str">
        <f t="shared" si="98"/>
        <v>TRUE</v>
      </c>
      <c r="V625" s="11" t="str">
        <f t="shared" si="99"/>
        <v>TRUE</v>
      </c>
    </row>
    <row r="626" spans="1:22" ht="15.75">
      <c r="A626" s="21">
        <v>624</v>
      </c>
      <c r="B626" s="5" t="s">
        <v>1838</v>
      </c>
      <c r="C626" s="23" t="s">
        <v>3309</v>
      </c>
      <c r="D626" s="23" t="s">
        <v>77</v>
      </c>
      <c r="E626" s="5" t="s">
        <v>1839</v>
      </c>
      <c r="F626" s="71" t="s">
        <v>6105</v>
      </c>
      <c r="G626" s="22" t="s">
        <v>179</v>
      </c>
      <c r="H626" s="5" t="s">
        <v>3932</v>
      </c>
      <c r="I626" s="5" t="s">
        <v>42</v>
      </c>
      <c r="J626" s="5" t="s">
        <v>5305</v>
      </c>
      <c r="K626" s="5">
        <v>89756465591</v>
      </c>
      <c r="L626" s="22"/>
      <c r="M626" s="8" t="str">
        <f t="shared" si="90"/>
        <v>Ok</v>
      </c>
      <c r="N626" s="9" t="b">
        <f t="shared" si="91"/>
        <v>1</v>
      </c>
      <c r="O626" s="9" t="b">
        <f t="shared" si="92"/>
        <v>0</v>
      </c>
      <c r="P626" s="8" t="str">
        <f t="shared" si="93"/>
        <v>FALSE</v>
      </c>
      <c r="Q626" s="8" t="str">
        <f t="shared" si="94"/>
        <v>FALSE</v>
      </c>
      <c r="R626" s="9" t="b">
        <f t="shared" si="95"/>
        <v>1</v>
      </c>
      <c r="S626" s="8" t="b">
        <f t="shared" si="96"/>
        <v>0</v>
      </c>
      <c r="T626" s="10" t="b">
        <f t="shared" si="97"/>
        <v>1</v>
      </c>
      <c r="U626" s="8" t="str">
        <f t="shared" si="98"/>
        <v>TRUE</v>
      </c>
      <c r="V626" s="11" t="str">
        <f t="shared" si="99"/>
        <v>FALSE</v>
      </c>
    </row>
    <row r="627" spans="1:22" ht="15.75">
      <c r="A627" s="21">
        <v>625</v>
      </c>
      <c r="B627" s="5" t="s">
        <v>1840</v>
      </c>
      <c r="C627" s="23" t="s">
        <v>3162</v>
      </c>
      <c r="D627" s="23" t="s">
        <v>77</v>
      </c>
      <c r="E627" s="5" t="s">
        <v>1841</v>
      </c>
      <c r="F627" s="71" t="s">
        <v>6105</v>
      </c>
      <c r="G627" s="22" t="s">
        <v>179</v>
      </c>
      <c r="H627" s="5" t="s">
        <v>3932</v>
      </c>
      <c r="I627" s="5" t="s">
        <v>21</v>
      </c>
      <c r="J627" s="5" t="s">
        <v>5411</v>
      </c>
      <c r="K627" s="5" t="s">
        <v>1842</v>
      </c>
      <c r="L627" s="22"/>
      <c r="M627" s="8" t="str">
        <f t="shared" si="90"/>
        <v>Ok</v>
      </c>
      <c r="N627" s="9" t="b">
        <f t="shared" si="91"/>
        <v>0</v>
      </c>
      <c r="O627" s="9" t="b">
        <f t="shared" si="92"/>
        <v>0</v>
      </c>
      <c r="P627" s="8" t="str">
        <f t="shared" si="93"/>
        <v>FALSE</v>
      </c>
      <c r="Q627" s="8" t="str">
        <f t="shared" si="94"/>
        <v>FALSE</v>
      </c>
      <c r="R627" s="9" t="b">
        <f t="shared" si="95"/>
        <v>1</v>
      </c>
      <c r="S627" s="8" t="b">
        <f t="shared" si="96"/>
        <v>0</v>
      </c>
      <c r="T627" s="10" t="b">
        <f t="shared" si="97"/>
        <v>0</v>
      </c>
      <c r="U627" s="8" t="str">
        <f t="shared" si="98"/>
        <v>TRUE</v>
      </c>
      <c r="V627" s="11" t="str">
        <f t="shared" si="99"/>
        <v>TRUE</v>
      </c>
    </row>
    <row r="628" spans="1:22" ht="15.75">
      <c r="A628" s="21">
        <v>626</v>
      </c>
      <c r="B628" s="5" t="s">
        <v>1843</v>
      </c>
      <c r="C628" s="23" t="s">
        <v>3501</v>
      </c>
      <c r="D628" s="23" t="s">
        <v>77</v>
      </c>
      <c r="E628" s="5" t="s">
        <v>1844</v>
      </c>
      <c r="F628" s="71" t="s">
        <v>6105</v>
      </c>
      <c r="G628" s="22" t="s">
        <v>160</v>
      </c>
      <c r="H628" s="5" t="s">
        <v>3932</v>
      </c>
      <c r="I628" s="5" t="s">
        <v>14</v>
      </c>
      <c r="J628" s="5" t="s">
        <v>4871</v>
      </c>
      <c r="K628" s="5" t="s">
        <v>1845</v>
      </c>
      <c r="L628" s="22"/>
      <c r="M628" s="8" t="str">
        <f t="shared" si="90"/>
        <v>Ok</v>
      </c>
      <c r="N628" s="9" t="b">
        <f t="shared" si="91"/>
        <v>1</v>
      </c>
      <c r="O628" s="9" t="b">
        <f t="shared" si="92"/>
        <v>0</v>
      </c>
      <c r="P628" s="8" t="str">
        <f t="shared" si="93"/>
        <v>FALSE</v>
      </c>
      <c r="Q628" s="8" t="str">
        <f t="shared" si="94"/>
        <v>FALSE</v>
      </c>
      <c r="R628" s="9" t="b">
        <f t="shared" si="95"/>
        <v>0</v>
      </c>
      <c r="S628" s="8" t="b">
        <f t="shared" si="96"/>
        <v>0</v>
      </c>
      <c r="T628" s="10" t="b">
        <f t="shared" si="97"/>
        <v>1</v>
      </c>
      <c r="U628" s="8" t="str">
        <f t="shared" si="98"/>
        <v>TRUE</v>
      </c>
      <c r="V628" s="11" t="str">
        <f t="shared" si="99"/>
        <v>TRUE</v>
      </c>
    </row>
    <row r="629" spans="1:22" ht="15.75">
      <c r="A629" s="21">
        <v>627</v>
      </c>
      <c r="B629" s="5" t="s">
        <v>1846</v>
      </c>
      <c r="C629" s="23" t="s">
        <v>3030</v>
      </c>
      <c r="D629" s="23" t="s">
        <v>34</v>
      </c>
      <c r="E629" s="5" t="s">
        <v>1847</v>
      </c>
      <c r="F629" s="71" t="s">
        <v>6105</v>
      </c>
      <c r="G629" s="22" t="s">
        <v>179</v>
      </c>
      <c r="H629" s="5" t="s">
        <v>3932</v>
      </c>
      <c r="I629" s="5" t="s">
        <v>67</v>
      </c>
      <c r="J629" s="5" t="s">
        <v>5209</v>
      </c>
      <c r="K629" s="5" t="s">
        <v>1848</v>
      </c>
      <c r="L629" s="22"/>
      <c r="M629" s="8" t="str">
        <f t="shared" si="90"/>
        <v>Ok</v>
      </c>
      <c r="N629" s="9" t="b">
        <f t="shared" si="91"/>
        <v>0</v>
      </c>
      <c r="O629" s="9" t="b">
        <f t="shared" si="92"/>
        <v>0</v>
      </c>
      <c r="P629" s="8" t="str">
        <f t="shared" si="93"/>
        <v>FALSE</v>
      </c>
      <c r="Q629" s="8" t="str">
        <f t="shared" si="94"/>
        <v>FALSE</v>
      </c>
      <c r="R629" s="9" t="b">
        <f t="shared" si="95"/>
        <v>1</v>
      </c>
      <c r="S629" s="8" t="b">
        <f t="shared" si="96"/>
        <v>0</v>
      </c>
      <c r="T629" s="10" t="b">
        <f t="shared" si="97"/>
        <v>0</v>
      </c>
      <c r="U629" s="8" t="str">
        <f t="shared" si="98"/>
        <v>TRUE</v>
      </c>
      <c r="V629" s="11" t="str">
        <f t="shared" si="99"/>
        <v>TRUE</v>
      </c>
    </row>
    <row r="630" spans="1:22" ht="15.75">
      <c r="A630" s="21">
        <v>628</v>
      </c>
      <c r="B630" s="5" t="s">
        <v>1849</v>
      </c>
      <c r="C630" s="23" t="s">
        <v>3031</v>
      </c>
      <c r="D630" s="23" t="s">
        <v>34</v>
      </c>
      <c r="E630" s="5" t="s">
        <v>664</v>
      </c>
      <c r="F630" s="71" t="s">
        <v>6105</v>
      </c>
      <c r="G630" s="22" t="s">
        <v>40</v>
      </c>
      <c r="H630" s="5" t="s">
        <v>71</v>
      </c>
      <c r="I630" s="5" t="s">
        <v>42</v>
      </c>
      <c r="J630" s="5" t="s">
        <v>5568</v>
      </c>
      <c r="K630" s="5" t="s">
        <v>1850</v>
      </c>
      <c r="L630" s="22"/>
      <c r="M630" s="8" t="str">
        <f t="shared" si="90"/>
        <v>Ok</v>
      </c>
      <c r="N630" s="9" t="b">
        <f t="shared" si="91"/>
        <v>0</v>
      </c>
      <c r="O630" s="9" t="b">
        <f t="shared" si="92"/>
        <v>0</v>
      </c>
      <c r="P630" s="8" t="str">
        <f t="shared" si="93"/>
        <v>FALSE</v>
      </c>
      <c r="Q630" s="8" t="str">
        <f t="shared" si="94"/>
        <v>FALSE</v>
      </c>
      <c r="R630" s="9" t="b">
        <f t="shared" si="95"/>
        <v>1</v>
      </c>
      <c r="S630" s="8" t="b">
        <f t="shared" si="96"/>
        <v>1</v>
      </c>
      <c r="T630" s="10" t="b">
        <f t="shared" si="97"/>
        <v>1</v>
      </c>
      <c r="U630" s="8" t="str">
        <f t="shared" si="98"/>
        <v>FALSE</v>
      </c>
      <c r="V630" s="11" t="str">
        <f t="shared" si="99"/>
        <v>TRUE</v>
      </c>
    </row>
    <row r="631" spans="1:22" ht="15.75">
      <c r="A631" s="21">
        <v>629</v>
      </c>
      <c r="B631" s="5" t="s">
        <v>1851</v>
      </c>
      <c r="C631" s="23" t="s">
        <v>3718</v>
      </c>
      <c r="D631" s="23" t="s">
        <v>59</v>
      </c>
      <c r="E631" s="5" t="s">
        <v>1852</v>
      </c>
      <c r="F631" s="71" t="s">
        <v>6105</v>
      </c>
      <c r="G631" s="22" t="s">
        <v>3934</v>
      </c>
      <c r="H631" s="5" t="s">
        <v>13</v>
      </c>
      <c r="I631" s="5" t="s">
        <v>14</v>
      </c>
      <c r="J631" s="5" t="s">
        <v>5586</v>
      </c>
      <c r="K631" s="5" t="s">
        <v>1853</v>
      </c>
      <c r="L631" s="22"/>
      <c r="M631" s="8" t="str">
        <f t="shared" si="90"/>
        <v>Ok</v>
      </c>
      <c r="N631" s="9" t="b">
        <f t="shared" si="91"/>
        <v>0</v>
      </c>
      <c r="O631" s="9" t="b">
        <f t="shared" si="92"/>
        <v>1</v>
      </c>
      <c r="P631" s="8" t="str">
        <f t="shared" si="93"/>
        <v>FALSE</v>
      </c>
      <c r="Q631" s="8" t="str">
        <f t="shared" si="94"/>
        <v>FALSE</v>
      </c>
      <c r="R631" s="9" t="b">
        <f t="shared" si="95"/>
        <v>0</v>
      </c>
      <c r="S631" s="8" t="b">
        <f t="shared" si="96"/>
        <v>0</v>
      </c>
      <c r="T631" s="10" t="b">
        <f t="shared" si="97"/>
        <v>1</v>
      </c>
      <c r="U631" s="8" t="str">
        <f t="shared" si="98"/>
        <v>FALSE</v>
      </c>
      <c r="V631" s="11" t="str">
        <f t="shared" si="99"/>
        <v>TRUE</v>
      </c>
    </row>
    <row r="632" spans="1:22" ht="15.75">
      <c r="A632" s="21">
        <v>630</v>
      </c>
      <c r="B632" s="5" t="s">
        <v>1854</v>
      </c>
      <c r="C632" s="23" t="s">
        <v>3565</v>
      </c>
      <c r="D632" s="23" t="s">
        <v>59</v>
      </c>
      <c r="E632" s="5" t="s">
        <v>1855</v>
      </c>
      <c r="F632" s="71" t="s">
        <v>6105</v>
      </c>
      <c r="G632" s="22" t="s">
        <v>12</v>
      </c>
      <c r="H632" s="5" t="s">
        <v>13</v>
      </c>
      <c r="I632" s="5" t="s">
        <v>21</v>
      </c>
      <c r="J632" s="5" t="s">
        <v>5530</v>
      </c>
      <c r="K632" s="5">
        <v>89756465592</v>
      </c>
      <c r="L632" s="22"/>
      <c r="M632" s="8" t="str">
        <f t="shared" si="90"/>
        <v>Ok</v>
      </c>
      <c r="N632" s="9" t="b">
        <f t="shared" si="91"/>
        <v>1</v>
      </c>
      <c r="O632" s="9" t="b">
        <f t="shared" si="92"/>
        <v>1</v>
      </c>
      <c r="P632" s="8" t="str">
        <f t="shared" si="93"/>
        <v>FALSE</v>
      </c>
      <c r="Q632" s="8" t="str">
        <f t="shared" si="94"/>
        <v>FALSE</v>
      </c>
      <c r="R632" s="9" t="b">
        <f t="shared" si="95"/>
        <v>1</v>
      </c>
      <c r="S632" s="8" t="b">
        <f t="shared" si="96"/>
        <v>0</v>
      </c>
      <c r="T632" s="10" t="b">
        <f t="shared" si="97"/>
        <v>0</v>
      </c>
      <c r="U632" s="8" t="str">
        <f t="shared" si="98"/>
        <v>FALSE</v>
      </c>
      <c r="V632" s="11" t="str">
        <f t="shared" si="99"/>
        <v>FALSE</v>
      </c>
    </row>
    <row r="633" spans="1:22" ht="15.75">
      <c r="A633" s="21">
        <v>631</v>
      </c>
      <c r="B633" s="5" t="s">
        <v>1856</v>
      </c>
      <c r="C633" s="23" t="s">
        <v>3254</v>
      </c>
      <c r="D633" s="23" t="s">
        <v>77</v>
      </c>
      <c r="E633" s="5" t="s">
        <v>1857</v>
      </c>
      <c r="F633" s="71" t="s">
        <v>6105</v>
      </c>
      <c r="G633" s="22" t="s">
        <v>179</v>
      </c>
      <c r="H633" s="5" t="s">
        <v>3932</v>
      </c>
      <c r="I633" s="5" t="s">
        <v>21</v>
      </c>
      <c r="J633" s="5" t="s">
        <v>5471</v>
      </c>
      <c r="K633" s="5" t="s">
        <v>1858</v>
      </c>
      <c r="L633" s="22"/>
      <c r="M633" s="8" t="str">
        <f t="shared" si="90"/>
        <v>Ok</v>
      </c>
      <c r="N633" s="9" t="b">
        <f t="shared" si="91"/>
        <v>1</v>
      </c>
      <c r="O633" s="9" t="b">
        <f t="shared" si="92"/>
        <v>0</v>
      </c>
      <c r="P633" s="8" t="str">
        <f t="shared" si="93"/>
        <v>FALSE</v>
      </c>
      <c r="Q633" s="8" t="str">
        <f t="shared" si="94"/>
        <v>FALSE</v>
      </c>
      <c r="R633" s="9" t="b">
        <f t="shared" si="95"/>
        <v>1</v>
      </c>
      <c r="S633" s="8" t="b">
        <f t="shared" si="96"/>
        <v>0</v>
      </c>
      <c r="T633" s="10" t="b">
        <f t="shared" si="97"/>
        <v>0</v>
      </c>
      <c r="U633" s="8" t="str">
        <f t="shared" si="98"/>
        <v>FALSE</v>
      </c>
      <c r="V633" s="11" t="str">
        <f t="shared" si="99"/>
        <v>TRUE</v>
      </c>
    </row>
    <row r="634" spans="1:22" ht="15.75">
      <c r="A634" s="21">
        <v>632</v>
      </c>
      <c r="B634" s="5" t="s">
        <v>1859</v>
      </c>
      <c r="C634" s="23" t="s">
        <v>3796</v>
      </c>
      <c r="D634" s="23" t="s">
        <v>59</v>
      </c>
      <c r="E634" s="5" t="s">
        <v>1860</v>
      </c>
      <c r="F634" s="71" t="s">
        <v>6105</v>
      </c>
      <c r="G634" s="22" t="s">
        <v>24</v>
      </c>
      <c r="H634" s="5" t="s">
        <v>46</v>
      </c>
      <c r="I634" s="5" t="s">
        <v>21</v>
      </c>
      <c r="J634" s="5" t="s">
        <v>5053</v>
      </c>
      <c r="K634" s="5" t="s">
        <v>1861</v>
      </c>
      <c r="L634" s="22"/>
      <c r="M634" s="8" t="str">
        <f t="shared" si="90"/>
        <v>Ok</v>
      </c>
      <c r="N634" s="9" t="b">
        <f t="shared" si="91"/>
        <v>0</v>
      </c>
      <c r="O634" s="9" t="b">
        <f t="shared" si="92"/>
        <v>1</v>
      </c>
      <c r="P634" s="8" t="str">
        <f t="shared" si="93"/>
        <v>FALSE</v>
      </c>
      <c r="Q634" s="8" t="str">
        <f t="shared" si="94"/>
        <v>FALSE</v>
      </c>
      <c r="R634" s="9" t="b">
        <f t="shared" si="95"/>
        <v>0</v>
      </c>
      <c r="S634" s="8" t="b">
        <f t="shared" si="96"/>
        <v>0</v>
      </c>
      <c r="T634" s="10" t="b">
        <f t="shared" si="97"/>
        <v>0</v>
      </c>
      <c r="U634" s="8" t="str">
        <f t="shared" si="98"/>
        <v>TRUE</v>
      </c>
      <c r="V634" s="11" t="str">
        <f t="shared" si="99"/>
        <v>TRUE</v>
      </c>
    </row>
    <row r="635" spans="1:22" ht="15.75">
      <c r="A635" s="21">
        <v>633</v>
      </c>
      <c r="B635" s="5" t="s">
        <v>1862</v>
      </c>
      <c r="C635" s="23" t="s">
        <v>3163</v>
      </c>
      <c r="D635" s="23" t="s">
        <v>77</v>
      </c>
      <c r="E635" s="5" t="s">
        <v>1863</v>
      </c>
      <c r="F635" s="71" t="s">
        <v>6105</v>
      </c>
      <c r="G635" s="22" t="s">
        <v>179</v>
      </c>
      <c r="H635" s="5" t="s">
        <v>3932</v>
      </c>
      <c r="I635" s="5" t="s">
        <v>21</v>
      </c>
      <c r="J635" s="5" t="s">
        <v>4903</v>
      </c>
      <c r="K635" s="5" t="s">
        <v>1864</v>
      </c>
      <c r="L635" s="22"/>
      <c r="M635" s="8" t="str">
        <f t="shared" si="90"/>
        <v>Ok</v>
      </c>
      <c r="N635" s="9" t="b">
        <f t="shared" si="91"/>
        <v>0</v>
      </c>
      <c r="O635" s="9" t="b">
        <f t="shared" si="92"/>
        <v>0</v>
      </c>
      <c r="P635" s="8" t="str">
        <f t="shared" si="93"/>
        <v>FALSE</v>
      </c>
      <c r="Q635" s="8" t="str">
        <f t="shared" si="94"/>
        <v>FALSE</v>
      </c>
      <c r="R635" s="9" t="b">
        <f t="shared" si="95"/>
        <v>1</v>
      </c>
      <c r="S635" s="8" t="b">
        <f t="shared" si="96"/>
        <v>0</v>
      </c>
      <c r="T635" s="10" t="b">
        <f t="shared" si="97"/>
        <v>0</v>
      </c>
      <c r="U635" s="8" t="str">
        <f t="shared" si="98"/>
        <v>TRUE</v>
      </c>
      <c r="V635" s="11" t="str">
        <f t="shared" si="99"/>
        <v>TRUE</v>
      </c>
    </row>
    <row r="636" spans="1:22" ht="15.75">
      <c r="A636" s="21">
        <v>634</v>
      </c>
      <c r="B636" s="5" t="s">
        <v>1865</v>
      </c>
      <c r="C636" s="23" t="s">
        <v>3719</v>
      </c>
      <c r="D636" s="23" t="s">
        <v>59</v>
      </c>
      <c r="E636" s="5" t="s">
        <v>1866</v>
      </c>
      <c r="F636" s="71" t="s">
        <v>6105</v>
      </c>
      <c r="G636" s="22" t="s">
        <v>3934</v>
      </c>
      <c r="H636" s="5" t="s">
        <v>13</v>
      </c>
      <c r="I636" s="5" t="s">
        <v>50</v>
      </c>
      <c r="J636" s="5" t="s">
        <v>5739</v>
      </c>
      <c r="K636" s="5">
        <v>847071151</v>
      </c>
      <c r="L636" s="22"/>
      <c r="M636" s="8" t="str">
        <f t="shared" si="90"/>
        <v>Ok</v>
      </c>
      <c r="N636" s="9" t="b">
        <f t="shared" si="91"/>
        <v>0</v>
      </c>
      <c r="O636" s="9" t="b">
        <f t="shared" si="92"/>
        <v>1</v>
      </c>
      <c r="P636" s="8" t="str">
        <f t="shared" si="93"/>
        <v>FALSE</v>
      </c>
      <c r="Q636" s="8" t="str">
        <f t="shared" si="94"/>
        <v>FALSE</v>
      </c>
      <c r="R636" s="9" t="b">
        <f t="shared" si="95"/>
        <v>0</v>
      </c>
      <c r="S636" s="8" t="b">
        <f t="shared" si="96"/>
        <v>0</v>
      </c>
      <c r="T636" s="10" t="b">
        <f t="shared" si="97"/>
        <v>0</v>
      </c>
      <c r="U636" s="8" t="str">
        <f t="shared" si="98"/>
        <v>FALSE</v>
      </c>
      <c r="V636" s="11" t="str">
        <f t="shared" si="99"/>
        <v>FALSE</v>
      </c>
    </row>
    <row r="637" spans="1:22" ht="15.75">
      <c r="A637" s="21">
        <v>635</v>
      </c>
      <c r="B637" s="5" t="s">
        <v>1867</v>
      </c>
      <c r="C637" s="23" t="s">
        <v>3720</v>
      </c>
      <c r="D637" s="23" t="s">
        <v>17</v>
      </c>
      <c r="E637" s="5" t="s">
        <v>1868</v>
      </c>
      <c r="F637" s="71" t="s">
        <v>6105</v>
      </c>
      <c r="G637" s="22" t="s">
        <v>3934</v>
      </c>
      <c r="H637" s="5" t="s">
        <v>13</v>
      </c>
      <c r="I637" s="5" t="s">
        <v>26</v>
      </c>
      <c r="J637" s="5" t="s">
        <v>5510</v>
      </c>
      <c r="K637" s="5" t="s">
        <v>1869</v>
      </c>
      <c r="L637" s="22"/>
      <c r="M637" s="8" t="str">
        <f t="shared" si="90"/>
        <v>Ok</v>
      </c>
      <c r="N637" s="9" t="b">
        <f t="shared" si="91"/>
        <v>0</v>
      </c>
      <c r="O637" s="9" t="b">
        <f t="shared" si="92"/>
        <v>1</v>
      </c>
      <c r="P637" s="8" t="str">
        <f t="shared" si="93"/>
        <v>FALSE</v>
      </c>
      <c r="Q637" s="8" t="str">
        <f t="shared" si="94"/>
        <v>FALSE</v>
      </c>
      <c r="R637" s="9" t="b">
        <f t="shared" si="95"/>
        <v>0</v>
      </c>
      <c r="S637" s="8" t="b">
        <f t="shared" si="96"/>
        <v>0</v>
      </c>
      <c r="T637" s="10" t="b">
        <f t="shared" si="97"/>
        <v>0</v>
      </c>
      <c r="U637" s="8" t="str">
        <f t="shared" si="98"/>
        <v>FALSE</v>
      </c>
      <c r="V637" s="11" t="str">
        <f t="shared" si="99"/>
        <v>TRUE</v>
      </c>
    </row>
    <row r="638" spans="1:22" ht="15.75">
      <c r="A638" s="21">
        <v>636</v>
      </c>
      <c r="B638" s="5" t="s">
        <v>1870</v>
      </c>
      <c r="C638" s="23" t="s">
        <v>3721</v>
      </c>
      <c r="D638" s="23" t="s">
        <v>59</v>
      </c>
      <c r="E638" s="5" t="s">
        <v>1871</v>
      </c>
      <c r="F638" s="71" t="s">
        <v>6105</v>
      </c>
      <c r="G638" s="22" t="s">
        <v>3934</v>
      </c>
      <c r="H638" s="5" t="s">
        <v>13</v>
      </c>
      <c r="I638" s="5" t="s">
        <v>21</v>
      </c>
      <c r="J638" s="5" t="s">
        <v>5034</v>
      </c>
      <c r="K638" s="5" t="s">
        <v>1872</v>
      </c>
      <c r="L638" s="22"/>
      <c r="M638" s="8" t="str">
        <f t="shared" si="90"/>
        <v>Ok</v>
      </c>
      <c r="N638" s="9" t="b">
        <f t="shared" si="91"/>
        <v>0</v>
      </c>
      <c r="O638" s="9" t="b">
        <f t="shared" si="92"/>
        <v>1</v>
      </c>
      <c r="P638" s="8" t="str">
        <f t="shared" si="93"/>
        <v>FALSE</v>
      </c>
      <c r="Q638" s="8" t="str">
        <f t="shared" si="94"/>
        <v>FALSE</v>
      </c>
      <c r="R638" s="9" t="b">
        <f t="shared" si="95"/>
        <v>0</v>
      </c>
      <c r="S638" s="8" t="b">
        <f t="shared" si="96"/>
        <v>0</v>
      </c>
      <c r="T638" s="10" t="b">
        <f t="shared" si="97"/>
        <v>0</v>
      </c>
      <c r="U638" s="8" t="str">
        <f t="shared" si="98"/>
        <v>TRUE</v>
      </c>
      <c r="V638" s="11" t="str">
        <f t="shared" si="99"/>
        <v>TRUE</v>
      </c>
    </row>
    <row r="639" spans="1:22" ht="15.75">
      <c r="A639" s="21">
        <v>637</v>
      </c>
      <c r="B639" s="5" t="s">
        <v>1873</v>
      </c>
      <c r="C639" s="23" t="s">
        <v>3164</v>
      </c>
      <c r="D639" s="23" t="s">
        <v>77</v>
      </c>
      <c r="E639" s="5" t="s">
        <v>1874</v>
      </c>
      <c r="F639" s="71" t="s">
        <v>6105</v>
      </c>
      <c r="G639" s="22" t="s">
        <v>179</v>
      </c>
      <c r="H639" s="22" t="s">
        <v>179</v>
      </c>
      <c r="I639" s="5" t="s">
        <v>21</v>
      </c>
      <c r="J639" s="5" t="s">
        <v>5730</v>
      </c>
      <c r="K639" s="5" t="s">
        <v>1875</v>
      </c>
      <c r="L639" s="22"/>
      <c r="M639" s="8" t="str">
        <f t="shared" si="90"/>
        <v>Ok</v>
      </c>
      <c r="N639" s="9" t="b">
        <f t="shared" si="91"/>
        <v>0</v>
      </c>
      <c r="O639" s="9" t="b">
        <f t="shared" si="92"/>
        <v>0</v>
      </c>
      <c r="P639" s="8" t="str">
        <f t="shared" si="93"/>
        <v>FALSE</v>
      </c>
      <c r="Q639" s="8" t="str">
        <f t="shared" si="94"/>
        <v>FALSE</v>
      </c>
      <c r="R639" s="9" t="b">
        <f t="shared" si="95"/>
        <v>1</v>
      </c>
      <c r="S639" s="8" t="b">
        <f t="shared" si="96"/>
        <v>1</v>
      </c>
      <c r="T639" s="10" t="b">
        <f t="shared" si="97"/>
        <v>0</v>
      </c>
      <c r="U639" s="8" t="str">
        <f t="shared" si="98"/>
        <v>FALSE</v>
      </c>
      <c r="V639" s="11" t="str">
        <f t="shared" si="99"/>
        <v>TRUE</v>
      </c>
    </row>
    <row r="640" spans="1:22" ht="15.75">
      <c r="A640" s="21">
        <v>638</v>
      </c>
      <c r="B640" s="5" t="s">
        <v>1876</v>
      </c>
      <c r="C640" s="23" t="s">
        <v>3722</v>
      </c>
      <c r="D640" s="23" t="s">
        <v>59</v>
      </c>
      <c r="E640" s="5" t="s">
        <v>1877</v>
      </c>
      <c r="F640" s="71" t="s">
        <v>6105</v>
      </c>
      <c r="G640" s="22" t="s">
        <v>3934</v>
      </c>
      <c r="H640" s="5" t="s">
        <v>13</v>
      </c>
      <c r="I640" s="5" t="s">
        <v>67</v>
      </c>
      <c r="J640" s="5" t="s">
        <v>4864</v>
      </c>
      <c r="K640" s="5" t="s">
        <v>1878</v>
      </c>
      <c r="L640" s="22"/>
      <c r="M640" s="8" t="str">
        <f t="shared" si="90"/>
        <v>Ok</v>
      </c>
      <c r="N640" s="9" t="b">
        <f t="shared" si="91"/>
        <v>0</v>
      </c>
      <c r="O640" s="9" t="b">
        <f t="shared" si="92"/>
        <v>1</v>
      </c>
      <c r="P640" s="8" t="str">
        <f t="shared" si="93"/>
        <v>FALSE</v>
      </c>
      <c r="Q640" s="8" t="str">
        <f t="shared" si="94"/>
        <v>FALSE</v>
      </c>
      <c r="R640" s="9" t="b">
        <f t="shared" si="95"/>
        <v>0</v>
      </c>
      <c r="S640" s="8" t="b">
        <f t="shared" si="96"/>
        <v>0</v>
      </c>
      <c r="T640" s="10" t="b">
        <f t="shared" si="97"/>
        <v>0</v>
      </c>
      <c r="U640" s="8" t="str">
        <f t="shared" si="98"/>
        <v>TRUE</v>
      </c>
      <c r="V640" s="11" t="str">
        <f t="shared" si="99"/>
        <v>TRUE</v>
      </c>
    </row>
    <row r="641" spans="1:22" ht="15.75">
      <c r="A641" s="21">
        <v>639</v>
      </c>
      <c r="B641" s="5" t="s">
        <v>1879</v>
      </c>
      <c r="C641" s="23" t="s">
        <v>3630</v>
      </c>
      <c r="D641" s="23" t="s">
        <v>59</v>
      </c>
      <c r="E641" s="5" t="s">
        <v>1880</v>
      </c>
      <c r="F641" s="71" t="s">
        <v>6105</v>
      </c>
      <c r="G641" s="22" t="s">
        <v>160</v>
      </c>
      <c r="H641" s="5" t="s">
        <v>13</v>
      </c>
      <c r="I641" s="5" t="s">
        <v>50</v>
      </c>
      <c r="J641" s="5" t="s">
        <v>5743</v>
      </c>
      <c r="K641" s="5" t="s">
        <v>1881</v>
      </c>
      <c r="L641" s="22"/>
      <c r="M641" s="8" t="str">
        <f t="shared" si="90"/>
        <v>Ok</v>
      </c>
      <c r="N641" s="9" t="b">
        <f t="shared" si="91"/>
        <v>1</v>
      </c>
      <c r="O641" s="9" t="b">
        <f t="shared" si="92"/>
        <v>1</v>
      </c>
      <c r="P641" s="8" t="str">
        <f t="shared" si="93"/>
        <v>FALSE</v>
      </c>
      <c r="Q641" s="8" t="str">
        <f t="shared" si="94"/>
        <v>FALSE</v>
      </c>
      <c r="R641" s="9" t="b">
        <f t="shared" si="95"/>
        <v>0</v>
      </c>
      <c r="S641" s="8" t="b">
        <f t="shared" si="96"/>
        <v>0</v>
      </c>
      <c r="T641" s="10" t="b">
        <f t="shared" si="97"/>
        <v>0</v>
      </c>
      <c r="U641" s="8" t="str">
        <f t="shared" si="98"/>
        <v>FALSE</v>
      </c>
      <c r="V641" s="11" t="str">
        <f t="shared" si="99"/>
        <v>TRUE</v>
      </c>
    </row>
    <row r="642" spans="1:22" ht="15.75">
      <c r="A642" s="21">
        <v>640</v>
      </c>
      <c r="B642" s="5" t="s">
        <v>1882</v>
      </c>
      <c r="C642" s="23" t="s">
        <v>3394</v>
      </c>
      <c r="D642" s="23" t="s">
        <v>17</v>
      </c>
      <c r="E642" s="5" t="s">
        <v>1883</v>
      </c>
      <c r="F642" s="71" t="s">
        <v>6105</v>
      </c>
      <c r="G642" s="22" t="s">
        <v>3933</v>
      </c>
      <c r="H642" s="5" t="s">
        <v>3932</v>
      </c>
      <c r="I642" s="5" t="s">
        <v>56</v>
      </c>
      <c r="J642" s="5" t="s">
        <v>4858</v>
      </c>
      <c r="K642" s="5" t="s">
        <v>1884</v>
      </c>
      <c r="L642" s="22"/>
      <c r="M642" s="8" t="str">
        <f t="shared" si="90"/>
        <v>Ok</v>
      </c>
      <c r="N642" s="9" t="b">
        <f t="shared" si="91"/>
        <v>1</v>
      </c>
      <c r="O642" s="9" t="b">
        <f t="shared" si="92"/>
        <v>1</v>
      </c>
      <c r="P642" s="8" t="str">
        <f t="shared" si="93"/>
        <v>FALSE</v>
      </c>
      <c r="Q642" s="8" t="str">
        <f t="shared" si="94"/>
        <v>FALSE</v>
      </c>
      <c r="R642" s="9" t="b">
        <f t="shared" si="95"/>
        <v>0</v>
      </c>
      <c r="S642" s="8" t="b">
        <f t="shared" si="96"/>
        <v>0</v>
      </c>
      <c r="T642" s="10" t="b">
        <f t="shared" si="97"/>
        <v>1</v>
      </c>
      <c r="U642" s="8" t="str">
        <f t="shared" si="98"/>
        <v>TRUE</v>
      </c>
      <c r="V642" s="11" t="str">
        <f t="shared" si="99"/>
        <v>TRUE</v>
      </c>
    </row>
    <row r="643" spans="1:22" ht="15.75">
      <c r="A643" s="21">
        <v>641</v>
      </c>
      <c r="B643" s="5" t="s">
        <v>1885</v>
      </c>
      <c r="C643" s="23" t="s">
        <v>3723</v>
      </c>
      <c r="D643" s="23" t="s">
        <v>59</v>
      </c>
      <c r="E643" s="5" t="s">
        <v>1886</v>
      </c>
      <c r="F643" s="71" t="s">
        <v>6105</v>
      </c>
      <c r="G643" s="22" t="s">
        <v>3934</v>
      </c>
      <c r="H643" s="5" t="s">
        <v>13</v>
      </c>
      <c r="I643" s="5" t="s">
        <v>67</v>
      </c>
      <c r="J643" s="5" t="s">
        <v>5147</v>
      </c>
      <c r="K643" s="5" t="s">
        <v>1887</v>
      </c>
      <c r="L643" s="22"/>
      <c r="M643" s="8" t="str">
        <f t="shared" ref="M643:M706" si="100">IF(COUNTIF($B$3:$B$1002,B643)&gt;1,"Duplicate","Ok")</f>
        <v>Ok</v>
      </c>
      <c r="N643" s="9" t="b">
        <f t="shared" ref="N643:N706" si="101">EXACT(C643,PROPER(C643))</f>
        <v>0</v>
      </c>
      <c r="O643" s="9" t="b">
        <f t="shared" ref="O643:O706" si="102">EXACT(D643,PROPER(D643))</f>
        <v>1</v>
      </c>
      <c r="P643" s="8" t="str">
        <f t="shared" ref="P643:P706" si="103">IF(ISNUMBER(E643),"TRUE","FALSE")</f>
        <v>FALSE</v>
      </c>
      <c r="Q643" s="8" t="str">
        <f t="shared" ref="Q643:Q706" si="104">IF(ISNUMBER(F643),"TRUE","FALSE")</f>
        <v>FALSE</v>
      </c>
      <c r="R643" s="9" t="b">
        <f t="shared" ref="R643:R706" si="105">EXACT(G643,PROPER(G643))</f>
        <v>0</v>
      </c>
      <c r="S643" s="8" t="b">
        <f t="shared" ref="S643:S706" si="106">EXACT(H643,PROPER(H643))</f>
        <v>0</v>
      </c>
      <c r="T643" s="10" t="b">
        <f t="shared" ref="T643:T706" si="107">EXACT(I643,PROPER(I643))</f>
        <v>0</v>
      </c>
      <c r="U643" s="8" t="str">
        <f t="shared" ref="U643:U706" si="108">IF(RIGHT(J643,10)="@email.com","TRUE","FALSE")</f>
        <v>TRUE</v>
      </c>
      <c r="V643" s="11" t="str">
        <f t="shared" ref="V643:V706" si="109">IF(LEFT(K643,2)="08","TRUE","FALSE")</f>
        <v>TRUE</v>
      </c>
    </row>
    <row r="644" spans="1:22" ht="15.75">
      <c r="A644" s="21">
        <v>642</v>
      </c>
      <c r="B644" s="5" t="s">
        <v>1888</v>
      </c>
      <c r="C644" s="23" t="s">
        <v>3032</v>
      </c>
      <c r="D644" s="23" t="s">
        <v>34</v>
      </c>
      <c r="E644" s="5" t="s">
        <v>1889</v>
      </c>
      <c r="F644" s="71" t="s">
        <v>6105</v>
      </c>
      <c r="G644" s="22" t="s">
        <v>40</v>
      </c>
      <c r="H644" s="5" t="s">
        <v>71</v>
      </c>
      <c r="I644" s="5" t="s">
        <v>14</v>
      </c>
      <c r="J644" s="5" t="s">
        <v>5569</v>
      </c>
      <c r="K644" s="5" t="s">
        <v>1890</v>
      </c>
      <c r="L644" s="22"/>
      <c r="M644" s="8" t="str">
        <f t="shared" si="100"/>
        <v>Ok</v>
      </c>
      <c r="N644" s="9" t="b">
        <f t="shared" si="101"/>
        <v>0</v>
      </c>
      <c r="O644" s="9" t="b">
        <f t="shared" si="102"/>
        <v>0</v>
      </c>
      <c r="P644" s="8" t="str">
        <f t="shared" si="103"/>
        <v>FALSE</v>
      </c>
      <c r="Q644" s="8" t="str">
        <f t="shared" si="104"/>
        <v>FALSE</v>
      </c>
      <c r="R644" s="9" t="b">
        <f t="shared" si="105"/>
        <v>1</v>
      </c>
      <c r="S644" s="8" t="b">
        <f t="shared" si="106"/>
        <v>1</v>
      </c>
      <c r="T644" s="10" t="b">
        <f t="shared" si="107"/>
        <v>1</v>
      </c>
      <c r="U644" s="8" t="str">
        <f t="shared" si="108"/>
        <v>FALSE</v>
      </c>
      <c r="V644" s="11" t="str">
        <f t="shared" si="109"/>
        <v>TRUE</v>
      </c>
    </row>
    <row r="645" spans="1:22" ht="15.75">
      <c r="A645" s="21">
        <v>643</v>
      </c>
      <c r="B645" s="5" t="s">
        <v>1891</v>
      </c>
      <c r="C645" s="23" t="s">
        <v>3096</v>
      </c>
      <c r="D645" s="23" t="s">
        <v>77</v>
      </c>
      <c r="E645" s="5" t="s">
        <v>1892</v>
      </c>
      <c r="F645" s="71" t="s">
        <v>6105</v>
      </c>
      <c r="G645" s="22" t="s">
        <v>179</v>
      </c>
      <c r="H645" s="22" t="s">
        <v>179</v>
      </c>
      <c r="I645" s="5" t="s">
        <v>21</v>
      </c>
      <c r="J645" s="5" t="s">
        <v>5669</v>
      </c>
      <c r="K645" s="5" t="s">
        <v>1893</v>
      </c>
      <c r="L645" s="22"/>
      <c r="M645" s="8" t="str">
        <f t="shared" si="100"/>
        <v>Ok</v>
      </c>
      <c r="N645" s="9" t="b">
        <f t="shared" si="101"/>
        <v>0</v>
      </c>
      <c r="O645" s="9" t="b">
        <f t="shared" si="102"/>
        <v>0</v>
      </c>
      <c r="P645" s="8" t="str">
        <f t="shared" si="103"/>
        <v>FALSE</v>
      </c>
      <c r="Q645" s="8" t="str">
        <f t="shared" si="104"/>
        <v>FALSE</v>
      </c>
      <c r="R645" s="9" t="b">
        <f t="shared" si="105"/>
        <v>1</v>
      </c>
      <c r="S645" s="8" t="b">
        <f t="shared" si="106"/>
        <v>1</v>
      </c>
      <c r="T645" s="10" t="b">
        <f t="shared" si="107"/>
        <v>0</v>
      </c>
      <c r="U645" s="8" t="str">
        <f t="shared" si="108"/>
        <v>FALSE</v>
      </c>
      <c r="V645" s="11" t="str">
        <f t="shared" si="109"/>
        <v>TRUE</v>
      </c>
    </row>
    <row r="646" spans="1:22" ht="15.75">
      <c r="A646" s="21">
        <v>644</v>
      </c>
      <c r="B646" s="5" t="s">
        <v>3954</v>
      </c>
      <c r="C646" s="23" t="s">
        <v>3566</v>
      </c>
      <c r="D646" s="23" t="s">
        <v>59</v>
      </c>
      <c r="E646" s="5" t="s">
        <v>1894</v>
      </c>
      <c r="F646" s="71" t="s">
        <v>6105</v>
      </c>
      <c r="G646" s="22" t="s">
        <v>12</v>
      </c>
      <c r="H646" s="5" t="s">
        <v>13</v>
      </c>
      <c r="I646" s="5" t="s">
        <v>56</v>
      </c>
      <c r="J646" s="5" t="s">
        <v>5042</v>
      </c>
      <c r="K646" s="5" t="s">
        <v>1895</v>
      </c>
      <c r="L646" s="22"/>
      <c r="M646" s="8" t="str">
        <f t="shared" si="100"/>
        <v>Ok</v>
      </c>
      <c r="N646" s="9" t="b">
        <f t="shared" si="101"/>
        <v>1</v>
      </c>
      <c r="O646" s="9" t="b">
        <f t="shared" si="102"/>
        <v>1</v>
      </c>
      <c r="P646" s="8" t="str">
        <f t="shared" si="103"/>
        <v>FALSE</v>
      </c>
      <c r="Q646" s="8" t="str">
        <f t="shared" si="104"/>
        <v>FALSE</v>
      </c>
      <c r="R646" s="9" t="b">
        <f t="shared" si="105"/>
        <v>1</v>
      </c>
      <c r="S646" s="8" t="b">
        <f t="shared" si="106"/>
        <v>0</v>
      </c>
      <c r="T646" s="10" t="b">
        <f t="shared" si="107"/>
        <v>1</v>
      </c>
      <c r="U646" s="8" t="str">
        <f t="shared" si="108"/>
        <v>TRUE</v>
      </c>
      <c r="V646" s="11" t="str">
        <f t="shared" si="109"/>
        <v>TRUE</v>
      </c>
    </row>
    <row r="647" spans="1:22" ht="15.75">
      <c r="A647" s="21">
        <v>645</v>
      </c>
      <c r="B647" s="5" t="s">
        <v>1896</v>
      </c>
      <c r="C647" s="23" t="s">
        <v>3502</v>
      </c>
      <c r="D647" s="23" t="s">
        <v>77</v>
      </c>
      <c r="E647" s="5" t="s">
        <v>1897</v>
      </c>
      <c r="F647" s="71" t="s">
        <v>6105</v>
      </c>
      <c r="G647" s="22" t="s">
        <v>160</v>
      </c>
      <c r="H647" s="5" t="s">
        <v>3932</v>
      </c>
      <c r="I647" s="5" t="s">
        <v>42</v>
      </c>
      <c r="J647" s="5" t="s">
        <v>5631</v>
      </c>
      <c r="K647" s="5" t="s">
        <v>1898</v>
      </c>
      <c r="L647" s="22"/>
      <c r="M647" s="8" t="str">
        <f t="shared" si="100"/>
        <v>Ok</v>
      </c>
      <c r="N647" s="9" t="b">
        <f t="shared" si="101"/>
        <v>1</v>
      </c>
      <c r="O647" s="9" t="b">
        <f t="shared" si="102"/>
        <v>0</v>
      </c>
      <c r="P647" s="8" t="str">
        <f t="shared" si="103"/>
        <v>FALSE</v>
      </c>
      <c r="Q647" s="8" t="str">
        <f t="shared" si="104"/>
        <v>FALSE</v>
      </c>
      <c r="R647" s="9" t="b">
        <f t="shared" si="105"/>
        <v>0</v>
      </c>
      <c r="S647" s="8" t="b">
        <f t="shared" si="106"/>
        <v>0</v>
      </c>
      <c r="T647" s="10" t="b">
        <f t="shared" si="107"/>
        <v>1</v>
      </c>
      <c r="U647" s="8" t="str">
        <f t="shared" si="108"/>
        <v>FALSE</v>
      </c>
      <c r="V647" s="11" t="str">
        <f t="shared" si="109"/>
        <v>TRUE</v>
      </c>
    </row>
    <row r="648" spans="1:22" ht="15.75">
      <c r="A648" s="21">
        <v>646</v>
      </c>
      <c r="B648" s="5" t="s">
        <v>1899</v>
      </c>
      <c r="C648" s="23" t="s">
        <v>3503</v>
      </c>
      <c r="D648" s="23" t="s">
        <v>77</v>
      </c>
      <c r="E648" s="5" t="s">
        <v>1900</v>
      </c>
      <c r="F648" s="71" t="s">
        <v>6105</v>
      </c>
      <c r="G648" s="22" t="s">
        <v>160</v>
      </c>
      <c r="H648" s="5" t="s">
        <v>3932</v>
      </c>
      <c r="I648" s="5" t="s">
        <v>14</v>
      </c>
      <c r="J648" s="5" t="s">
        <v>5610</v>
      </c>
      <c r="K648" s="5" t="s">
        <v>1901</v>
      </c>
      <c r="L648" s="22"/>
      <c r="M648" s="8" t="str">
        <f t="shared" si="100"/>
        <v>Ok</v>
      </c>
      <c r="N648" s="9" t="b">
        <f t="shared" si="101"/>
        <v>1</v>
      </c>
      <c r="O648" s="9" t="b">
        <f t="shared" si="102"/>
        <v>0</v>
      </c>
      <c r="P648" s="8" t="str">
        <f t="shared" si="103"/>
        <v>FALSE</v>
      </c>
      <c r="Q648" s="8" t="str">
        <f t="shared" si="104"/>
        <v>FALSE</v>
      </c>
      <c r="R648" s="9" t="b">
        <f t="shared" si="105"/>
        <v>0</v>
      </c>
      <c r="S648" s="8" t="b">
        <f t="shared" si="106"/>
        <v>0</v>
      </c>
      <c r="T648" s="10" t="b">
        <f t="shared" si="107"/>
        <v>1</v>
      </c>
      <c r="U648" s="8" t="str">
        <f t="shared" si="108"/>
        <v>FALSE</v>
      </c>
      <c r="V648" s="11" t="str">
        <f t="shared" si="109"/>
        <v>TRUE</v>
      </c>
    </row>
    <row r="649" spans="1:22" ht="15.75">
      <c r="A649" s="21">
        <v>647</v>
      </c>
      <c r="B649" s="5" t="s">
        <v>1902</v>
      </c>
      <c r="C649" s="23" t="s">
        <v>3504</v>
      </c>
      <c r="D649" s="23" t="s">
        <v>77</v>
      </c>
      <c r="E649" s="5" t="s">
        <v>1903</v>
      </c>
      <c r="F649" s="71" t="s">
        <v>6105</v>
      </c>
      <c r="G649" s="22" t="s">
        <v>160</v>
      </c>
      <c r="H649" s="5" t="s">
        <v>3932</v>
      </c>
      <c r="I649" s="5" t="s">
        <v>56</v>
      </c>
      <c r="J649" s="5" t="s">
        <v>5262</v>
      </c>
      <c r="K649" s="5" t="s">
        <v>1904</v>
      </c>
      <c r="L649" s="22"/>
      <c r="M649" s="8" t="str">
        <f t="shared" si="100"/>
        <v>Ok</v>
      </c>
      <c r="N649" s="9" t="b">
        <f t="shared" si="101"/>
        <v>1</v>
      </c>
      <c r="O649" s="9" t="b">
        <f t="shared" si="102"/>
        <v>0</v>
      </c>
      <c r="P649" s="8" t="str">
        <f t="shared" si="103"/>
        <v>FALSE</v>
      </c>
      <c r="Q649" s="8" t="str">
        <f t="shared" si="104"/>
        <v>FALSE</v>
      </c>
      <c r="R649" s="9" t="b">
        <f t="shared" si="105"/>
        <v>0</v>
      </c>
      <c r="S649" s="8" t="b">
        <f t="shared" si="106"/>
        <v>0</v>
      </c>
      <c r="T649" s="10" t="b">
        <f t="shared" si="107"/>
        <v>1</v>
      </c>
      <c r="U649" s="8" t="str">
        <f t="shared" si="108"/>
        <v>TRUE</v>
      </c>
      <c r="V649" s="11" t="str">
        <f t="shared" si="109"/>
        <v>TRUE</v>
      </c>
    </row>
    <row r="650" spans="1:22" ht="15.75">
      <c r="A650" s="21">
        <v>648</v>
      </c>
      <c r="B650" s="5" t="s">
        <v>1905</v>
      </c>
      <c r="C650" s="23" t="s">
        <v>3923</v>
      </c>
      <c r="D650" s="23" t="s">
        <v>17</v>
      </c>
      <c r="E650" s="5" t="s">
        <v>1906</v>
      </c>
      <c r="F650" s="71" t="s">
        <v>6105</v>
      </c>
      <c r="G650" s="22" t="s">
        <v>85</v>
      </c>
      <c r="H650" s="5" t="s">
        <v>120</v>
      </c>
      <c r="I650" s="5" t="s">
        <v>14</v>
      </c>
      <c r="J650" s="5" t="s">
        <v>5190</v>
      </c>
      <c r="K650" s="5" t="s">
        <v>1907</v>
      </c>
      <c r="L650" s="22"/>
      <c r="M650" s="8" t="str">
        <f t="shared" si="100"/>
        <v>Ok</v>
      </c>
      <c r="N650" s="9" t="b">
        <f t="shared" si="101"/>
        <v>0</v>
      </c>
      <c r="O650" s="9" t="b">
        <f t="shared" si="102"/>
        <v>1</v>
      </c>
      <c r="P650" s="8" t="str">
        <f t="shared" si="103"/>
        <v>FALSE</v>
      </c>
      <c r="Q650" s="8" t="str">
        <f t="shared" si="104"/>
        <v>FALSE</v>
      </c>
      <c r="R650" s="9" t="b">
        <f t="shared" si="105"/>
        <v>1</v>
      </c>
      <c r="S650" s="8" t="b">
        <f t="shared" si="106"/>
        <v>1</v>
      </c>
      <c r="T650" s="10" t="b">
        <f t="shared" si="107"/>
        <v>1</v>
      </c>
      <c r="U650" s="8" t="str">
        <f t="shared" si="108"/>
        <v>TRUE</v>
      </c>
      <c r="V650" s="11" t="str">
        <f t="shared" si="109"/>
        <v>TRUE</v>
      </c>
    </row>
    <row r="651" spans="1:22" ht="15.75">
      <c r="A651" s="21">
        <v>649</v>
      </c>
      <c r="B651" s="5" t="s">
        <v>1908</v>
      </c>
      <c r="C651" s="23" t="s">
        <v>3165</v>
      </c>
      <c r="D651" s="23" t="s">
        <v>77</v>
      </c>
      <c r="E651" s="5" t="s">
        <v>1909</v>
      </c>
      <c r="F651" s="71" t="s">
        <v>6105</v>
      </c>
      <c r="G651" s="22" t="s">
        <v>179</v>
      </c>
      <c r="H651" s="22" t="s">
        <v>179</v>
      </c>
      <c r="I651" s="5" t="s">
        <v>21</v>
      </c>
      <c r="J651" s="5" t="s">
        <v>5653</v>
      </c>
      <c r="K651" s="5" t="s">
        <v>1910</v>
      </c>
      <c r="L651" s="22"/>
      <c r="M651" s="8" t="str">
        <f t="shared" si="100"/>
        <v>Ok</v>
      </c>
      <c r="N651" s="9" t="b">
        <f t="shared" si="101"/>
        <v>0</v>
      </c>
      <c r="O651" s="9" t="b">
        <f t="shared" si="102"/>
        <v>0</v>
      </c>
      <c r="P651" s="8" t="str">
        <f t="shared" si="103"/>
        <v>FALSE</v>
      </c>
      <c r="Q651" s="8" t="str">
        <f t="shared" si="104"/>
        <v>FALSE</v>
      </c>
      <c r="R651" s="9" t="b">
        <f t="shared" si="105"/>
        <v>1</v>
      </c>
      <c r="S651" s="8" t="b">
        <f t="shared" si="106"/>
        <v>1</v>
      </c>
      <c r="T651" s="10" t="b">
        <f t="shared" si="107"/>
        <v>0</v>
      </c>
      <c r="U651" s="8" t="str">
        <f t="shared" si="108"/>
        <v>FALSE</v>
      </c>
      <c r="V651" s="11" t="str">
        <f t="shared" si="109"/>
        <v>TRUE</v>
      </c>
    </row>
    <row r="652" spans="1:22" ht="15.75">
      <c r="A652" s="21">
        <v>650</v>
      </c>
      <c r="B652" s="5" t="s">
        <v>1911</v>
      </c>
      <c r="C652" s="23" t="s">
        <v>3724</v>
      </c>
      <c r="D652" s="23" t="s">
        <v>59</v>
      </c>
      <c r="E652" s="5" t="s">
        <v>1912</v>
      </c>
      <c r="F652" s="71" t="s">
        <v>6105</v>
      </c>
      <c r="G652" s="22" t="s">
        <v>3934</v>
      </c>
      <c r="H652" s="5" t="s">
        <v>13</v>
      </c>
      <c r="I652" s="5" t="s">
        <v>67</v>
      </c>
      <c r="J652" s="5" t="s">
        <v>5551</v>
      </c>
      <c r="K652" s="5" t="s">
        <v>1913</v>
      </c>
      <c r="L652" s="22"/>
      <c r="M652" s="8" t="str">
        <f t="shared" si="100"/>
        <v>Ok</v>
      </c>
      <c r="N652" s="9" t="b">
        <f t="shared" si="101"/>
        <v>0</v>
      </c>
      <c r="O652" s="9" t="b">
        <f t="shared" si="102"/>
        <v>1</v>
      </c>
      <c r="P652" s="8" t="str">
        <f t="shared" si="103"/>
        <v>FALSE</v>
      </c>
      <c r="Q652" s="8" t="str">
        <f t="shared" si="104"/>
        <v>FALSE</v>
      </c>
      <c r="R652" s="9" t="b">
        <f t="shared" si="105"/>
        <v>0</v>
      </c>
      <c r="S652" s="8" t="b">
        <f t="shared" si="106"/>
        <v>0</v>
      </c>
      <c r="T652" s="10" t="b">
        <f t="shared" si="107"/>
        <v>0</v>
      </c>
      <c r="U652" s="8" t="str">
        <f t="shared" si="108"/>
        <v>FALSE</v>
      </c>
      <c r="V652" s="11" t="str">
        <f t="shared" si="109"/>
        <v>TRUE</v>
      </c>
    </row>
    <row r="653" spans="1:22" ht="15.75">
      <c r="A653" s="21">
        <v>651</v>
      </c>
      <c r="B653" s="5" t="s">
        <v>1914</v>
      </c>
      <c r="C653" s="23" t="s">
        <v>3255</v>
      </c>
      <c r="D653" s="23" t="s">
        <v>77</v>
      </c>
      <c r="E653" s="5" t="s">
        <v>1915</v>
      </c>
      <c r="F653" s="71" t="s">
        <v>6105</v>
      </c>
      <c r="G653" s="22" t="s">
        <v>179</v>
      </c>
      <c r="H653" s="5" t="s">
        <v>3932</v>
      </c>
      <c r="I653" s="5" t="s">
        <v>26</v>
      </c>
      <c r="J653" s="5" t="s">
        <v>5067</v>
      </c>
      <c r="K653" s="5" t="s">
        <v>1916</v>
      </c>
      <c r="L653" s="22"/>
      <c r="M653" s="8" t="str">
        <f t="shared" si="100"/>
        <v>Ok</v>
      </c>
      <c r="N653" s="9" t="b">
        <f t="shared" si="101"/>
        <v>1</v>
      </c>
      <c r="O653" s="9" t="b">
        <f t="shared" si="102"/>
        <v>0</v>
      </c>
      <c r="P653" s="8" t="str">
        <f t="shared" si="103"/>
        <v>FALSE</v>
      </c>
      <c r="Q653" s="8" t="str">
        <f t="shared" si="104"/>
        <v>FALSE</v>
      </c>
      <c r="R653" s="9" t="b">
        <f t="shared" si="105"/>
        <v>1</v>
      </c>
      <c r="S653" s="8" t="b">
        <f t="shared" si="106"/>
        <v>0</v>
      </c>
      <c r="T653" s="10" t="b">
        <f t="shared" si="107"/>
        <v>0</v>
      </c>
      <c r="U653" s="8" t="str">
        <f t="shared" si="108"/>
        <v>TRUE</v>
      </c>
      <c r="V653" s="11" t="str">
        <f t="shared" si="109"/>
        <v>TRUE</v>
      </c>
    </row>
    <row r="654" spans="1:22" ht="15.75">
      <c r="A654" s="21">
        <v>652</v>
      </c>
      <c r="B654" s="5" t="s">
        <v>1917</v>
      </c>
      <c r="C654" s="23" t="s">
        <v>3033</v>
      </c>
      <c r="D654" s="23" t="s">
        <v>34</v>
      </c>
      <c r="E654" s="5" t="s">
        <v>1918</v>
      </c>
      <c r="F654" s="71" t="s">
        <v>6105</v>
      </c>
      <c r="G654" s="22" t="s">
        <v>40</v>
      </c>
      <c r="H654" s="5" t="s">
        <v>71</v>
      </c>
      <c r="I654" s="5" t="s">
        <v>14</v>
      </c>
      <c r="J654" s="5" t="s">
        <v>4867</v>
      </c>
      <c r="K654" s="5" t="s">
        <v>1919</v>
      </c>
      <c r="L654" s="22"/>
      <c r="M654" s="8" t="str">
        <f t="shared" si="100"/>
        <v>Ok</v>
      </c>
      <c r="N654" s="9" t="b">
        <f t="shared" si="101"/>
        <v>0</v>
      </c>
      <c r="O654" s="9" t="b">
        <f t="shared" si="102"/>
        <v>0</v>
      </c>
      <c r="P654" s="8" t="str">
        <f t="shared" si="103"/>
        <v>FALSE</v>
      </c>
      <c r="Q654" s="8" t="str">
        <f t="shared" si="104"/>
        <v>FALSE</v>
      </c>
      <c r="R654" s="9" t="b">
        <f t="shared" si="105"/>
        <v>1</v>
      </c>
      <c r="S654" s="8" t="b">
        <f t="shared" si="106"/>
        <v>1</v>
      </c>
      <c r="T654" s="10" t="b">
        <f t="shared" si="107"/>
        <v>1</v>
      </c>
      <c r="U654" s="8" t="str">
        <f t="shared" si="108"/>
        <v>TRUE</v>
      </c>
      <c r="V654" s="11" t="str">
        <f t="shared" si="109"/>
        <v>TRUE</v>
      </c>
    </row>
    <row r="655" spans="1:22" ht="15.75">
      <c r="A655" s="21">
        <v>653</v>
      </c>
      <c r="B655" s="5" t="s">
        <v>1920</v>
      </c>
      <c r="C655" s="23" t="s">
        <v>2952</v>
      </c>
      <c r="D655" s="23" t="s">
        <v>34</v>
      </c>
      <c r="E655" s="5" t="s">
        <v>1921</v>
      </c>
      <c r="F655" s="71" t="s">
        <v>6105</v>
      </c>
      <c r="G655" s="22" t="s">
        <v>3933</v>
      </c>
      <c r="H655" s="5" t="s">
        <v>3932</v>
      </c>
      <c r="I655" s="5" t="s">
        <v>21</v>
      </c>
      <c r="J655" s="5" t="s">
        <v>5395</v>
      </c>
      <c r="K655" s="5" t="s">
        <v>1922</v>
      </c>
      <c r="L655" s="22"/>
      <c r="M655" s="8" t="str">
        <f t="shared" si="100"/>
        <v>Ok</v>
      </c>
      <c r="N655" s="9" t="b">
        <f t="shared" si="101"/>
        <v>0</v>
      </c>
      <c r="O655" s="9" t="b">
        <f t="shared" si="102"/>
        <v>0</v>
      </c>
      <c r="P655" s="8" t="str">
        <f t="shared" si="103"/>
        <v>FALSE</v>
      </c>
      <c r="Q655" s="8" t="str">
        <f t="shared" si="104"/>
        <v>FALSE</v>
      </c>
      <c r="R655" s="9" t="b">
        <f t="shared" si="105"/>
        <v>0</v>
      </c>
      <c r="S655" s="8" t="b">
        <f t="shared" si="106"/>
        <v>0</v>
      </c>
      <c r="T655" s="10" t="b">
        <f t="shared" si="107"/>
        <v>0</v>
      </c>
      <c r="U655" s="8" t="str">
        <f t="shared" si="108"/>
        <v>TRUE</v>
      </c>
      <c r="V655" s="11" t="str">
        <f t="shared" si="109"/>
        <v>TRUE</v>
      </c>
    </row>
    <row r="656" spans="1:22" ht="15.75">
      <c r="A656" s="21">
        <v>654</v>
      </c>
      <c r="B656" s="5" t="s">
        <v>3955</v>
      </c>
      <c r="C656" s="23" t="s">
        <v>3797</v>
      </c>
      <c r="D656" s="23" t="s">
        <v>59</v>
      </c>
      <c r="E656" s="5" t="s">
        <v>1923</v>
      </c>
      <c r="F656" s="71" t="s">
        <v>6105</v>
      </c>
      <c r="G656" s="22" t="s">
        <v>24</v>
      </c>
      <c r="H656" s="5" t="s">
        <v>25</v>
      </c>
      <c r="I656" s="5" t="s">
        <v>67</v>
      </c>
      <c r="J656" s="5" t="s">
        <v>4904</v>
      </c>
      <c r="K656" s="5">
        <v>89756465593</v>
      </c>
      <c r="L656" s="22"/>
      <c r="M656" s="8" t="str">
        <f t="shared" si="100"/>
        <v>Ok</v>
      </c>
      <c r="N656" s="9" t="b">
        <f t="shared" si="101"/>
        <v>0</v>
      </c>
      <c r="O656" s="9" t="b">
        <f t="shared" si="102"/>
        <v>1</v>
      </c>
      <c r="P656" s="8" t="str">
        <f t="shared" si="103"/>
        <v>FALSE</v>
      </c>
      <c r="Q656" s="8" t="str">
        <f t="shared" si="104"/>
        <v>FALSE</v>
      </c>
      <c r="R656" s="9" t="b">
        <f t="shared" si="105"/>
        <v>0</v>
      </c>
      <c r="S656" s="8" t="b">
        <f t="shared" si="106"/>
        <v>0</v>
      </c>
      <c r="T656" s="10" t="b">
        <f t="shared" si="107"/>
        <v>0</v>
      </c>
      <c r="U656" s="8" t="str">
        <f t="shared" si="108"/>
        <v>TRUE</v>
      </c>
      <c r="V656" s="11" t="str">
        <f t="shared" si="109"/>
        <v>FALSE</v>
      </c>
    </row>
    <row r="657" spans="1:22" ht="15.75">
      <c r="A657" s="21">
        <v>655</v>
      </c>
      <c r="B657" s="5" t="s">
        <v>1924</v>
      </c>
      <c r="C657" s="23" t="s">
        <v>3034</v>
      </c>
      <c r="D657" s="23" t="s">
        <v>34</v>
      </c>
      <c r="E657" s="5" t="s">
        <v>1925</v>
      </c>
      <c r="F657" s="71" t="s">
        <v>6105</v>
      </c>
      <c r="G657" s="22" t="s">
        <v>74</v>
      </c>
      <c r="H657" s="5" t="s">
        <v>71</v>
      </c>
      <c r="I657" s="5" t="s">
        <v>14</v>
      </c>
      <c r="J657" s="5" t="s">
        <v>5606</v>
      </c>
      <c r="K657" s="5" t="s">
        <v>1926</v>
      </c>
      <c r="L657" s="22"/>
      <c r="M657" s="8" t="str">
        <f t="shared" si="100"/>
        <v>Ok</v>
      </c>
      <c r="N657" s="9" t="b">
        <f t="shared" si="101"/>
        <v>0</v>
      </c>
      <c r="O657" s="9" t="b">
        <f t="shared" si="102"/>
        <v>0</v>
      </c>
      <c r="P657" s="8" t="str">
        <f t="shared" si="103"/>
        <v>FALSE</v>
      </c>
      <c r="Q657" s="8" t="str">
        <f t="shared" si="104"/>
        <v>FALSE</v>
      </c>
      <c r="R657" s="9" t="b">
        <f t="shared" si="105"/>
        <v>0</v>
      </c>
      <c r="S657" s="8" t="b">
        <f t="shared" si="106"/>
        <v>1</v>
      </c>
      <c r="T657" s="10" t="b">
        <f t="shared" si="107"/>
        <v>1</v>
      </c>
      <c r="U657" s="8" t="str">
        <f t="shared" si="108"/>
        <v>FALSE</v>
      </c>
      <c r="V657" s="11" t="str">
        <f t="shared" si="109"/>
        <v>TRUE</v>
      </c>
    </row>
    <row r="658" spans="1:22" ht="15.75">
      <c r="A658" s="21">
        <v>656</v>
      </c>
      <c r="B658" s="5" t="s">
        <v>1927</v>
      </c>
      <c r="C658" s="23" t="s">
        <v>3505</v>
      </c>
      <c r="D658" s="23" t="s">
        <v>77</v>
      </c>
      <c r="E658" s="5" t="s">
        <v>1928</v>
      </c>
      <c r="F658" s="71" t="s">
        <v>6105</v>
      </c>
      <c r="G658" s="22" t="s">
        <v>160</v>
      </c>
      <c r="H658" s="5" t="s">
        <v>3932</v>
      </c>
      <c r="I658" s="5" t="s">
        <v>67</v>
      </c>
      <c r="J658" s="5" t="s">
        <v>5756</v>
      </c>
      <c r="K658" s="5" t="s">
        <v>1929</v>
      </c>
      <c r="L658" s="22"/>
      <c r="M658" s="8" t="str">
        <f t="shared" si="100"/>
        <v>Ok</v>
      </c>
      <c r="N658" s="9" t="b">
        <f t="shared" si="101"/>
        <v>1</v>
      </c>
      <c r="O658" s="9" t="b">
        <f t="shared" si="102"/>
        <v>0</v>
      </c>
      <c r="P658" s="8" t="str">
        <f t="shared" si="103"/>
        <v>FALSE</v>
      </c>
      <c r="Q658" s="8" t="str">
        <f t="shared" si="104"/>
        <v>FALSE</v>
      </c>
      <c r="R658" s="9" t="b">
        <f t="shared" si="105"/>
        <v>0</v>
      </c>
      <c r="S658" s="8" t="b">
        <f t="shared" si="106"/>
        <v>0</v>
      </c>
      <c r="T658" s="10" t="b">
        <f t="shared" si="107"/>
        <v>0</v>
      </c>
      <c r="U658" s="8" t="str">
        <f t="shared" si="108"/>
        <v>FALSE</v>
      </c>
      <c r="V658" s="11" t="str">
        <f t="shared" si="109"/>
        <v>TRUE</v>
      </c>
    </row>
    <row r="659" spans="1:22" ht="15.75">
      <c r="A659" s="21">
        <v>657</v>
      </c>
      <c r="B659" s="5" t="s">
        <v>1930</v>
      </c>
      <c r="C659" s="23" t="s">
        <v>3631</v>
      </c>
      <c r="D659" s="23" t="s">
        <v>59</v>
      </c>
      <c r="E659" s="5" t="s">
        <v>1931</v>
      </c>
      <c r="F659" s="71" t="s">
        <v>6105</v>
      </c>
      <c r="G659" s="22" t="s">
        <v>160</v>
      </c>
      <c r="H659" s="5" t="s">
        <v>36</v>
      </c>
      <c r="I659" s="5" t="s">
        <v>50</v>
      </c>
      <c r="J659" s="5" t="s">
        <v>4914</v>
      </c>
      <c r="K659" s="5" t="s">
        <v>1932</v>
      </c>
      <c r="L659" s="22"/>
      <c r="M659" s="8" t="str">
        <f t="shared" si="100"/>
        <v>Ok</v>
      </c>
      <c r="N659" s="9" t="b">
        <f t="shared" si="101"/>
        <v>1</v>
      </c>
      <c r="O659" s="9" t="b">
        <f t="shared" si="102"/>
        <v>1</v>
      </c>
      <c r="P659" s="8" t="str">
        <f t="shared" si="103"/>
        <v>FALSE</v>
      </c>
      <c r="Q659" s="8" t="str">
        <f t="shared" si="104"/>
        <v>FALSE</v>
      </c>
      <c r="R659" s="9" t="b">
        <f t="shared" si="105"/>
        <v>0</v>
      </c>
      <c r="S659" s="8" t="b">
        <f t="shared" si="106"/>
        <v>1</v>
      </c>
      <c r="T659" s="10" t="b">
        <f t="shared" si="107"/>
        <v>0</v>
      </c>
      <c r="U659" s="8" t="str">
        <f t="shared" si="108"/>
        <v>TRUE</v>
      </c>
      <c r="V659" s="11" t="str">
        <f t="shared" si="109"/>
        <v>TRUE</v>
      </c>
    </row>
    <row r="660" spans="1:22" ht="15.75">
      <c r="A660" s="21">
        <v>658</v>
      </c>
      <c r="B660" s="5" t="s">
        <v>1933</v>
      </c>
      <c r="C660" s="23" t="s">
        <v>3035</v>
      </c>
      <c r="D660" s="23" t="s">
        <v>34</v>
      </c>
      <c r="E660" s="5" t="s">
        <v>1934</v>
      </c>
      <c r="F660" s="71" t="s">
        <v>6105</v>
      </c>
      <c r="G660" s="22" t="s">
        <v>74</v>
      </c>
      <c r="H660" s="5" t="s">
        <v>41</v>
      </c>
      <c r="I660" s="5" t="s">
        <v>50</v>
      </c>
      <c r="J660" s="5" t="s">
        <v>5381</v>
      </c>
      <c r="K660" s="5" t="s">
        <v>1935</v>
      </c>
      <c r="L660" s="22"/>
      <c r="M660" s="8" t="str">
        <f t="shared" si="100"/>
        <v>Ok</v>
      </c>
      <c r="N660" s="9" t="b">
        <f t="shared" si="101"/>
        <v>0</v>
      </c>
      <c r="O660" s="9" t="b">
        <f t="shared" si="102"/>
        <v>0</v>
      </c>
      <c r="P660" s="8" t="str">
        <f t="shared" si="103"/>
        <v>FALSE</v>
      </c>
      <c r="Q660" s="8" t="str">
        <f t="shared" si="104"/>
        <v>FALSE</v>
      </c>
      <c r="R660" s="9" t="b">
        <f t="shared" si="105"/>
        <v>0</v>
      </c>
      <c r="S660" s="8" t="b">
        <f t="shared" si="106"/>
        <v>0</v>
      </c>
      <c r="T660" s="10" t="b">
        <f t="shared" si="107"/>
        <v>0</v>
      </c>
      <c r="U660" s="8" t="str">
        <f t="shared" si="108"/>
        <v>TRUE</v>
      </c>
      <c r="V660" s="11" t="str">
        <f t="shared" si="109"/>
        <v>FALSE</v>
      </c>
    </row>
    <row r="661" spans="1:22" ht="15.75">
      <c r="A661" s="21">
        <v>659</v>
      </c>
      <c r="B661" s="5" t="s">
        <v>1936</v>
      </c>
      <c r="C661" s="23" t="s">
        <v>3506</v>
      </c>
      <c r="D661" s="23" t="s">
        <v>77</v>
      </c>
      <c r="E661" s="5" t="s">
        <v>1937</v>
      </c>
      <c r="F661" s="71" t="s">
        <v>6105</v>
      </c>
      <c r="G661" s="22" t="s">
        <v>160</v>
      </c>
      <c r="H661" s="5" t="s">
        <v>3932</v>
      </c>
      <c r="I661" s="5" t="s">
        <v>21</v>
      </c>
      <c r="J661" s="5" t="s">
        <v>5375</v>
      </c>
      <c r="K661" s="5" t="s">
        <v>1938</v>
      </c>
      <c r="L661" s="22"/>
      <c r="M661" s="8" t="str">
        <f t="shared" si="100"/>
        <v>Ok</v>
      </c>
      <c r="N661" s="9" t="b">
        <f t="shared" si="101"/>
        <v>1</v>
      </c>
      <c r="O661" s="9" t="b">
        <f t="shared" si="102"/>
        <v>0</v>
      </c>
      <c r="P661" s="8" t="str">
        <f t="shared" si="103"/>
        <v>FALSE</v>
      </c>
      <c r="Q661" s="8" t="str">
        <f t="shared" si="104"/>
        <v>FALSE</v>
      </c>
      <c r="R661" s="9" t="b">
        <f t="shared" si="105"/>
        <v>0</v>
      </c>
      <c r="S661" s="8" t="b">
        <f t="shared" si="106"/>
        <v>0</v>
      </c>
      <c r="T661" s="10" t="b">
        <f t="shared" si="107"/>
        <v>0</v>
      </c>
      <c r="U661" s="8" t="str">
        <f t="shared" si="108"/>
        <v>TRUE</v>
      </c>
      <c r="V661" s="11" t="str">
        <f t="shared" si="109"/>
        <v>TRUE</v>
      </c>
    </row>
    <row r="662" spans="1:22" ht="15.75">
      <c r="A662" s="21">
        <v>660</v>
      </c>
      <c r="B662" s="5" t="s">
        <v>1939</v>
      </c>
      <c r="C662" s="23" t="s">
        <v>3845</v>
      </c>
      <c r="D662" s="23" t="s">
        <v>59</v>
      </c>
      <c r="E662" s="5" t="s">
        <v>1940</v>
      </c>
      <c r="F662" s="71" t="s">
        <v>6105</v>
      </c>
      <c r="G662" s="22" t="s">
        <v>144</v>
      </c>
      <c r="H662" s="5" t="s">
        <v>25</v>
      </c>
      <c r="I662" s="5" t="s">
        <v>67</v>
      </c>
      <c r="J662" s="5" t="s">
        <v>4934</v>
      </c>
      <c r="K662" s="5" t="s">
        <v>1941</v>
      </c>
      <c r="L662" s="22"/>
      <c r="M662" s="8" t="str">
        <f t="shared" si="100"/>
        <v>Ok</v>
      </c>
      <c r="N662" s="9" t="b">
        <f t="shared" si="101"/>
        <v>0</v>
      </c>
      <c r="O662" s="9" t="b">
        <f t="shared" si="102"/>
        <v>1</v>
      </c>
      <c r="P662" s="8" t="str">
        <f t="shared" si="103"/>
        <v>FALSE</v>
      </c>
      <c r="Q662" s="8" t="str">
        <f t="shared" si="104"/>
        <v>FALSE</v>
      </c>
      <c r="R662" s="9" t="b">
        <f t="shared" si="105"/>
        <v>1</v>
      </c>
      <c r="S662" s="8" t="b">
        <f t="shared" si="106"/>
        <v>0</v>
      </c>
      <c r="T662" s="10" t="b">
        <f t="shared" si="107"/>
        <v>0</v>
      </c>
      <c r="U662" s="8" t="str">
        <f t="shared" si="108"/>
        <v>TRUE</v>
      </c>
      <c r="V662" s="11" t="str">
        <f t="shared" si="109"/>
        <v>TRUE</v>
      </c>
    </row>
    <row r="663" spans="1:22" ht="15.75">
      <c r="A663" s="21">
        <v>661</v>
      </c>
      <c r="B663" s="5" t="s">
        <v>1942</v>
      </c>
      <c r="C663" s="23" t="s">
        <v>3036</v>
      </c>
      <c r="D663" s="23" t="s">
        <v>34</v>
      </c>
      <c r="E663" s="5" t="s">
        <v>1943</v>
      </c>
      <c r="F663" s="71" t="s">
        <v>6105</v>
      </c>
      <c r="G663" s="22" t="s">
        <v>40</v>
      </c>
      <c r="H663" s="5" t="s">
        <v>71</v>
      </c>
      <c r="I663" s="5" t="s">
        <v>42</v>
      </c>
      <c r="J663" s="5" t="s">
        <v>5004</v>
      </c>
      <c r="K663" s="5" t="s">
        <v>1944</v>
      </c>
      <c r="L663" s="22"/>
      <c r="M663" s="8" t="str">
        <f t="shared" si="100"/>
        <v>Ok</v>
      </c>
      <c r="N663" s="9" t="b">
        <f t="shared" si="101"/>
        <v>0</v>
      </c>
      <c r="O663" s="9" t="b">
        <f t="shared" si="102"/>
        <v>0</v>
      </c>
      <c r="P663" s="8" t="str">
        <f t="shared" si="103"/>
        <v>FALSE</v>
      </c>
      <c r="Q663" s="8" t="str">
        <f t="shared" si="104"/>
        <v>FALSE</v>
      </c>
      <c r="R663" s="9" t="b">
        <f t="shared" si="105"/>
        <v>1</v>
      </c>
      <c r="S663" s="8" t="b">
        <f t="shared" si="106"/>
        <v>1</v>
      </c>
      <c r="T663" s="10" t="b">
        <f t="shared" si="107"/>
        <v>1</v>
      </c>
      <c r="U663" s="8" t="str">
        <f t="shared" si="108"/>
        <v>TRUE</v>
      </c>
      <c r="V663" s="11" t="str">
        <f t="shared" si="109"/>
        <v>FALSE</v>
      </c>
    </row>
    <row r="664" spans="1:22" ht="15.75">
      <c r="A664" s="21">
        <v>662</v>
      </c>
      <c r="B664" s="5" t="s">
        <v>1945</v>
      </c>
      <c r="C664" s="23" t="s">
        <v>3924</v>
      </c>
      <c r="D664" s="23" t="s">
        <v>17</v>
      </c>
      <c r="E664" s="5" t="s">
        <v>1946</v>
      </c>
      <c r="F664" s="71" t="s">
        <v>6105</v>
      </c>
      <c r="G664" s="22" t="s">
        <v>85</v>
      </c>
      <c r="H664" s="5" t="s">
        <v>120</v>
      </c>
      <c r="I664" s="5" t="s">
        <v>56</v>
      </c>
      <c r="J664" s="5" t="s">
        <v>5672</v>
      </c>
      <c r="K664" s="5" t="s">
        <v>1947</v>
      </c>
      <c r="L664" s="22"/>
      <c r="M664" s="8" t="str">
        <f t="shared" si="100"/>
        <v>Ok</v>
      </c>
      <c r="N664" s="9" t="b">
        <f t="shared" si="101"/>
        <v>0</v>
      </c>
      <c r="O664" s="9" t="b">
        <f t="shared" si="102"/>
        <v>1</v>
      </c>
      <c r="P664" s="8" t="str">
        <f t="shared" si="103"/>
        <v>FALSE</v>
      </c>
      <c r="Q664" s="8" t="str">
        <f t="shared" si="104"/>
        <v>FALSE</v>
      </c>
      <c r="R664" s="9" t="b">
        <f t="shared" si="105"/>
        <v>1</v>
      </c>
      <c r="S664" s="8" t="b">
        <f t="shared" si="106"/>
        <v>1</v>
      </c>
      <c r="T664" s="10" t="b">
        <f t="shared" si="107"/>
        <v>1</v>
      </c>
      <c r="U664" s="8" t="str">
        <f t="shared" si="108"/>
        <v>FALSE</v>
      </c>
      <c r="V664" s="11" t="str">
        <f t="shared" si="109"/>
        <v>TRUE</v>
      </c>
    </row>
    <row r="665" spans="1:22" ht="15.75">
      <c r="A665" s="21">
        <v>663</v>
      </c>
      <c r="B665" s="5" t="s">
        <v>1948</v>
      </c>
      <c r="C665" s="23" t="s">
        <v>3846</v>
      </c>
      <c r="D665" s="23" t="s">
        <v>59</v>
      </c>
      <c r="E665" s="5" t="s">
        <v>1949</v>
      </c>
      <c r="F665" s="71" t="s">
        <v>6105</v>
      </c>
      <c r="G665" s="22" t="s">
        <v>144</v>
      </c>
      <c r="H665" s="5" t="s">
        <v>25</v>
      </c>
      <c r="I665" s="5" t="s">
        <v>26</v>
      </c>
      <c r="J665" s="5" t="s">
        <v>5198</v>
      </c>
      <c r="K665" s="5" t="s">
        <v>1950</v>
      </c>
      <c r="L665" s="22"/>
      <c r="M665" s="8" t="str">
        <f t="shared" si="100"/>
        <v>Ok</v>
      </c>
      <c r="N665" s="9" t="b">
        <f t="shared" si="101"/>
        <v>0</v>
      </c>
      <c r="O665" s="9" t="b">
        <f t="shared" si="102"/>
        <v>1</v>
      </c>
      <c r="P665" s="8" t="str">
        <f t="shared" si="103"/>
        <v>FALSE</v>
      </c>
      <c r="Q665" s="8" t="str">
        <f t="shared" si="104"/>
        <v>FALSE</v>
      </c>
      <c r="R665" s="9" t="b">
        <f t="shared" si="105"/>
        <v>1</v>
      </c>
      <c r="S665" s="8" t="b">
        <f t="shared" si="106"/>
        <v>0</v>
      </c>
      <c r="T665" s="10" t="b">
        <f t="shared" si="107"/>
        <v>0</v>
      </c>
      <c r="U665" s="8" t="str">
        <f t="shared" si="108"/>
        <v>TRUE</v>
      </c>
      <c r="V665" s="11" t="str">
        <f t="shared" si="109"/>
        <v>TRUE</v>
      </c>
    </row>
    <row r="666" spans="1:22" ht="15.75">
      <c r="A666" s="21">
        <v>664</v>
      </c>
      <c r="B666" s="5" t="s">
        <v>1951</v>
      </c>
      <c r="C666" s="23" t="s">
        <v>3925</v>
      </c>
      <c r="D666" s="23" t="s">
        <v>17</v>
      </c>
      <c r="E666" s="5" t="s">
        <v>1952</v>
      </c>
      <c r="F666" s="71" t="s">
        <v>6105</v>
      </c>
      <c r="G666" s="22" t="s">
        <v>119</v>
      </c>
      <c r="H666" s="5" t="s">
        <v>120</v>
      </c>
      <c r="I666" s="5" t="s">
        <v>67</v>
      </c>
      <c r="J666" s="5" t="s">
        <v>4944</v>
      </c>
      <c r="K666" s="5" t="s">
        <v>1953</v>
      </c>
      <c r="L666" s="22"/>
      <c r="M666" s="8" t="str">
        <f t="shared" si="100"/>
        <v>Ok</v>
      </c>
      <c r="N666" s="9" t="b">
        <f t="shared" si="101"/>
        <v>0</v>
      </c>
      <c r="O666" s="9" t="b">
        <f t="shared" si="102"/>
        <v>1</v>
      </c>
      <c r="P666" s="8" t="str">
        <f t="shared" si="103"/>
        <v>FALSE</v>
      </c>
      <c r="Q666" s="8" t="str">
        <f t="shared" si="104"/>
        <v>FALSE</v>
      </c>
      <c r="R666" s="9" t="b">
        <f t="shared" si="105"/>
        <v>0</v>
      </c>
      <c r="S666" s="8" t="b">
        <f t="shared" si="106"/>
        <v>1</v>
      </c>
      <c r="T666" s="10" t="b">
        <f t="shared" si="107"/>
        <v>0</v>
      </c>
      <c r="U666" s="8" t="str">
        <f t="shared" si="108"/>
        <v>TRUE</v>
      </c>
      <c r="V666" s="11" t="str">
        <f t="shared" si="109"/>
        <v>TRUE</v>
      </c>
    </row>
    <row r="667" spans="1:22" ht="15.75">
      <c r="A667" s="21">
        <v>665</v>
      </c>
      <c r="B667" s="5" t="s">
        <v>1954</v>
      </c>
      <c r="C667" s="23" t="s">
        <v>2955</v>
      </c>
      <c r="D667" s="23" t="s">
        <v>34</v>
      </c>
      <c r="E667" s="5" t="s">
        <v>1955</v>
      </c>
      <c r="F667" s="71" t="s">
        <v>6105</v>
      </c>
      <c r="G667" s="22" t="s">
        <v>3933</v>
      </c>
      <c r="H667" s="5" t="s">
        <v>3932</v>
      </c>
      <c r="I667" s="5" t="s">
        <v>67</v>
      </c>
      <c r="J667" s="5" t="s">
        <v>5435</v>
      </c>
      <c r="K667" s="5" t="s">
        <v>1956</v>
      </c>
      <c r="L667" s="22"/>
      <c r="M667" s="8" t="str">
        <f t="shared" si="100"/>
        <v>Ok</v>
      </c>
      <c r="N667" s="9" t="b">
        <f t="shared" si="101"/>
        <v>0</v>
      </c>
      <c r="O667" s="9" t="b">
        <f t="shared" si="102"/>
        <v>0</v>
      </c>
      <c r="P667" s="8" t="str">
        <f t="shared" si="103"/>
        <v>FALSE</v>
      </c>
      <c r="Q667" s="8" t="str">
        <f t="shared" si="104"/>
        <v>FALSE</v>
      </c>
      <c r="R667" s="9" t="b">
        <f t="shared" si="105"/>
        <v>0</v>
      </c>
      <c r="S667" s="8" t="b">
        <f t="shared" si="106"/>
        <v>0</v>
      </c>
      <c r="T667" s="10" t="b">
        <f t="shared" si="107"/>
        <v>0</v>
      </c>
      <c r="U667" s="8" t="str">
        <f t="shared" si="108"/>
        <v>TRUE</v>
      </c>
      <c r="V667" s="11" t="str">
        <f t="shared" si="109"/>
        <v>TRUE</v>
      </c>
    </row>
    <row r="668" spans="1:22" ht="15.75">
      <c r="A668" s="21">
        <v>666</v>
      </c>
      <c r="B668" s="5" t="s">
        <v>1957</v>
      </c>
      <c r="C668" s="23" t="s">
        <v>3567</v>
      </c>
      <c r="D668" s="23" t="s">
        <v>59</v>
      </c>
      <c r="E668" s="5" t="s">
        <v>1958</v>
      </c>
      <c r="F668" s="71" t="s">
        <v>6105</v>
      </c>
      <c r="G668" s="22" t="s">
        <v>12</v>
      </c>
      <c r="H668" s="5" t="s">
        <v>36</v>
      </c>
      <c r="I668" s="5" t="s">
        <v>50</v>
      </c>
      <c r="J668" s="5" t="s">
        <v>5047</v>
      </c>
      <c r="K668" s="5" t="s">
        <v>1959</v>
      </c>
      <c r="L668" s="22"/>
      <c r="M668" s="8" t="str">
        <f t="shared" si="100"/>
        <v>Ok</v>
      </c>
      <c r="N668" s="9" t="b">
        <f t="shared" si="101"/>
        <v>1</v>
      </c>
      <c r="O668" s="9" t="b">
        <f t="shared" si="102"/>
        <v>1</v>
      </c>
      <c r="P668" s="8" t="str">
        <f t="shared" si="103"/>
        <v>FALSE</v>
      </c>
      <c r="Q668" s="8" t="str">
        <f t="shared" si="104"/>
        <v>FALSE</v>
      </c>
      <c r="R668" s="9" t="b">
        <f t="shared" si="105"/>
        <v>1</v>
      </c>
      <c r="S668" s="8" t="b">
        <f t="shared" si="106"/>
        <v>1</v>
      </c>
      <c r="T668" s="10" t="b">
        <f t="shared" si="107"/>
        <v>0</v>
      </c>
      <c r="U668" s="8" t="str">
        <f t="shared" si="108"/>
        <v>TRUE</v>
      </c>
      <c r="V668" s="11" t="str">
        <f t="shared" si="109"/>
        <v>TRUE</v>
      </c>
    </row>
    <row r="669" spans="1:22" ht="15.75">
      <c r="A669" s="21">
        <v>667</v>
      </c>
      <c r="B669" s="5" t="s">
        <v>1960</v>
      </c>
      <c r="C669" s="23" t="s">
        <v>3725</v>
      </c>
      <c r="D669" s="23" t="s">
        <v>59</v>
      </c>
      <c r="E669" s="5" t="s">
        <v>1961</v>
      </c>
      <c r="F669" s="71" t="s">
        <v>6105</v>
      </c>
      <c r="G669" s="22" t="s">
        <v>3934</v>
      </c>
      <c r="H669" s="5" t="s">
        <v>13</v>
      </c>
      <c r="I669" s="5" t="s">
        <v>42</v>
      </c>
      <c r="J669" s="5" t="s">
        <v>5529</v>
      </c>
      <c r="K669" s="5" t="s">
        <v>1962</v>
      </c>
      <c r="L669" s="22"/>
      <c r="M669" s="8" t="str">
        <f t="shared" si="100"/>
        <v>Ok</v>
      </c>
      <c r="N669" s="9" t="b">
        <f t="shared" si="101"/>
        <v>0</v>
      </c>
      <c r="O669" s="9" t="b">
        <f t="shared" si="102"/>
        <v>1</v>
      </c>
      <c r="P669" s="8" t="str">
        <f t="shared" si="103"/>
        <v>FALSE</v>
      </c>
      <c r="Q669" s="8" t="str">
        <f t="shared" si="104"/>
        <v>FALSE</v>
      </c>
      <c r="R669" s="9" t="b">
        <f t="shared" si="105"/>
        <v>0</v>
      </c>
      <c r="S669" s="8" t="b">
        <f t="shared" si="106"/>
        <v>0</v>
      </c>
      <c r="T669" s="10" t="b">
        <f t="shared" si="107"/>
        <v>1</v>
      </c>
      <c r="U669" s="8" t="str">
        <f t="shared" si="108"/>
        <v>FALSE</v>
      </c>
      <c r="V669" s="11" t="str">
        <f t="shared" si="109"/>
        <v>TRUE</v>
      </c>
    </row>
    <row r="670" spans="1:22" ht="15.75">
      <c r="A670" s="21">
        <v>668</v>
      </c>
      <c r="B670" s="5" t="s">
        <v>1963</v>
      </c>
      <c r="C670" s="23" t="s">
        <v>3926</v>
      </c>
      <c r="D670" s="23" t="s">
        <v>17</v>
      </c>
      <c r="E670" s="5" t="s">
        <v>634</v>
      </c>
      <c r="F670" s="71" t="s">
        <v>6105</v>
      </c>
      <c r="G670" s="22" t="s">
        <v>119</v>
      </c>
      <c r="H670" s="5" t="s">
        <v>120</v>
      </c>
      <c r="I670" s="5" t="s">
        <v>56</v>
      </c>
      <c r="J670" s="5" t="s">
        <v>4794</v>
      </c>
      <c r="K670" s="5" t="s">
        <v>1964</v>
      </c>
      <c r="L670" s="22"/>
      <c r="M670" s="8" t="str">
        <f t="shared" si="100"/>
        <v>Ok</v>
      </c>
      <c r="N670" s="9" t="b">
        <f t="shared" si="101"/>
        <v>0</v>
      </c>
      <c r="O670" s="9" t="b">
        <f t="shared" si="102"/>
        <v>1</v>
      </c>
      <c r="P670" s="8" t="str">
        <f t="shared" si="103"/>
        <v>FALSE</v>
      </c>
      <c r="Q670" s="8" t="str">
        <f t="shared" si="104"/>
        <v>FALSE</v>
      </c>
      <c r="R670" s="9" t="b">
        <f t="shared" si="105"/>
        <v>0</v>
      </c>
      <c r="S670" s="8" t="b">
        <f t="shared" si="106"/>
        <v>1</v>
      </c>
      <c r="T670" s="10" t="b">
        <f t="shared" si="107"/>
        <v>1</v>
      </c>
      <c r="U670" s="8" t="str">
        <f t="shared" si="108"/>
        <v>TRUE</v>
      </c>
      <c r="V670" s="11" t="str">
        <f t="shared" si="109"/>
        <v>TRUE</v>
      </c>
    </row>
    <row r="671" spans="1:22" ht="15.75">
      <c r="A671" s="21">
        <v>669</v>
      </c>
      <c r="B671" s="5" t="s">
        <v>1965</v>
      </c>
      <c r="C671" s="23" t="s">
        <v>3310</v>
      </c>
      <c r="D671" s="23" t="s">
        <v>77</v>
      </c>
      <c r="E671" s="5" t="s">
        <v>1966</v>
      </c>
      <c r="F671" s="71" t="s">
        <v>6105</v>
      </c>
      <c r="G671" s="22" t="s">
        <v>179</v>
      </c>
      <c r="H671" s="5" t="s">
        <v>3932</v>
      </c>
      <c r="I671" s="5" t="s">
        <v>42</v>
      </c>
      <c r="J671" s="5" t="s">
        <v>5269</v>
      </c>
      <c r="K671" s="5" t="s">
        <v>1967</v>
      </c>
      <c r="L671" s="22"/>
      <c r="M671" s="8" t="str">
        <f t="shared" si="100"/>
        <v>Ok</v>
      </c>
      <c r="N671" s="9" t="b">
        <f t="shared" si="101"/>
        <v>1</v>
      </c>
      <c r="O671" s="9" t="b">
        <f t="shared" si="102"/>
        <v>0</v>
      </c>
      <c r="P671" s="8" t="str">
        <f t="shared" si="103"/>
        <v>FALSE</v>
      </c>
      <c r="Q671" s="8" t="str">
        <f t="shared" si="104"/>
        <v>FALSE</v>
      </c>
      <c r="R671" s="9" t="b">
        <f t="shared" si="105"/>
        <v>1</v>
      </c>
      <c r="S671" s="8" t="b">
        <f t="shared" si="106"/>
        <v>0</v>
      </c>
      <c r="T671" s="10" t="b">
        <f t="shared" si="107"/>
        <v>1</v>
      </c>
      <c r="U671" s="8" t="str">
        <f t="shared" si="108"/>
        <v>TRUE</v>
      </c>
      <c r="V671" s="11" t="str">
        <f t="shared" si="109"/>
        <v>TRUE</v>
      </c>
    </row>
    <row r="672" spans="1:22" ht="15.75">
      <c r="A672" s="21">
        <v>670</v>
      </c>
      <c r="B672" s="5" t="s">
        <v>1968</v>
      </c>
      <c r="C672" s="23" t="s">
        <v>3507</v>
      </c>
      <c r="D672" s="23" t="s">
        <v>77</v>
      </c>
      <c r="E672" s="5" t="s">
        <v>1969</v>
      </c>
      <c r="F672" s="71" t="s">
        <v>6105</v>
      </c>
      <c r="G672" s="22" t="s">
        <v>160</v>
      </c>
      <c r="H672" s="5" t="s">
        <v>3932</v>
      </c>
      <c r="I672" s="5" t="s">
        <v>42</v>
      </c>
      <c r="J672" s="5" t="s">
        <v>5582</v>
      </c>
      <c r="K672" s="5" t="s">
        <v>1970</v>
      </c>
      <c r="L672" s="22"/>
      <c r="M672" s="8" t="str">
        <f t="shared" si="100"/>
        <v>Ok</v>
      </c>
      <c r="N672" s="9" t="b">
        <f t="shared" si="101"/>
        <v>1</v>
      </c>
      <c r="O672" s="9" t="b">
        <f t="shared" si="102"/>
        <v>0</v>
      </c>
      <c r="P672" s="8" t="str">
        <f t="shared" si="103"/>
        <v>FALSE</v>
      </c>
      <c r="Q672" s="8" t="str">
        <f t="shared" si="104"/>
        <v>FALSE</v>
      </c>
      <c r="R672" s="9" t="b">
        <f t="shared" si="105"/>
        <v>0</v>
      </c>
      <c r="S672" s="8" t="b">
        <f t="shared" si="106"/>
        <v>0</v>
      </c>
      <c r="T672" s="10" t="b">
        <f t="shared" si="107"/>
        <v>1</v>
      </c>
      <c r="U672" s="8" t="str">
        <f t="shared" si="108"/>
        <v>FALSE</v>
      </c>
      <c r="V672" s="11" t="str">
        <f t="shared" si="109"/>
        <v>TRUE</v>
      </c>
    </row>
    <row r="673" spans="1:22" ht="15.75">
      <c r="A673" s="21">
        <v>671</v>
      </c>
      <c r="B673" s="5" t="s">
        <v>1971</v>
      </c>
      <c r="C673" s="23" t="s">
        <v>3311</v>
      </c>
      <c r="D673" s="23" t="s">
        <v>77</v>
      </c>
      <c r="E673" s="5" t="s">
        <v>1972</v>
      </c>
      <c r="F673" s="71" t="s">
        <v>6105</v>
      </c>
      <c r="G673" s="22" t="s">
        <v>179</v>
      </c>
      <c r="H673" s="5" t="s">
        <v>3932</v>
      </c>
      <c r="I673" s="5" t="s">
        <v>26</v>
      </c>
      <c r="J673" s="5" t="s">
        <v>5219</v>
      </c>
      <c r="K673" s="5" t="s">
        <v>1973</v>
      </c>
      <c r="L673" s="22"/>
      <c r="M673" s="8" t="str">
        <f t="shared" si="100"/>
        <v>Ok</v>
      </c>
      <c r="N673" s="9" t="b">
        <f t="shared" si="101"/>
        <v>1</v>
      </c>
      <c r="O673" s="9" t="b">
        <f t="shared" si="102"/>
        <v>0</v>
      </c>
      <c r="P673" s="8" t="str">
        <f t="shared" si="103"/>
        <v>FALSE</v>
      </c>
      <c r="Q673" s="8" t="str">
        <f t="shared" si="104"/>
        <v>FALSE</v>
      </c>
      <c r="R673" s="9" t="b">
        <f t="shared" si="105"/>
        <v>1</v>
      </c>
      <c r="S673" s="8" t="b">
        <f t="shared" si="106"/>
        <v>0</v>
      </c>
      <c r="T673" s="10" t="b">
        <f t="shared" si="107"/>
        <v>0</v>
      </c>
      <c r="U673" s="8" t="str">
        <f t="shared" si="108"/>
        <v>TRUE</v>
      </c>
      <c r="V673" s="11" t="str">
        <f t="shared" si="109"/>
        <v>TRUE</v>
      </c>
    </row>
    <row r="674" spans="1:22" ht="15.75">
      <c r="A674" s="21">
        <v>672</v>
      </c>
      <c r="B674" s="5" t="s">
        <v>1974</v>
      </c>
      <c r="C674" s="23" t="s">
        <v>3568</v>
      </c>
      <c r="D674" s="23" t="s">
        <v>59</v>
      </c>
      <c r="E674" s="5" t="s">
        <v>1975</v>
      </c>
      <c r="F674" s="71" t="s">
        <v>6105</v>
      </c>
      <c r="G674" s="22" t="s">
        <v>12</v>
      </c>
      <c r="H674" s="5" t="s">
        <v>36</v>
      </c>
      <c r="I674" s="5" t="s">
        <v>21</v>
      </c>
      <c r="J674" s="5" t="s">
        <v>5156</v>
      </c>
      <c r="K674" s="5" t="s">
        <v>1976</v>
      </c>
      <c r="L674" s="22"/>
      <c r="M674" s="8" t="str">
        <f t="shared" si="100"/>
        <v>Ok</v>
      </c>
      <c r="N674" s="9" t="b">
        <f t="shared" si="101"/>
        <v>1</v>
      </c>
      <c r="O674" s="9" t="b">
        <f t="shared" si="102"/>
        <v>1</v>
      </c>
      <c r="P674" s="8" t="str">
        <f t="shared" si="103"/>
        <v>FALSE</v>
      </c>
      <c r="Q674" s="8" t="str">
        <f t="shared" si="104"/>
        <v>FALSE</v>
      </c>
      <c r="R674" s="9" t="b">
        <f t="shared" si="105"/>
        <v>1</v>
      </c>
      <c r="S674" s="8" t="b">
        <f t="shared" si="106"/>
        <v>1</v>
      </c>
      <c r="T674" s="10" t="b">
        <f t="shared" si="107"/>
        <v>0</v>
      </c>
      <c r="U674" s="8" t="str">
        <f t="shared" si="108"/>
        <v>TRUE</v>
      </c>
      <c r="V674" s="11" t="str">
        <f t="shared" si="109"/>
        <v>TRUE</v>
      </c>
    </row>
    <row r="675" spans="1:22" ht="15.75">
      <c r="A675" s="21">
        <v>673</v>
      </c>
      <c r="B675" s="5" t="s">
        <v>1977</v>
      </c>
      <c r="C675" s="23" t="s">
        <v>3037</v>
      </c>
      <c r="D675" s="23" t="s">
        <v>34</v>
      </c>
      <c r="E675" s="5" t="s">
        <v>1978</v>
      </c>
      <c r="F675" s="71" t="s">
        <v>6105</v>
      </c>
      <c r="G675" s="22" t="s">
        <v>74</v>
      </c>
      <c r="H675" s="5" t="s">
        <v>71</v>
      </c>
      <c r="I675" s="5" t="s">
        <v>14</v>
      </c>
      <c r="J675" s="5" t="s">
        <v>5403</v>
      </c>
      <c r="K675" s="5" t="s">
        <v>1979</v>
      </c>
      <c r="L675" s="22"/>
      <c r="M675" s="8" t="str">
        <f t="shared" si="100"/>
        <v>Ok</v>
      </c>
      <c r="N675" s="9" t="b">
        <f t="shared" si="101"/>
        <v>0</v>
      </c>
      <c r="O675" s="9" t="b">
        <f t="shared" si="102"/>
        <v>0</v>
      </c>
      <c r="P675" s="8" t="str">
        <f t="shared" si="103"/>
        <v>FALSE</v>
      </c>
      <c r="Q675" s="8" t="str">
        <f t="shared" si="104"/>
        <v>FALSE</v>
      </c>
      <c r="R675" s="9" t="b">
        <f t="shared" si="105"/>
        <v>0</v>
      </c>
      <c r="S675" s="8" t="b">
        <f t="shared" si="106"/>
        <v>1</v>
      </c>
      <c r="T675" s="10" t="b">
        <f t="shared" si="107"/>
        <v>1</v>
      </c>
      <c r="U675" s="8" t="str">
        <f t="shared" si="108"/>
        <v>TRUE</v>
      </c>
      <c r="V675" s="11" t="str">
        <f t="shared" si="109"/>
        <v>TRUE</v>
      </c>
    </row>
    <row r="676" spans="1:22" ht="15.75">
      <c r="A676" s="21">
        <v>674</v>
      </c>
      <c r="B676" s="5" t="s">
        <v>3956</v>
      </c>
      <c r="C676" s="23" t="s">
        <v>3847</v>
      </c>
      <c r="D676" s="23" t="s">
        <v>59</v>
      </c>
      <c r="E676" s="5" t="s">
        <v>1980</v>
      </c>
      <c r="F676" s="71" t="s">
        <v>6105</v>
      </c>
      <c r="G676" s="22" t="s">
        <v>144</v>
      </c>
      <c r="H676" s="5" t="s">
        <v>25</v>
      </c>
      <c r="I676" s="5" t="s">
        <v>67</v>
      </c>
      <c r="J676" s="5" t="s">
        <v>5077</v>
      </c>
      <c r="K676" s="5" t="s">
        <v>1981</v>
      </c>
      <c r="L676" s="22"/>
      <c r="M676" s="8" t="str">
        <f t="shared" si="100"/>
        <v>Ok</v>
      </c>
      <c r="N676" s="9" t="b">
        <f t="shared" si="101"/>
        <v>0</v>
      </c>
      <c r="O676" s="9" t="b">
        <f t="shared" si="102"/>
        <v>1</v>
      </c>
      <c r="P676" s="8" t="str">
        <f t="shared" si="103"/>
        <v>FALSE</v>
      </c>
      <c r="Q676" s="8" t="str">
        <f t="shared" si="104"/>
        <v>FALSE</v>
      </c>
      <c r="R676" s="9" t="b">
        <f t="shared" si="105"/>
        <v>1</v>
      </c>
      <c r="S676" s="8" t="b">
        <f t="shared" si="106"/>
        <v>0</v>
      </c>
      <c r="T676" s="10" t="b">
        <f t="shared" si="107"/>
        <v>0</v>
      </c>
      <c r="U676" s="8" t="str">
        <f t="shared" si="108"/>
        <v>TRUE</v>
      </c>
      <c r="V676" s="11" t="str">
        <f t="shared" si="109"/>
        <v>TRUE</v>
      </c>
    </row>
    <row r="677" spans="1:22" ht="15.75">
      <c r="A677" s="21">
        <v>675</v>
      </c>
      <c r="B677" s="5" t="s">
        <v>1982</v>
      </c>
      <c r="C677" s="23" t="s">
        <v>3395</v>
      </c>
      <c r="D677" s="23" t="s">
        <v>17</v>
      </c>
      <c r="E677" s="5" t="s">
        <v>1983</v>
      </c>
      <c r="F677" s="71" t="s">
        <v>6105</v>
      </c>
      <c r="G677" s="22" t="s">
        <v>93</v>
      </c>
      <c r="H677" s="5" t="s">
        <v>217</v>
      </c>
      <c r="I677" s="5" t="s">
        <v>26</v>
      </c>
      <c r="J677" s="5" t="s">
        <v>4963</v>
      </c>
      <c r="K677" s="5" t="s">
        <v>1984</v>
      </c>
      <c r="L677" s="22"/>
      <c r="M677" s="8" t="str">
        <f t="shared" si="100"/>
        <v>Ok</v>
      </c>
      <c r="N677" s="9" t="b">
        <f t="shared" si="101"/>
        <v>1</v>
      </c>
      <c r="O677" s="9" t="b">
        <f t="shared" si="102"/>
        <v>1</v>
      </c>
      <c r="P677" s="8" t="str">
        <f t="shared" si="103"/>
        <v>FALSE</v>
      </c>
      <c r="Q677" s="8" t="str">
        <f t="shared" si="104"/>
        <v>FALSE</v>
      </c>
      <c r="R677" s="9" t="b">
        <f t="shared" si="105"/>
        <v>0</v>
      </c>
      <c r="S677" s="8" t="b">
        <f t="shared" si="106"/>
        <v>0</v>
      </c>
      <c r="T677" s="10" t="b">
        <f t="shared" si="107"/>
        <v>0</v>
      </c>
      <c r="U677" s="8" t="str">
        <f t="shared" si="108"/>
        <v>TRUE</v>
      </c>
      <c r="V677" s="11" t="str">
        <f t="shared" si="109"/>
        <v>TRUE</v>
      </c>
    </row>
    <row r="678" spans="1:22" ht="15.75">
      <c r="A678" s="21">
        <v>676</v>
      </c>
      <c r="B678" s="5" t="s">
        <v>1985</v>
      </c>
      <c r="C678" s="23" t="s">
        <v>3396</v>
      </c>
      <c r="D678" s="23" t="s">
        <v>17</v>
      </c>
      <c r="E678" s="5" t="s">
        <v>1986</v>
      </c>
      <c r="F678" s="71" t="s">
        <v>6105</v>
      </c>
      <c r="G678" s="22" t="s">
        <v>93</v>
      </c>
      <c r="H678" s="5" t="s">
        <v>217</v>
      </c>
      <c r="I678" s="5" t="s">
        <v>42</v>
      </c>
      <c r="J678" s="5" t="s">
        <v>5625</v>
      </c>
      <c r="K678" s="5" t="s">
        <v>1987</v>
      </c>
      <c r="L678" s="22"/>
      <c r="M678" s="8" t="str">
        <f t="shared" si="100"/>
        <v>Ok</v>
      </c>
      <c r="N678" s="9" t="b">
        <f t="shared" si="101"/>
        <v>1</v>
      </c>
      <c r="O678" s="9" t="b">
        <f t="shared" si="102"/>
        <v>1</v>
      </c>
      <c r="P678" s="8" t="str">
        <f t="shared" si="103"/>
        <v>FALSE</v>
      </c>
      <c r="Q678" s="8" t="str">
        <f t="shared" si="104"/>
        <v>FALSE</v>
      </c>
      <c r="R678" s="9" t="b">
        <f t="shared" si="105"/>
        <v>0</v>
      </c>
      <c r="S678" s="8" t="b">
        <f t="shared" si="106"/>
        <v>0</v>
      </c>
      <c r="T678" s="10" t="b">
        <f t="shared" si="107"/>
        <v>1</v>
      </c>
      <c r="U678" s="8" t="str">
        <f t="shared" si="108"/>
        <v>FALSE</v>
      </c>
      <c r="V678" s="11" t="str">
        <f t="shared" si="109"/>
        <v>TRUE</v>
      </c>
    </row>
    <row r="679" spans="1:22" ht="15.75">
      <c r="A679" s="21">
        <v>677</v>
      </c>
      <c r="B679" s="5" t="s">
        <v>1988</v>
      </c>
      <c r="C679" s="23" t="s">
        <v>3256</v>
      </c>
      <c r="D679" s="23" t="s">
        <v>77</v>
      </c>
      <c r="E679" s="5" t="s">
        <v>1989</v>
      </c>
      <c r="F679" s="71" t="s">
        <v>6105</v>
      </c>
      <c r="G679" s="22" t="s">
        <v>179</v>
      </c>
      <c r="H679" s="5" t="s">
        <v>3932</v>
      </c>
      <c r="I679" s="5" t="s">
        <v>21</v>
      </c>
      <c r="J679" s="5" t="s">
        <v>4856</v>
      </c>
      <c r="K679" s="5" t="s">
        <v>1990</v>
      </c>
      <c r="L679" s="22"/>
      <c r="M679" s="8" t="str">
        <f t="shared" si="100"/>
        <v>Ok</v>
      </c>
      <c r="N679" s="9" t="b">
        <f t="shared" si="101"/>
        <v>1</v>
      </c>
      <c r="O679" s="9" t="b">
        <f t="shared" si="102"/>
        <v>0</v>
      </c>
      <c r="P679" s="8" t="str">
        <f t="shared" si="103"/>
        <v>FALSE</v>
      </c>
      <c r="Q679" s="8" t="str">
        <f t="shared" si="104"/>
        <v>FALSE</v>
      </c>
      <c r="R679" s="9" t="b">
        <f t="shared" si="105"/>
        <v>1</v>
      </c>
      <c r="S679" s="8" t="b">
        <f t="shared" si="106"/>
        <v>0</v>
      </c>
      <c r="T679" s="10" t="b">
        <f t="shared" si="107"/>
        <v>0</v>
      </c>
      <c r="U679" s="8" t="str">
        <f t="shared" si="108"/>
        <v>TRUE</v>
      </c>
      <c r="V679" s="11" t="str">
        <f t="shared" si="109"/>
        <v>TRUE</v>
      </c>
    </row>
    <row r="680" spans="1:22" ht="15.75">
      <c r="A680" s="21">
        <v>678</v>
      </c>
      <c r="B680" s="5" t="s">
        <v>1991</v>
      </c>
      <c r="C680" s="23" t="s">
        <v>3312</v>
      </c>
      <c r="D680" s="23" t="s">
        <v>77</v>
      </c>
      <c r="E680" s="5" t="s">
        <v>1992</v>
      </c>
      <c r="F680" s="71" t="s">
        <v>6105</v>
      </c>
      <c r="G680" s="22" t="s">
        <v>179</v>
      </c>
      <c r="H680" s="5" t="s">
        <v>3932</v>
      </c>
      <c r="I680" s="5" t="s">
        <v>21</v>
      </c>
      <c r="J680" s="5" t="s">
        <v>5763</v>
      </c>
      <c r="K680" s="5" t="s">
        <v>1993</v>
      </c>
      <c r="L680" s="22"/>
      <c r="M680" s="8" t="str">
        <f t="shared" si="100"/>
        <v>Ok</v>
      </c>
      <c r="N680" s="9" t="b">
        <f t="shared" si="101"/>
        <v>1</v>
      </c>
      <c r="O680" s="9" t="b">
        <f t="shared" si="102"/>
        <v>0</v>
      </c>
      <c r="P680" s="8" t="str">
        <f t="shared" si="103"/>
        <v>FALSE</v>
      </c>
      <c r="Q680" s="8" t="str">
        <f t="shared" si="104"/>
        <v>FALSE</v>
      </c>
      <c r="R680" s="9" t="b">
        <f t="shared" si="105"/>
        <v>1</v>
      </c>
      <c r="S680" s="8" t="b">
        <f t="shared" si="106"/>
        <v>0</v>
      </c>
      <c r="T680" s="10" t="b">
        <f t="shared" si="107"/>
        <v>0</v>
      </c>
      <c r="U680" s="8" t="str">
        <f t="shared" si="108"/>
        <v>FALSE</v>
      </c>
      <c r="V680" s="11" t="str">
        <f t="shared" si="109"/>
        <v>TRUE</v>
      </c>
    </row>
    <row r="681" spans="1:22" ht="15.75">
      <c r="A681" s="21">
        <v>679</v>
      </c>
      <c r="B681" s="5" t="s">
        <v>3957</v>
      </c>
      <c r="C681" s="23" t="s">
        <v>3632</v>
      </c>
      <c r="D681" s="23" t="s">
        <v>59</v>
      </c>
      <c r="E681" s="5" t="s">
        <v>1995</v>
      </c>
      <c r="F681" s="71" t="s">
        <v>6105</v>
      </c>
      <c r="G681" s="22" t="s">
        <v>160</v>
      </c>
      <c r="H681" s="5" t="s">
        <v>36</v>
      </c>
      <c r="I681" s="5" t="s">
        <v>14</v>
      </c>
      <c r="J681" s="5" t="s">
        <v>5546</v>
      </c>
      <c r="K681" s="5" t="s">
        <v>1996</v>
      </c>
      <c r="L681" s="22"/>
      <c r="M681" s="8" t="str">
        <f t="shared" si="100"/>
        <v>Ok</v>
      </c>
      <c r="N681" s="9" t="b">
        <f t="shared" si="101"/>
        <v>1</v>
      </c>
      <c r="O681" s="9" t="b">
        <f t="shared" si="102"/>
        <v>1</v>
      </c>
      <c r="P681" s="8" t="str">
        <f t="shared" si="103"/>
        <v>FALSE</v>
      </c>
      <c r="Q681" s="8" t="str">
        <f t="shared" si="104"/>
        <v>FALSE</v>
      </c>
      <c r="R681" s="9" t="b">
        <f t="shared" si="105"/>
        <v>0</v>
      </c>
      <c r="S681" s="8" t="b">
        <f t="shared" si="106"/>
        <v>1</v>
      </c>
      <c r="T681" s="10" t="b">
        <f t="shared" si="107"/>
        <v>1</v>
      </c>
      <c r="U681" s="8" t="str">
        <f t="shared" si="108"/>
        <v>FALSE</v>
      </c>
      <c r="V681" s="11" t="str">
        <f t="shared" si="109"/>
        <v>TRUE</v>
      </c>
    </row>
    <row r="682" spans="1:22" ht="15.75">
      <c r="A682" s="21">
        <v>680</v>
      </c>
      <c r="B682" s="5" t="s">
        <v>1997</v>
      </c>
      <c r="C682" s="23" t="s">
        <v>3798</v>
      </c>
      <c r="D682" s="23" t="s">
        <v>59</v>
      </c>
      <c r="E682" s="5" t="s">
        <v>1998</v>
      </c>
      <c r="F682" s="71" t="s">
        <v>6105</v>
      </c>
      <c r="G682" s="22" t="s">
        <v>24</v>
      </c>
      <c r="H682" s="5" t="s">
        <v>25</v>
      </c>
      <c r="I682" s="5" t="s">
        <v>42</v>
      </c>
      <c r="J682" s="5" t="s">
        <v>5732</v>
      </c>
      <c r="K682" s="5" t="s">
        <v>1999</v>
      </c>
      <c r="L682" s="22"/>
      <c r="M682" s="8" t="str">
        <f t="shared" si="100"/>
        <v>Ok</v>
      </c>
      <c r="N682" s="9" t="b">
        <f t="shared" si="101"/>
        <v>0</v>
      </c>
      <c r="O682" s="9" t="b">
        <f t="shared" si="102"/>
        <v>1</v>
      </c>
      <c r="P682" s="8" t="str">
        <f t="shared" si="103"/>
        <v>FALSE</v>
      </c>
      <c r="Q682" s="8" t="str">
        <f t="shared" si="104"/>
        <v>FALSE</v>
      </c>
      <c r="R682" s="9" t="b">
        <f t="shared" si="105"/>
        <v>0</v>
      </c>
      <c r="S682" s="8" t="b">
        <f t="shared" si="106"/>
        <v>0</v>
      </c>
      <c r="T682" s="10" t="b">
        <f t="shared" si="107"/>
        <v>1</v>
      </c>
      <c r="U682" s="8" t="str">
        <f t="shared" si="108"/>
        <v>FALSE</v>
      </c>
      <c r="V682" s="11" t="str">
        <f t="shared" si="109"/>
        <v>TRUE</v>
      </c>
    </row>
    <row r="683" spans="1:22" ht="15.75">
      <c r="A683" s="21">
        <v>681</v>
      </c>
      <c r="B683" s="5" t="s">
        <v>2000</v>
      </c>
      <c r="C683" s="23" t="s">
        <v>3257</v>
      </c>
      <c r="D683" s="23" t="s">
        <v>77</v>
      </c>
      <c r="E683" s="5" t="s">
        <v>2001</v>
      </c>
      <c r="F683" s="71" t="s">
        <v>6105</v>
      </c>
      <c r="G683" s="22" t="s">
        <v>179</v>
      </c>
      <c r="H683" s="5" t="s">
        <v>3932</v>
      </c>
      <c r="I683" s="5" t="s">
        <v>26</v>
      </c>
      <c r="J683" s="5" t="s">
        <v>5593</v>
      </c>
      <c r="K683" s="5" t="s">
        <v>2002</v>
      </c>
      <c r="L683" s="22"/>
      <c r="M683" s="8" t="str">
        <f t="shared" si="100"/>
        <v>Ok</v>
      </c>
      <c r="N683" s="9" t="b">
        <f t="shared" si="101"/>
        <v>1</v>
      </c>
      <c r="O683" s="9" t="b">
        <f t="shared" si="102"/>
        <v>0</v>
      </c>
      <c r="P683" s="8" t="str">
        <f t="shared" si="103"/>
        <v>FALSE</v>
      </c>
      <c r="Q683" s="8" t="str">
        <f t="shared" si="104"/>
        <v>FALSE</v>
      </c>
      <c r="R683" s="9" t="b">
        <f t="shared" si="105"/>
        <v>1</v>
      </c>
      <c r="S683" s="8" t="b">
        <f t="shared" si="106"/>
        <v>0</v>
      </c>
      <c r="T683" s="10" t="b">
        <f t="shared" si="107"/>
        <v>0</v>
      </c>
      <c r="U683" s="8" t="str">
        <f t="shared" si="108"/>
        <v>FALSE</v>
      </c>
      <c r="V683" s="11" t="str">
        <f t="shared" si="109"/>
        <v>TRUE</v>
      </c>
    </row>
    <row r="684" spans="1:22" ht="15.75">
      <c r="A684" s="21">
        <v>682</v>
      </c>
      <c r="B684" s="5" t="s">
        <v>2003</v>
      </c>
      <c r="C684" s="23" t="s">
        <v>3927</v>
      </c>
      <c r="D684" s="23" t="s">
        <v>17</v>
      </c>
      <c r="E684" s="5" t="s">
        <v>385</v>
      </c>
      <c r="F684" s="71" t="s">
        <v>6105</v>
      </c>
      <c r="G684" s="22" t="s">
        <v>85</v>
      </c>
      <c r="H684" s="5" t="s">
        <v>120</v>
      </c>
      <c r="I684" s="5" t="s">
        <v>14</v>
      </c>
      <c r="J684" s="5" t="s">
        <v>4945</v>
      </c>
      <c r="K684" s="5" t="s">
        <v>2004</v>
      </c>
      <c r="L684" s="22"/>
      <c r="M684" s="8" t="str">
        <f t="shared" si="100"/>
        <v>Ok</v>
      </c>
      <c r="N684" s="9" t="b">
        <f t="shared" si="101"/>
        <v>0</v>
      </c>
      <c r="O684" s="9" t="b">
        <f t="shared" si="102"/>
        <v>1</v>
      </c>
      <c r="P684" s="8" t="str">
        <f t="shared" si="103"/>
        <v>FALSE</v>
      </c>
      <c r="Q684" s="8" t="str">
        <f t="shared" si="104"/>
        <v>FALSE</v>
      </c>
      <c r="R684" s="9" t="b">
        <f t="shared" si="105"/>
        <v>1</v>
      </c>
      <c r="S684" s="8" t="b">
        <f t="shared" si="106"/>
        <v>1</v>
      </c>
      <c r="T684" s="10" t="b">
        <f t="shared" si="107"/>
        <v>1</v>
      </c>
      <c r="U684" s="8" t="str">
        <f t="shared" si="108"/>
        <v>TRUE</v>
      </c>
      <c r="V684" s="11" t="str">
        <f t="shared" si="109"/>
        <v>TRUE</v>
      </c>
    </row>
    <row r="685" spans="1:22" ht="15.75">
      <c r="A685" s="21">
        <v>683</v>
      </c>
      <c r="B685" s="5" t="s">
        <v>2005</v>
      </c>
      <c r="C685" s="23" t="s">
        <v>3928</v>
      </c>
      <c r="D685" s="23" t="s">
        <v>17</v>
      </c>
      <c r="E685" s="5" t="s">
        <v>2006</v>
      </c>
      <c r="F685" s="71" t="s">
        <v>6105</v>
      </c>
      <c r="G685" s="22" t="s">
        <v>119</v>
      </c>
      <c r="H685" s="5" t="s">
        <v>120</v>
      </c>
      <c r="I685" s="5" t="s">
        <v>21</v>
      </c>
      <c r="J685" s="5" t="s">
        <v>5601</v>
      </c>
      <c r="K685" s="5" t="s">
        <v>2007</v>
      </c>
      <c r="L685" s="22"/>
      <c r="M685" s="8" t="str">
        <f t="shared" si="100"/>
        <v>Ok</v>
      </c>
      <c r="N685" s="9" t="b">
        <f t="shared" si="101"/>
        <v>0</v>
      </c>
      <c r="O685" s="9" t="b">
        <f t="shared" si="102"/>
        <v>1</v>
      </c>
      <c r="P685" s="8" t="str">
        <f t="shared" si="103"/>
        <v>FALSE</v>
      </c>
      <c r="Q685" s="8" t="str">
        <f t="shared" si="104"/>
        <v>FALSE</v>
      </c>
      <c r="R685" s="9" t="b">
        <f t="shared" si="105"/>
        <v>0</v>
      </c>
      <c r="S685" s="8" t="b">
        <f t="shared" si="106"/>
        <v>1</v>
      </c>
      <c r="T685" s="10" t="b">
        <f t="shared" si="107"/>
        <v>0</v>
      </c>
      <c r="U685" s="8" t="str">
        <f t="shared" si="108"/>
        <v>FALSE</v>
      </c>
      <c r="V685" s="11" t="str">
        <f t="shared" si="109"/>
        <v>TRUE</v>
      </c>
    </row>
    <row r="686" spans="1:22" ht="15.75">
      <c r="A686" s="21">
        <v>684</v>
      </c>
      <c r="B686" s="5" t="s">
        <v>2008</v>
      </c>
      <c r="C686" s="23" t="s">
        <v>3397</v>
      </c>
      <c r="D686" s="23" t="s">
        <v>17</v>
      </c>
      <c r="E686" s="5" t="s">
        <v>2009</v>
      </c>
      <c r="F686" s="71" t="s">
        <v>6105</v>
      </c>
      <c r="G686" s="22" t="s">
        <v>3933</v>
      </c>
      <c r="H686" s="5" t="s">
        <v>3932</v>
      </c>
      <c r="I686" s="5" t="s">
        <v>50</v>
      </c>
      <c r="J686" s="5" t="s">
        <v>5318</v>
      </c>
      <c r="K686" s="5" t="s">
        <v>2010</v>
      </c>
      <c r="L686" s="22"/>
      <c r="M686" s="8" t="str">
        <f t="shared" si="100"/>
        <v>Ok</v>
      </c>
      <c r="N686" s="9" t="b">
        <f t="shared" si="101"/>
        <v>1</v>
      </c>
      <c r="O686" s="9" t="b">
        <f t="shared" si="102"/>
        <v>1</v>
      </c>
      <c r="P686" s="8" t="str">
        <f t="shared" si="103"/>
        <v>FALSE</v>
      </c>
      <c r="Q686" s="8" t="str">
        <f t="shared" si="104"/>
        <v>FALSE</v>
      </c>
      <c r="R686" s="9" t="b">
        <f t="shared" si="105"/>
        <v>0</v>
      </c>
      <c r="S686" s="8" t="b">
        <f t="shared" si="106"/>
        <v>0</v>
      </c>
      <c r="T686" s="10" t="b">
        <f t="shared" si="107"/>
        <v>0</v>
      </c>
      <c r="U686" s="8" t="str">
        <f t="shared" si="108"/>
        <v>TRUE</v>
      </c>
      <c r="V686" s="11" t="str">
        <f t="shared" si="109"/>
        <v>TRUE</v>
      </c>
    </row>
    <row r="687" spans="1:22" ht="15.75">
      <c r="A687" s="21">
        <v>685</v>
      </c>
      <c r="B687" s="5" t="s">
        <v>2011</v>
      </c>
      <c r="C687" s="23" t="s">
        <v>3038</v>
      </c>
      <c r="D687" s="23" t="s">
        <v>34</v>
      </c>
      <c r="E687" s="5" t="s">
        <v>2012</v>
      </c>
      <c r="F687" s="71" t="s">
        <v>6105</v>
      </c>
      <c r="G687" s="22" t="s">
        <v>74</v>
      </c>
      <c r="H687" s="5" t="s">
        <v>71</v>
      </c>
      <c r="I687" s="5" t="s">
        <v>21</v>
      </c>
      <c r="J687" s="5" t="s">
        <v>5010</v>
      </c>
      <c r="K687" s="5" t="s">
        <v>2013</v>
      </c>
      <c r="L687" s="22"/>
      <c r="M687" s="8" t="str">
        <f t="shared" si="100"/>
        <v>Ok</v>
      </c>
      <c r="N687" s="9" t="b">
        <f t="shared" si="101"/>
        <v>0</v>
      </c>
      <c r="O687" s="9" t="b">
        <f t="shared" si="102"/>
        <v>0</v>
      </c>
      <c r="P687" s="8" t="str">
        <f t="shared" si="103"/>
        <v>FALSE</v>
      </c>
      <c r="Q687" s="8" t="str">
        <f t="shared" si="104"/>
        <v>FALSE</v>
      </c>
      <c r="R687" s="9" t="b">
        <f t="shared" si="105"/>
        <v>0</v>
      </c>
      <c r="S687" s="8" t="b">
        <f t="shared" si="106"/>
        <v>1</v>
      </c>
      <c r="T687" s="10" t="b">
        <f t="shared" si="107"/>
        <v>0</v>
      </c>
      <c r="U687" s="8" t="str">
        <f t="shared" si="108"/>
        <v>TRUE</v>
      </c>
      <c r="V687" s="11" t="str">
        <f t="shared" si="109"/>
        <v>TRUE</v>
      </c>
    </row>
    <row r="688" spans="1:22" ht="15.75">
      <c r="A688" s="21">
        <v>686</v>
      </c>
      <c r="B688" s="5" t="s">
        <v>2014</v>
      </c>
      <c r="C688" s="23" t="s">
        <v>3398</v>
      </c>
      <c r="D688" s="23" t="s">
        <v>17</v>
      </c>
      <c r="E688" s="5" t="s">
        <v>2015</v>
      </c>
      <c r="F688" s="71" t="s">
        <v>6105</v>
      </c>
      <c r="G688" s="22" t="s">
        <v>3933</v>
      </c>
      <c r="H688" s="5" t="s">
        <v>3932</v>
      </c>
      <c r="I688" s="5" t="s">
        <v>50</v>
      </c>
      <c r="J688" s="5" t="s">
        <v>4986</v>
      </c>
      <c r="K688" s="5" t="s">
        <v>2016</v>
      </c>
      <c r="L688" s="22"/>
      <c r="M688" s="8" t="str">
        <f t="shared" si="100"/>
        <v>Ok</v>
      </c>
      <c r="N688" s="9" t="b">
        <f t="shared" si="101"/>
        <v>1</v>
      </c>
      <c r="O688" s="9" t="b">
        <f t="shared" si="102"/>
        <v>1</v>
      </c>
      <c r="P688" s="8" t="str">
        <f t="shared" si="103"/>
        <v>FALSE</v>
      </c>
      <c r="Q688" s="8" t="str">
        <f t="shared" si="104"/>
        <v>FALSE</v>
      </c>
      <c r="R688" s="9" t="b">
        <f t="shared" si="105"/>
        <v>0</v>
      </c>
      <c r="S688" s="8" t="b">
        <f t="shared" si="106"/>
        <v>0</v>
      </c>
      <c r="T688" s="10" t="b">
        <f t="shared" si="107"/>
        <v>0</v>
      </c>
      <c r="U688" s="8" t="str">
        <f t="shared" si="108"/>
        <v>TRUE</v>
      </c>
      <c r="V688" s="11" t="str">
        <f t="shared" si="109"/>
        <v>FALSE</v>
      </c>
    </row>
    <row r="689" spans="1:22" ht="15.75">
      <c r="A689" s="21">
        <v>687</v>
      </c>
      <c r="B689" s="5" t="s">
        <v>2017</v>
      </c>
      <c r="C689" s="23" t="s">
        <v>2946</v>
      </c>
      <c r="D689" s="23" t="s">
        <v>34</v>
      </c>
      <c r="E689" s="5" t="s">
        <v>2018</v>
      </c>
      <c r="F689" s="71" t="s">
        <v>6105</v>
      </c>
      <c r="G689" s="22" t="s">
        <v>74</v>
      </c>
      <c r="H689" s="5" t="s">
        <v>71</v>
      </c>
      <c r="I689" s="5" t="s">
        <v>21</v>
      </c>
      <c r="J689" s="5" t="s">
        <v>4958</v>
      </c>
      <c r="K689" s="5" t="s">
        <v>2019</v>
      </c>
      <c r="L689" s="22"/>
      <c r="M689" s="8" t="str">
        <f t="shared" si="100"/>
        <v>Ok</v>
      </c>
      <c r="N689" s="9" t="b">
        <f t="shared" si="101"/>
        <v>0</v>
      </c>
      <c r="O689" s="9" t="b">
        <f t="shared" si="102"/>
        <v>0</v>
      </c>
      <c r="P689" s="8" t="str">
        <f t="shared" si="103"/>
        <v>FALSE</v>
      </c>
      <c r="Q689" s="8" t="str">
        <f t="shared" si="104"/>
        <v>FALSE</v>
      </c>
      <c r="R689" s="9" t="b">
        <f t="shared" si="105"/>
        <v>0</v>
      </c>
      <c r="S689" s="8" t="b">
        <f t="shared" si="106"/>
        <v>1</v>
      </c>
      <c r="T689" s="10" t="b">
        <f t="shared" si="107"/>
        <v>0</v>
      </c>
      <c r="U689" s="8" t="str">
        <f t="shared" si="108"/>
        <v>TRUE</v>
      </c>
      <c r="V689" s="11" t="str">
        <f t="shared" si="109"/>
        <v>TRUE</v>
      </c>
    </row>
    <row r="690" spans="1:22" ht="15.75">
      <c r="A690" s="21">
        <v>688</v>
      </c>
      <c r="B690" s="5" t="s">
        <v>2020</v>
      </c>
      <c r="C690" s="23" t="s">
        <v>3929</v>
      </c>
      <c r="D690" s="23" t="s">
        <v>17</v>
      </c>
      <c r="E690" s="5" t="s">
        <v>2021</v>
      </c>
      <c r="F690" s="71" t="s">
        <v>6105</v>
      </c>
      <c r="G690" s="22" t="s">
        <v>119</v>
      </c>
      <c r="H690" s="5" t="s">
        <v>120</v>
      </c>
      <c r="I690" s="5" t="s">
        <v>42</v>
      </c>
      <c r="J690" s="5" t="s">
        <v>5224</v>
      </c>
      <c r="K690" s="5" t="s">
        <v>2022</v>
      </c>
      <c r="L690" s="22"/>
      <c r="M690" s="8" t="str">
        <f t="shared" si="100"/>
        <v>Ok</v>
      </c>
      <c r="N690" s="9" t="b">
        <f t="shared" si="101"/>
        <v>0</v>
      </c>
      <c r="O690" s="9" t="b">
        <f t="shared" si="102"/>
        <v>1</v>
      </c>
      <c r="P690" s="8" t="str">
        <f t="shared" si="103"/>
        <v>FALSE</v>
      </c>
      <c r="Q690" s="8" t="str">
        <f t="shared" si="104"/>
        <v>FALSE</v>
      </c>
      <c r="R690" s="9" t="b">
        <f t="shared" si="105"/>
        <v>0</v>
      </c>
      <c r="S690" s="8" t="b">
        <f t="shared" si="106"/>
        <v>1</v>
      </c>
      <c r="T690" s="10" t="b">
        <f t="shared" si="107"/>
        <v>1</v>
      </c>
      <c r="U690" s="8" t="str">
        <f t="shared" si="108"/>
        <v>TRUE</v>
      </c>
      <c r="V690" s="11" t="str">
        <f t="shared" si="109"/>
        <v>FALSE</v>
      </c>
    </row>
    <row r="691" spans="1:22" ht="15.75">
      <c r="A691" s="21">
        <v>689</v>
      </c>
      <c r="B691" s="5" t="s">
        <v>2023</v>
      </c>
      <c r="C691" s="23" t="s">
        <v>3399</v>
      </c>
      <c r="D691" s="23" t="s">
        <v>17</v>
      </c>
      <c r="E691" s="5" t="s">
        <v>1550</v>
      </c>
      <c r="F691" s="71" t="s">
        <v>6105</v>
      </c>
      <c r="G691" s="22" t="s">
        <v>216</v>
      </c>
      <c r="H691" s="5" t="s">
        <v>217</v>
      </c>
      <c r="I691" s="5" t="s">
        <v>42</v>
      </c>
      <c r="J691" s="5" t="s">
        <v>5729</v>
      </c>
      <c r="K691" s="5" t="s">
        <v>2024</v>
      </c>
      <c r="L691" s="22"/>
      <c r="M691" s="8" t="str">
        <f t="shared" si="100"/>
        <v>Ok</v>
      </c>
      <c r="N691" s="9" t="b">
        <f t="shared" si="101"/>
        <v>1</v>
      </c>
      <c r="O691" s="9" t="b">
        <f t="shared" si="102"/>
        <v>1</v>
      </c>
      <c r="P691" s="8" t="str">
        <f t="shared" si="103"/>
        <v>FALSE</v>
      </c>
      <c r="Q691" s="8" t="str">
        <f t="shared" si="104"/>
        <v>FALSE</v>
      </c>
      <c r="R691" s="9" t="b">
        <f t="shared" si="105"/>
        <v>0</v>
      </c>
      <c r="S691" s="8" t="b">
        <f t="shared" si="106"/>
        <v>0</v>
      </c>
      <c r="T691" s="10" t="b">
        <f t="shared" si="107"/>
        <v>1</v>
      </c>
      <c r="U691" s="8" t="str">
        <f t="shared" si="108"/>
        <v>FALSE</v>
      </c>
      <c r="V691" s="11" t="str">
        <f t="shared" si="109"/>
        <v>TRUE</v>
      </c>
    </row>
    <row r="692" spans="1:22" ht="15.75">
      <c r="A692" s="21">
        <v>690</v>
      </c>
      <c r="B692" s="5" t="s">
        <v>2025</v>
      </c>
      <c r="C692" s="23" t="s">
        <v>3400</v>
      </c>
      <c r="D692" s="23" t="s">
        <v>17</v>
      </c>
      <c r="E692" s="5" t="s">
        <v>2026</v>
      </c>
      <c r="F692" s="71" t="s">
        <v>6105</v>
      </c>
      <c r="G692" s="22" t="s">
        <v>3933</v>
      </c>
      <c r="H692" s="5" t="s">
        <v>3932</v>
      </c>
      <c r="I692" s="5" t="s">
        <v>14</v>
      </c>
      <c r="J692" s="5" t="s">
        <v>4976</v>
      </c>
      <c r="K692" s="5" t="s">
        <v>2027</v>
      </c>
      <c r="L692" s="22"/>
      <c r="M692" s="8" t="str">
        <f t="shared" si="100"/>
        <v>Ok</v>
      </c>
      <c r="N692" s="9" t="b">
        <f t="shared" si="101"/>
        <v>1</v>
      </c>
      <c r="O692" s="9" t="b">
        <f t="shared" si="102"/>
        <v>1</v>
      </c>
      <c r="P692" s="8" t="str">
        <f t="shared" si="103"/>
        <v>FALSE</v>
      </c>
      <c r="Q692" s="8" t="str">
        <f t="shared" si="104"/>
        <v>FALSE</v>
      </c>
      <c r="R692" s="9" t="b">
        <f t="shared" si="105"/>
        <v>0</v>
      </c>
      <c r="S692" s="8" t="b">
        <f t="shared" si="106"/>
        <v>0</v>
      </c>
      <c r="T692" s="10" t="b">
        <f t="shared" si="107"/>
        <v>1</v>
      </c>
      <c r="U692" s="8" t="str">
        <f t="shared" si="108"/>
        <v>TRUE</v>
      </c>
      <c r="V692" s="11" t="str">
        <f t="shared" si="109"/>
        <v>FALSE</v>
      </c>
    </row>
    <row r="693" spans="1:22" ht="15.75">
      <c r="A693" s="21">
        <v>691</v>
      </c>
      <c r="B693" s="5" t="s">
        <v>2028</v>
      </c>
      <c r="C693" s="23" t="s">
        <v>3039</v>
      </c>
      <c r="D693" s="23" t="s">
        <v>34</v>
      </c>
      <c r="E693" s="5" t="s">
        <v>2029</v>
      </c>
      <c r="F693" s="71" t="s">
        <v>6105</v>
      </c>
      <c r="G693" s="22" t="s">
        <v>74</v>
      </c>
      <c r="H693" s="5" t="s">
        <v>71</v>
      </c>
      <c r="I693" s="5" t="s">
        <v>21</v>
      </c>
      <c r="J693" s="5" t="s">
        <v>4957</v>
      </c>
      <c r="K693" s="5" t="s">
        <v>2030</v>
      </c>
      <c r="L693" s="22"/>
      <c r="M693" s="8" t="str">
        <f t="shared" si="100"/>
        <v>Ok</v>
      </c>
      <c r="N693" s="9" t="b">
        <f t="shared" si="101"/>
        <v>0</v>
      </c>
      <c r="O693" s="9" t="b">
        <f t="shared" si="102"/>
        <v>0</v>
      </c>
      <c r="P693" s="8" t="str">
        <f t="shared" si="103"/>
        <v>FALSE</v>
      </c>
      <c r="Q693" s="8" t="str">
        <f t="shared" si="104"/>
        <v>FALSE</v>
      </c>
      <c r="R693" s="9" t="b">
        <f t="shared" si="105"/>
        <v>0</v>
      </c>
      <c r="S693" s="8" t="b">
        <f t="shared" si="106"/>
        <v>1</v>
      </c>
      <c r="T693" s="10" t="b">
        <f t="shared" si="107"/>
        <v>0</v>
      </c>
      <c r="U693" s="8" t="str">
        <f t="shared" si="108"/>
        <v>TRUE</v>
      </c>
      <c r="V693" s="11" t="str">
        <f t="shared" si="109"/>
        <v>TRUE</v>
      </c>
    </row>
    <row r="694" spans="1:22" ht="15.75">
      <c r="A694" s="21">
        <v>692</v>
      </c>
      <c r="B694" s="5" t="s">
        <v>2031</v>
      </c>
      <c r="C694" s="23" t="s">
        <v>3848</v>
      </c>
      <c r="D694" s="23" t="s">
        <v>59</v>
      </c>
      <c r="E694" s="5" t="s">
        <v>2032</v>
      </c>
      <c r="F694" s="71" t="s">
        <v>6105</v>
      </c>
      <c r="G694" s="22" t="s">
        <v>144</v>
      </c>
      <c r="H694" s="5" t="s">
        <v>46</v>
      </c>
      <c r="I694" s="5" t="s">
        <v>42</v>
      </c>
      <c r="J694" s="5" t="s">
        <v>5388</v>
      </c>
      <c r="K694" s="5" t="s">
        <v>2033</v>
      </c>
      <c r="L694" s="22"/>
      <c r="M694" s="8" t="str">
        <f t="shared" si="100"/>
        <v>Ok</v>
      </c>
      <c r="N694" s="9" t="b">
        <f t="shared" si="101"/>
        <v>0</v>
      </c>
      <c r="O694" s="9" t="b">
        <f t="shared" si="102"/>
        <v>1</v>
      </c>
      <c r="P694" s="8" t="str">
        <f t="shared" si="103"/>
        <v>FALSE</v>
      </c>
      <c r="Q694" s="8" t="str">
        <f t="shared" si="104"/>
        <v>FALSE</v>
      </c>
      <c r="R694" s="9" t="b">
        <f t="shared" si="105"/>
        <v>1</v>
      </c>
      <c r="S694" s="8" t="b">
        <f t="shared" si="106"/>
        <v>0</v>
      </c>
      <c r="T694" s="10" t="b">
        <f t="shared" si="107"/>
        <v>1</v>
      </c>
      <c r="U694" s="8" t="str">
        <f t="shared" si="108"/>
        <v>TRUE</v>
      </c>
      <c r="V694" s="11" t="str">
        <f t="shared" si="109"/>
        <v>TRUE</v>
      </c>
    </row>
    <row r="695" spans="1:22" ht="15.75">
      <c r="A695" s="21">
        <v>693</v>
      </c>
      <c r="B695" s="5" t="s">
        <v>2034</v>
      </c>
      <c r="C695" s="23" t="s">
        <v>3849</v>
      </c>
      <c r="D695" s="23" t="s">
        <v>59</v>
      </c>
      <c r="E695" s="5" t="s">
        <v>2035</v>
      </c>
      <c r="F695" s="71" t="s">
        <v>6105</v>
      </c>
      <c r="G695" s="22" t="s">
        <v>144</v>
      </c>
      <c r="H695" s="5" t="s">
        <v>46</v>
      </c>
      <c r="I695" s="5" t="s">
        <v>21</v>
      </c>
      <c r="J695" s="5" t="s">
        <v>5031</v>
      </c>
      <c r="K695" s="5" t="s">
        <v>2036</v>
      </c>
      <c r="L695" s="22"/>
      <c r="M695" s="8" t="str">
        <f t="shared" si="100"/>
        <v>Ok</v>
      </c>
      <c r="N695" s="9" t="b">
        <f t="shared" si="101"/>
        <v>0</v>
      </c>
      <c r="O695" s="9" t="b">
        <f t="shared" si="102"/>
        <v>1</v>
      </c>
      <c r="P695" s="8" t="str">
        <f t="shared" si="103"/>
        <v>FALSE</v>
      </c>
      <c r="Q695" s="8" t="str">
        <f t="shared" si="104"/>
        <v>FALSE</v>
      </c>
      <c r="R695" s="9" t="b">
        <f t="shared" si="105"/>
        <v>1</v>
      </c>
      <c r="S695" s="8" t="b">
        <f t="shared" si="106"/>
        <v>0</v>
      </c>
      <c r="T695" s="10" t="b">
        <f t="shared" si="107"/>
        <v>0</v>
      </c>
      <c r="U695" s="8" t="str">
        <f t="shared" si="108"/>
        <v>TRUE</v>
      </c>
      <c r="V695" s="11" t="str">
        <f t="shared" si="109"/>
        <v>FALSE</v>
      </c>
    </row>
    <row r="696" spans="1:22" ht="15.75">
      <c r="A696" s="21">
        <v>694</v>
      </c>
      <c r="B696" s="5" t="s">
        <v>2037</v>
      </c>
      <c r="C696" s="23" t="s">
        <v>2960</v>
      </c>
      <c r="D696" s="23" t="s">
        <v>17</v>
      </c>
      <c r="E696" s="5" t="s">
        <v>2038</v>
      </c>
      <c r="F696" s="71" t="s">
        <v>6105</v>
      </c>
      <c r="G696" s="22" t="s">
        <v>85</v>
      </c>
      <c r="H696" s="5" t="s">
        <v>86</v>
      </c>
      <c r="I696" s="5" t="s">
        <v>56</v>
      </c>
      <c r="J696" s="5" t="s">
        <v>5690</v>
      </c>
      <c r="K696" s="5" t="s">
        <v>2039</v>
      </c>
      <c r="L696" s="22"/>
      <c r="M696" s="8" t="str">
        <f t="shared" si="100"/>
        <v>Ok</v>
      </c>
      <c r="N696" s="9" t="b">
        <f t="shared" si="101"/>
        <v>0</v>
      </c>
      <c r="O696" s="9" t="b">
        <f t="shared" si="102"/>
        <v>1</v>
      </c>
      <c r="P696" s="8" t="str">
        <f t="shared" si="103"/>
        <v>FALSE</v>
      </c>
      <c r="Q696" s="8" t="str">
        <f t="shared" si="104"/>
        <v>FALSE</v>
      </c>
      <c r="R696" s="9" t="b">
        <f t="shared" si="105"/>
        <v>1</v>
      </c>
      <c r="S696" s="8" t="b">
        <f t="shared" si="106"/>
        <v>0</v>
      </c>
      <c r="T696" s="10" t="b">
        <f t="shared" si="107"/>
        <v>1</v>
      </c>
      <c r="U696" s="8" t="str">
        <f t="shared" si="108"/>
        <v>FALSE</v>
      </c>
      <c r="V696" s="11" t="str">
        <f t="shared" si="109"/>
        <v>FALSE</v>
      </c>
    </row>
    <row r="697" spans="1:22" ht="15.75">
      <c r="A697" s="21">
        <v>695</v>
      </c>
      <c r="B697" s="5" t="s">
        <v>2040</v>
      </c>
      <c r="C697" s="23" t="s">
        <v>3726</v>
      </c>
      <c r="D697" s="23" t="s">
        <v>59</v>
      </c>
      <c r="E697" s="5" t="s">
        <v>2041</v>
      </c>
      <c r="F697" s="71" t="s">
        <v>6105</v>
      </c>
      <c r="G697" s="22" t="s">
        <v>3934</v>
      </c>
      <c r="H697" s="5" t="s">
        <v>13</v>
      </c>
      <c r="I697" s="5" t="s">
        <v>21</v>
      </c>
      <c r="J697" s="5" t="s">
        <v>5723</v>
      </c>
      <c r="K697" s="5" t="s">
        <v>2042</v>
      </c>
      <c r="L697" s="22"/>
      <c r="M697" s="8" t="str">
        <f t="shared" si="100"/>
        <v>Ok</v>
      </c>
      <c r="N697" s="9" t="b">
        <f t="shared" si="101"/>
        <v>0</v>
      </c>
      <c r="O697" s="9" t="b">
        <f t="shared" si="102"/>
        <v>1</v>
      </c>
      <c r="P697" s="8" t="str">
        <f t="shared" si="103"/>
        <v>FALSE</v>
      </c>
      <c r="Q697" s="8" t="str">
        <f t="shared" si="104"/>
        <v>FALSE</v>
      </c>
      <c r="R697" s="9" t="b">
        <f t="shared" si="105"/>
        <v>0</v>
      </c>
      <c r="S697" s="8" t="b">
        <f t="shared" si="106"/>
        <v>0</v>
      </c>
      <c r="T697" s="10" t="b">
        <f t="shared" si="107"/>
        <v>0</v>
      </c>
      <c r="U697" s="8" t="str">
        <f t="shared" si="108"/>
        <v>FALSE</v>
      </c>
      <c r="V697" s="11" t="str">
        <f t="shared" si="109"/>
        <v>TRUE</v>
      </c>
    </row>
    <row r="698" spans="1:22" ht="15.75">
      <c r="A698" s="21">
        <v>696</v>
      </c>
      <c r="B698" s="5" t="s">
        <v>2043</v>
      </c>
      <c r="C698" s="23" t="s">
        <v>3097</v>
      </c>
      <c r="D698" s="23" t="s">
        <v>77</v>
      </c>
      <c r="E698" s="5" t="s">
        <v>2044</v>
      </c>
      <c r="F698" s="71" t="s">
        <v>6105</v>
      </c>
      <c r="G698" s="22" t="s">
        <v>179</v>
      </c>
      <c r="H698" s="22" t="s">
        <v>3932</v>
      </c>
      <c r="I698" s="5" t="s">
        <v>67</v>
      </c>
      <c r="J698" s="5" t="s">
        <v>5584</v>
      </c>
      <c r="K698" s="5" t="s">
        <v>2045</v>
      </c>
      <c r="L698" s="22"/>
      <c r="M698" s="8" t="str">
        <f t="shared" si="100"/>
        <v>Ok</v>
      </c>
      <c r="N698" s="9" t="b">
        <f t="shared" si="101"/>
        <v>0</v>
      </c>
      <c r="O698" s="9" t="b">
        <f t="shared" si="102"/>
        <v>0</v>
      </c>
      <c r="P698" s="8" t="str">
        <f t="shared" si="103"/>
        <v>FALSE</v>
      </c>
      <c r="Q698" s="8" t="str">
        <f t="shared" si="104"/>
        <v>FALSE</v>
      </c>
      <c r="R698" s="9" t="b">
        <f t="shared" si="105"/>
        <v>1</v>
      </c>
      <c r="S698" s="8" t="b">
        <f t="shared" si="106"/>
        <v>0</v>
      </c>
      <c r="T698" s="10" t="b">
        <f t="shared" si="107"/>
        <v>0</v>
      </c>
      <c r="U698" s="8" t="str">
        <f t="shared" si="108"/>
        <v>FALSE</v>
      </c>
      <c r="V698" s="11" t="str">
        <f t="shared" si="109"/>
        <v>TRUE</v>
      </c>
    </row>
    <row r="699" spans="1:22" ht="15.75">
      <c r="A699" s="21">
        <v>697</v>
      </c>
      <c r="B699" s="5" t="s">
        <v>2046</v>
      </c>
      <c r="C699" s="23" t="s">
        <v>3727</v>
      </c>
      <c r="D699" s="23" t="s">
        <v>59</v>
      </c>
      <c r="E699" s="5" t="s">
        <v>747</v>
      </c>
      <c r="F699" s="71" t="s">
        <v>6105</v>
      </c>
      <c r="G699" s="22" t="s">
        <v>3934</v>
      </c>
      <c r="H699" s="5" t="s">
        <v>13</v>
      </c>
      <c r="I699" s="5" t="s">
        <v>67</v>
      </c>
      <c r="J699" s="5" t="s">
        <v>5186</v>
      </c>
      <c r="K699" s="5" t="s">
        <v>2047</v>
      </c>
      <c r="L699" s="22"/>
      <c r="M699" s="8" t="str">
        <f t="shared" si="100"/>
        <v>Ok</v>
      </c>
      <c r="N699" s="9" t="b">
        <f t="shared" si="101"/>
        <v>0</v>
      </c>
      <c r="O699" s="9" t="b">
        <f t="shared" si="102"/>
        <v>1</v>
      </c>
      <c r="P699" s="8" t="str">
        <f t="shared" si="103"/>
        <v>FALSE</v>
      </c>
      <c r="Q699" s="8" t="str">
        <f t="shared" si="104"/>
        <v>FALSE</v>
      </c>
      <c r="R699" s="9" t="b">
        <f t="shared" si="105"/>
        <v>0</v>
      </c>
      <c r="S699" s="8" t="b">
        <f t="shared" si="106"/>
        <v>0</v>
      </c>
      <c r="T699" s="10" t="b">
        <f t="shared" si="107"/>
        <v>0</v>
      </c>
      <c r="U699" s="8" t="str">
        <f t="shared" si="108"/>
        <v>TRUE</v>
      </c>
      <c r="V699" s="11" t="str">
        <f t="shared" si="109"/>
        <v>TRUE</v>
      </c>
    </row>
    <row r="700" spans="1:22" ht="15.75">
      <c r="A700" s="21">
        <v>698</v>
      </c>
      <c r="B700" s="5" t="s">
        <v>2048</v>
      </c>
      <c r="C700" s="23" t="s">
        <v>3401</v>
      </c>
      <c r="D700" s="23" t="s">
        <v>17</v>
      </c>
      <c r="E700" s="5" t="s">
        <v>2049</v>
      </c>
      <c r="F700" s="71" t="s">
        <v>6105</v>
      </c>
      <c r="G700" s="22" t="s">
        <v>3933</v>
      </c>
      <c r="H700" s="5" t="s">
        <v>3932</v>
      </c>
      <c r="I700" s="5" t="s">
        <v>14</v>
      </c>
      <c r="J700" s="5" t="s">
        <v>4974</v>
      </c>
      <c r="K700" s="5" t="s">
        <v>2050</v>
      </c>
      <c r="L700" s="22"/>
      <c r="M700" s="8" t="str">
        <f t="shared" si="100"/>
        <v>Ok</v>
      </c>
      <c r="N700" s="9" t="b">
        <f t="shared" si="101"/>
        <v>1</v>
      </c>
      <c r="O700" s="9" t="b">
        <f t="shared" si="102"/>
        <v>1</v>
      </c>
      <c r="P700" s="8" t="str">
        <f t="shared" si="103"/>
        <v>FALSE</v>
      </c>
      <c r="Q700" s="8" t="str">
        <f t="shared" si="104"/>
        <v>FALSE</v>
      </c>
      <c r="R700" s="9" t="b">
        <f t="shared" si="105"/>
        <v>0</v>
      </c>
      <c r="S700" s="8" t="b">
        <f t="shared" si="106"/>
        <v>0</v>
      </c>
      <c r="T700" s="10" t="b">
        <f t="shared" si="107"/>
        <v>1</v>
      </c>
      <c r="U700" s="8" t="str">
        <f t="shared" si="108"/>
        <v>TRUE</v>
      </c>
      <c r="V700" s="11" t="str">
        <f t="shared" si="109"/>
        <v>TRUE</v>
      </c>
    </row>
    <row r="701" spans="1:22" ht="15.75">
      <c r="A701" s="21">
        <v>699</v>
      </c>
      <c r="B701" s="5" t="s">
        <v>2051</v>
      </c>
      <c r="C701" s="23" t="s">
        <v>3166</v>
      </c>
      <c r="D701" s="23" t="s">
        <v>77</v>
      </c>
      <c r="E701" s="5" t="s">
        <v>2052</v>
      </c>
      <c r="F701" s="71" t="s">
        <v>6105</v>
      </c>
      <c r="G701" s="22" t="s">
        <v>179</v>
      </c>
      <c r="H701" s="22" t="s">
        <v>179</v>
      </c>
      <c r="I701" s="5" t="s">
        <v>14</v>
      </c>
      <c r="J701" s="5" t="s">
        <v>5159</v>
      </c>
      <c r="K701" s="5" t="s">
        <v>2053</v>
      </c>
      <c r="L701" s="22"/>
      <c r="M701" s="8" t="str">
        <f t="shared" si="100"/>
        <v>Ok</v>
      </c>
      <c r="N701" s="9" t="b">
        <f t="shared" si="101"/>
        <v>0</v>
      </c>
      <c r="O701" s="9" t="b">
        <f t="shared" si="102"/>
        <v>0</v>
      </c>
      <c r="P701" s="8" t="str">
        <f t="shared" si="103"/>
        <v>FALSE</v>
      </c>
      <c r="Q701" s="8" t="str">
        <f t="shared" si="104"/>
        <v>FALSE</v>
      </c>
      <c r="R701" s="9" t="b">
        <f t="shared" si="105"/>
        <v>1</v>
      </c>
      <c r="S701" s="8" t="b">
        <f t="shared" si="106"/>
        <v>1</v>
      </c>
      <c r="T701" s="10" t="b">
        <f t="shared" si="107"/>
        <v>1</v>
      </c>
      <c r="U701" s="8" t="str">
        <f t="shared" si="108"/>
        <v>TRUE</v>
      </c>
      <c r="V701" s="11" t="str">
        <f t="shared" si="109"/>
        <v>TRUE</v>
      </c>
    </row>
    <row r="702" spans="1:22" ht="15.75">
      <c r="A702" s="21">
        <v>700</v>
      </c>
      <c r="B702" s="5" t="s">
        <v>2054</v>
      </c>
      <c r="C702" s="23" t="s">
        <v>3040</v>
      </c>
      <c r="D702" s="23" t="s">
        <v>34</v>
      </c>
      <c r="E702" s="5" t="s">
        <v>625</v>
      </c>
      <c r="F702" s="71" t="s">
        <v>6105</v>
      </c>
      <c r="G702" s="22" t="s">
        <v>40</v>
      </c>
      <c r="H702" s="5" t="s">
        <v>41</v>
      </c>
      <c r="I702" s="5" t="s">
        <v>42</v>
      </c>
      <c r="J702" s="5" t="s">
        <v>5021</v>
      </c>
      <c r="K702" s="5" t="s">
        <v>2055</v>
      </c>
      <c r="L702" s="22"/>
      <c r="M702" s="8" t="str">
        <f t="shared" si="100"/>
        <v>Ok</v>
      </c>
      <c r="N702" s="9" t="b">
        <f t="shared" si="101"/>
        <v>0</v>
      </c>
      <c r="O702" s="9" t="b">
        <f t="shared" si="102"/>
        <v>0</v>
      </c>
      <c r="P702" s="8" t="str">
        <f t="shared" si="103"/>
        <v>FALSE</v>
      </c>
      <c r="Q702" s="8" t="str">
        <f t="shared" si="104"/>
        <v>FALSE</v>
      </c>
      <c r="R702" s="9" t="b">
        <f t="shared" si="105"/>
        <v>1</v>
      </c>
      <c r="S702" s="8" t="b">
        <f t="shared" si="106"/>
        <v>0</v>
      </c>
      <c r="T702" s="10" t="b">
        <f t="shared" si="107"/>
        <v>1</v>
      </c>
      <c r="U702" s="8" t="str">
        <f t="shared" si="108"/>
        <v>TRUE</v>
      </c>
      <c r="V702" s="11" t="str">
        <f t="shared" si="109"/>
        <v>TRUE</v>
      </c>
    </row>
    <row r="703" spans="1:22" ht="15.75">
      <c r="A703" s="21">
        <v>701</v>
      </c>
      <c r="B703" s="5" t="s">
        <v>2056</v>
      </c>
      <c r="C703" s="23" t="s">
        <v>3041</v>
      </c>
      <c r="D703" s="23" t="s">
        <v>34</v>
      </c>
      <c r="E703" s="5" t="s">
        <v>2057</v>
      </c>
      <c r="F703" s="71" t="s">
        <v>6105</v>
      </c>
      <c r="G703" s="22" t="s">
        <v>74</v>
      </c>
      <c r="H703" s="5" t="s">
        <v>71</v>
      </c>
      <c r="I703" s="5" t="s">
        <v>26</v>
      </c>
      <c r="J703" s="5" t="s">
        <v>4961</v>
      </c>
      <c r="K703" s="5" t="s">
        <v>2058</v>
      </c>
      <c r="L703" s="22"/>
      <c r="M703" s="8" t="str">
        <f t="shared" si="100"/>
        <v>Ok</v>
      </c>
      <c r="N703" s="9" t="b">
        <f t="shared" si="101"/>
        <v>0</v>
      </c>
      <c r="O703" s="9" t="b">
        <f t="shared" si="102"/>
        <v>0</v>
      </c>
      <c r="P703" s="8" t="str">
        <f t="shared" si="103"/>
        <v>FALSE</v>
      </c>
      <c r="Q703" s="8" t="str">
        <f t="shared" si="104"/>
        <v>FALSE</v>
      </c>
      <c r="R703" s="9" t="b">
        <f t="shared" si="105"/>
        <v>0</v>
      </c>
      <c r="S703" s="8" t="b">
        <f t="shared" si="106"/>
        <v>1</v>
      </c>
      <c r="T703" s="10" t="b">
        <f t="shared" si="107"/>
        <v>0</v>
      </c>
      <c r="U703" s="8" t="str">
        <f t="shared" si="108"/>
        <v>TRUE</v>
      </c>
      <c r="V703" s="11" t="str">
        <f t="shared" si="109"/>
        <v>TRUE</v>
      </c>
    </row>
    <row r="704" spans="1:22" ht="15.75">
      <c r="A704" s="21">
        <v>702</v>
      </c>
      <c r="B704" s="5" t="s">
        <v>2059</v>
      </c>
      <c r="C704" s="23" t="s">
        <v>3633</v>
      </c>
      <c r="D704" s="23" t="s">
        <v>59</v>
      </c>
      <c r="E704" s="5" t="s">
        <v>1784</v>
      </c>
      <c r="F704" s="71" t="s">
        <v>6105</v>
      </c>
      <c r="G704" s="22" t="s">
        <v>160</v>
      </c>
      <c r="H704" s="5" t="s">
        <v>36</v>
      </c>
      <c r="I704" s="5" t="s">
        <v>26</v>
      </c>
      <c r="J704" s="5" t="s">
        <v>5211</v>
      </c>
      <c r="K704" s="5" t="s">
        <v>2060</v>
      </c>
      <c r="L704" s="22"/>
      <c r="M704" s="8" t="str">
        <f t="shared" si="100"/>
        <v>Ok</v>
      </c>
      <c r="N704" s="9" t="b">
        <f t="shared" si="101"/>
        <v>1</v>
      </c>
      <c r="O704" s="9" t="b">
        <f t="shared" si="102"/>
        <v>1</v>
      </c>
      <c r="P704" s="8" t="str">
        <f t="shared" si="103"/>
        <v>FALSE</v>
      </c>
      <c r="Q704" s="8" t="str">
        <f t="shared" si="104"/>
        <v>FALSE</v>
      </c>
      <c r="R704" s="9" t="b">
        <f t="shared" si="105"/>
        <v>0</v>
      </c>
      <c r="S704" s="8" t="b">
        <f t="shared" si="106"/>
        <v>1</v>
      </c>
      <c r="T704" s="10" t="b">
        <f t="shared" si="107"/>
        <v>0</v>
      </c>
      <c r="U704" s="8" t="str">
        <f t="shared" si="108"/>
        <v>TRUE</v>
      </c>
      <c r="V704" s="11" t="str">
        <f t="shared" si="109"/>
        <v>TRUE</v>
      </c>
    </row>
    <row r="705" spans="1:22" ht="15.75">
      <c r="A705" s="21">
        <v>703</v>
      </c>
      <c r="B705" s="5" t="s">
        <v>2061</v>
      </c>
      <c r="C705" s="23" t="s">
        <v>3728</v>
      </c>
      <c r="D705" s="23" t="s">
        <v>59</v>
      </c>
      <c r="E705" s="5" t="s">
        <v>2062</v>
      </c>
      <c r="F705" s="71" t="s">
        <v>6105</v>
      </c>
      <c r="G705" s="22" t="s">
        <v>3934</v>
      </c>
      <c r="H705" s="5" t="s">
        <v>13</v>
      </c>
      <c r="I705" s="5" t="s">
        <v>56</v>
      </c>
      <c r="J705" s="5" t="s">
        <v>5345</v>
      </c>
      <c r="K705" s="5" t="s">
        <v>2063</v>
      </c>
      <c r="L705" s="22"/>
      <c r="M705" s="8" t="str">
        <f t="shared" si="100"/>
        <v>Ok</v>
      </c>
      <c r="N705" s="9" t="b">
        <f t="shared" si="101"/>
        <v>0</v>
      </c>
      <c r="O705" s="9" t="b">
        <f t="shared" si="102"/>
        <v>1</v>
      </c>
      <c r="P705" s="8" t="str">
        <f t="shared" si="103"/>
        <v>FALSE</v>
      </c>
      <c r="Q705" s="8" t="str">
        <f t="shared" si="104"/>
        <v>FALSE</v>
      </c>
      <c r="R705" s="9" t="b">
        <f t="shared" si="105"/>
        <v>0</v>
      </c>
      <c r="S705" s="8" t="b">
        <f t="shared" si="106"/>
        <v>0</v>
      </c>
      <c r="T705" s="10" t="b">
        <f t="shared" si="107"/>
        <v>1</v>
      </c>
      <c r="U705" s="8" t="str">
        <f t="shared" si="108"/>
        <v>TRUE</v>
      </c>
      <c r="V705" s="11" t="str">
        <f t="shared" si="109"/>
        <v>TRUE</v>
      </c>
    </row>
    <row r="706" spans="1:22" ht="15.75">
      <c r="A706" s="21">
        <v>704</v>
      </c>
      <c r="B706" s="5" t="s">
        <v>2064</v>
      </c>
      <c r="C706" s="23" t="s">
        <v>3402</v>
      </c>
      <c r="D706" s="23" t="s">
        <v>17</v>
      </c>
      <c r="E706" s="5" t="s">
        <v>2065</v>
      </c>
      <c r="F706" s="71" t="s">
        <v>6105</v>
      </c>
      <c r="G706" s="22" t="s">
        <v>93</v>
      </c>
      <c r="H706" s="5" t="s">
        <v>217</v>
      </c>
      <c r="I706" s="5" t="s">
        <v>26</v>
      </c>
      <c r="J706" s="5" t="s">
        <v>5006</v>
      </c>
      <c r="K706" s="5" t="s">
        <v>2066</v>
      </c>
      <c r="L706" s="22"/>
      <c r="M706" s="8" t="str">
        <f t="shared" si="100"/>
        <v>Ok</v>
      </c>
      <c r="N706" s="9" t="b">
        <f t="shared" si="101"/>
        <v>1</v>
      </c>
      <c r="O706" s="9" t="b">
        <f t="shared" si="102"/>
        <v>1</v>
      </c>
      <c r="P706" s="8" t="str">
        <f t="shared" si="103"/>
        <v>FALSE</v>
      </c>
      <c r="Q706" s="8" t="str">
        <f t="shared" si="104"/>
        <v>FALSE</v>
      </c>
      <c r="R706" s="9" t="b">
        <f t="shared" si="105"/>
        <v>0</v>
      </c>
      <c r="S706" s="8" t="b">
        <f t="shared" si="106"/>
        <v>0</v>
      </c>
      <c r="T706" s="10" t="b">
        <f t="shared" si="107"/>
        <v>0</v>
      </c>
      <c r="U706" s="8" t="str">
        <f t="shared" si="108"/>
        <v>TRUE</v>
      </c>
      <c r="V706" s="11" t="str">
        <f t="shared" si="109"/>
        <v>TRUE</v>
      </c>
    </row>
    <row r="707" spans="1:22" ht="15.75">
      <c r="A707" s="21">
        <v>705</v>
      </c>
      <c r="B707" s="5" t="s">
        <v>2067</v>
      </c>
      <c r="C707" s="23" t="s">
        <v>3729</v>
      </c>
      <c r="D707" s="23" t="s">
        <v>17</v>
      </c>
      <c r="E707" s="5" t="s">
        <v>2068</v>
      </c>
      <c r="F707" s="71" t="s">
        <v>6105</v>
      </c>
      <c r="G707" s="22" t="s">
        <v>3934</v>
      </c>
      <c r="H707" s="5" t="s">
        <v>13</v>
      </c>
      <c r="I707" s="5" t="s">
        <v>14</v>
      </c>
      <c r="J707" s="5" t="s">
        <v>5537</v>
      </c>
      <c r="K707" s="5" t="s">
        <v>2069</v>
      </c>
      <c r="L707" s="22"/>
      <c r="M707" s="8" t="str">
        <f t="shared" ref="M707:M770" si="110">IF(COUNTIF($B$3:$B$1002,B707)&gt;1,"Duplicate","Ok")</f>
        <v>Ok</v>
      </c>
      <c r="N707" s="9" t="b">
        <f t="shared" ref="N707:N770" si="111">EXACT(C707,PROPER(C707))</f>
        <v>0</v>
      </c>
      <c r="O707" s="9" t="b">
        <f t="shared" ref="O707:O770" si="112">EXACT(D707,PROPER(D707))</f>
        <v>1</v>
      </c>
      <c r="P707" s="8" t="str">
        <f t="shared" ref="P707:P770" si="113">IF(ISNUMBER(E707),"TRUE","FALSE")</f>
        <v>FALSE</v>
      </c>
      <c r="Q707" s="8" t="str">
        <f t="shared" ref="Q707:Q770" si="114">IF(ISNUMBER(F707),"TRUE","FALSE")</f>
        <v>FALSE</v>
      </c>
      <c r="R707" s="9" t="b">
        <f t="shared" ref="R707:R770" si="115">EXACT(G707,PROPER(G707))</f>
        <v>0</v>
      </c>
      <c r="S707" s="8" t="b">
        <f t="shared" ref="S707:S770" si="116">EXACT(H707,PROPER(H707))</f>
        <v>0</v>
      </c>
      <c r="T707" s="10" t="b">
        <f t="shared" ref="T707:T770" si="117">EXACT(I707,PROPER(I707))</f>
        <v>1</v>
      </c>
      <c r="U707" s="8" t="str">
        <f t="shared" ref="U707:U770" si="118">IF(RIGHT(J707,10)="@email.com","TRUE","FALSE")</f>
        <v>FALSE</v>
      </c>
      <c r="V707" s="11" t="str">
        <f t="shared" ref="V707:V770" si="119">IF(LEFT(K707,2)="08","TRUE","FALSE")</f>
        <v>TRUE</v>
      </c>
    </row>
    <row r="708" spans="1:22" ht="15.75">
      <c r="A708" s="21">
        <v>706</v>
      </c>
      <c r="B708" s="5" t="s">
        <v>2070</v>
      </c>
      <c r="C708" s="23" t="s">
        <v>3730</v>
      </c>
      <c r="D708" s="23" t="s">
        <v>59</v>
      </c>
      <c r="E708" s="5" t="s">
        <v>2071</v>
      </c>
      <c r="F708" s="71" t="s">
        <v>6105</v>
      </c>
      <c r="G708" s="22" t="s">
        <v>3934</v>
      </c>
      <c r="H708" s="5" t="s">
        <v>13</v>
      </c>
      <c r="I708" s="5" t="s">
        <v>26</v>
      </c>
      <c r="J708" s="5" t="s">
        <v>5330</v>
      </c>
      <c r="K708" s="5" t="s">
        <v>2072</v>
      </c>
      <c r="L708" s="22"/>
      <c r="M708" s="8" t="str">
        <f t="shared" si="110"/>
        <v>Ok</v>
      </c>
      <c r="N708" s="9" t="b">
        <f t="shared" si="111"/>
        <v>0</v>
      </c>
      <c r="O708" s="9" t="b">
        <f t="shared" si="112"/>
        <v>1</v>
      </c>
      <c r="P708" s="8" t="str">
        <f t="shared" si="113"/>
        <v>FALSE</v>
      </c>
      <c r="Q708" s="8" t="str">
        <f t="shared" si="114"/>
        <v>FALSE</v>
      </c>
      <c r="R708" s="9" t="b">
        <f t="shared" si="115"/>
        <v>0</v>
      </c>
      <c r="S708" s="8" t="b">
        <f t="shared" si="116"/>
        <v>0</v>
      </c>
      <c r="T708" s="10" t="b">
        <f t="shared" si="117"/>
        <v>0</v>
      </c>
      <c r="U708" s="8" t="str">
        <f t="shared" si="118"/>
        <v>TRUE</v>
      </c>
      <c r="V708" s="11" t="str">
        <f t="shared" si="119"/>
        <v>TRUE</v>
      </c>
    </row>
    <row r="709" spans="1:22" ht="15.75">
      <c r="A709" s="21">
        <v>707</v>
      </c>
      <c r="B709" s="5" t="s">
        <v>2073</v>
      </c>
      <c r="C709" s="23" t="s">
        <v>3569</v>
      </c>
      <c r="D709" s="23" t="s">
        <v>59</v>
      </c>
      <c r="E709" s="5" t="s">
        <v>2074</v>
      </c>
      <c r="F709" s="71" t="s">
        <v>6105</v>
      </c>
      <c r="G709" s="22" t="s">
        <v>12</v>
      </c>
      <c r="H709" s="5" t="s">
        <v>13</v>
      </c>
      <c r="I709" s="5" t="s">
        <v>67</v>
      </c>
      <c r="J709" s="5" t="s">
        <v>5267</v>
      </c>
      <c r="K709" s="5">
        <v>89756465594</v>
      </c>
      <c r="L709" s="22"/>
      <c r="M709" s="8" t="str">
        <f t="shared" si="110"/>
        <v>Ok</v>
      </c>
      <c r="N709" s="9" t="b">
        <f t="shared" si="111"/>
        <v>1</v>
      </c>
      <c r="O709" s="9" t="b">
        <f t="shared" si="112"/>
        <v>1</v>
      </c>
      <c r="P709" s="8" t="str">
        <f t="shared" si="113"/>
        <v>FALSE</v>
      </c>
      <c r="Q709" s="8" t="str">
        <f t="shared" si="114"/>
        <v>FALSE</v>
      </c>
      <c r="R709" s="9" t="b">
        <f t="shared" si="115"/>
        <v>1</v>
      </c>
      <c r="S709" s="8" t="b">
        <f t="shared" si="116"/>
        <v>0</v>
      </c>
      <c r="T709" s="10" t="b">
        <f t="shared" si="117"/>
        <v>0</v>
      </c>
      <c r="U709" s="8" t="str">
        <f t="shared" si="118"/>
        <v>TRUE</v>
      </c>
      <c r="V709" s="11" t="str">
        <f t="shared" si="119"/>
        <v>FALSE</v>
      </c>
    </row>
    <row r="710" spans="1:22" ht="15.75">
      <c r="A710" s="21">
        <v>708</v>
      </c>
      <c r="B710" s="5" t="s">
        <v>2075</v>
      </c>
      <c r="C710" s="23" t="s">
        <v>3731</v>
      </c>
      <c r="D710" s="23" t="s">
        <v>59</v>
      </c>
      <c r="E710" s="5" t="s">
        <v>2076</v>
      </c>
      <c r="F710" s="71" t="s">
        <v>6105</v>
      </c>
      <c r="G710" s="22" t="s">
        <v>3934</v>
      </c>
      <c r="H710" s="5" t="s">
        <v>13</v>
      </c>
      <c r="I710" s="5" t="s">
        <v>50</v>
      </c>
      <c r="J710" s="5" t="s">
        <v>5181</v>
      </c>
      <c r="K710" s="5" t="s">
        <v>2077</v>
      </c>
      <c r="L710" s="22"/>
      <c r="M710" s="8" t="str">
        <f t="shared" si="110"/>
        <v>Ok</v>
      </c>
      <c r="N710" s="9" t="b">
        <f t="shared" si="111"/>
        <v>0</v>
      </c>
      <c r="O710" s="9" t="b">
        <f t="shared" si="112"/>
        <v>1</v>
      </c>
      <c r="P710" s="8" t="str">
        <f t="shared" si="113"/>
        <v>FALSE</v>
      </c>
      <c r="Q710" s="8" t="str">
        <f t="shared" si="114"/>
        <v>FALSE</v>
      </c>
      <c r="R710" s="9" t="b">
        <f t="shared" si="115"/>
        <v>0</v>
      </c>
      <c r="S710" s="8" t="b">
        <f t="shared" si="116"/>
        <v>0</v>
      </c>
      <c r="T710" s="10" t="b">
        <f t="shared" si="117"/>
        <v>0</v>
      </c>
      <c r="U710" s="8" t="str">
        <f t="shared" si="118"/>
        <v>TRUE</v>
      </c>
      <c r="V710" s="11" t="str">
        <f t="shared" si="119"/>
        <v>FALSE</v>
      </c>
    </row>
    <row r="711" spans="1:22" ht="15.75">
      <c r="A711" s="21">
        <v>709</v>
      </c>
      <c r="B711" s="5" t="s">
        <v>2078</v>
      </c>
      <c r="C711" s="23" t="s">
        <v>3634</v>
      </c>
      <c r="D711" s="23" t="s">
        <v>59</v>
      </c>
      <c r="E711" s="5" t="s">
        <v>2079</v>
      </c>
      <c r="F711" s="71" t="s">
        <v>6105</v>
      </c>
      <c r="G711" s="22" t="s">
        <v>160</v>
      </c>
      <c r="H711" s="5" t="s">
        <v>13</v>
      </c>
      <c r="I711" s="5" t="s">
        <v>21</v>
      </c>
      <c r="J711" s="5" t="s">
        <v>5332</v>
      </c>
      <c r="K711" s="5" t="s">
        <v>2080</v>
      </c>
      <c r="L711" s="22"/>
      <c r="M711" s="8" t="str">
        <f t="shared" si="110"/>
        <v>Ok</v>
      </c>
      <c r="N711" s="9" t="b">
        <f t="shared" si="111"/>
        <v>1</v>
      </c>
      <c r="O711" s="9" t="b">
        <f t="shared" si="112"/>
        <v>1</v>
      </c>
      <c r="P711" s="8" t="str">
        <f t="shared" si="113"/>
        <v>FALSE</v>
      </c>
      <c r="Q711" s="8" t="str">
        <f t="shared" si="114"/>
        <v>FALSE</v>
      </c>
      <c r="R711" s="9" t="b">
        <f t="shared" si="115"/>
        <v>0</v>
      </c>
      <c r="S711" s="8" t="b">
        <f t="shared" si="116"/>
        <v>0</v>
      </c>
      <c r="T711" s="10" t="b">
        <f t="shared" si="117"/>
        <v>0</v>
      </c>
      <c r="U711" s="8" t="str">
        <f t="shared" si="118"/>
        <v>TRUE</v>
      </c>
      <c r="V711" s="11" t="str">
        <f t="shared" si="119"/>
        <v>TRUE</v>
      </c>
    </row>
    <row r="712" spans="1:22" ht="15.75">
      <c r="A712" s="21">
        <v>710</v>
      </c>
      <c r="B712" s="5" t="s">
        <v>2081</v>
      </c>
      <c r="C712" s="23" t="s">
        <v>3167</v>
      </c>
      <c r="D712" s="23" t="s">
        <v>77</v>
      </c>
      <c r="E712" s="5" t="s">
        <v>2082</v>
      </c>
      <c r="F712" s="71" t="s">
        <v>6105</v>
      </c>
      <c r="G712" s="22" t="s">
        <v>179</v>
      </c>
      <c r="H712" s="22" t="s">
        <v>179</v>
      </c>
      <c r="I712" s="5" t="s">
        <v>14</v>
      </c>
      <c r="J712" s="5" t="s">
        <v>5726</v>
      </c>
      <c r="K712" s="5" t="s">
        <v>2083</v>
      </c>
      <c r="L712" s="22"/>
      <c r="M712" s="8" t="str">
        <f t="shared" si="110"/>
        <v>Ok</v>
      </c>
      <c r="N712" s="9" t="b">
        <f t="shared" si="111"/>
        <v>0</v>
      </c>
      <c r="O712" s="9" t="b">
        <f t="shared" si="112"/>
        <v>0</v>
      </c>
      <c r="P712" s="8" t="str">
        <f t="shared" si="113"/>
        <v>FALSE</v>
      </c>
      <c r="Q712" s="8" t="str">
        <f t="shared" si="114"/>
        <v>FALSE</v>
      </c>
      <c r="R712" s="9" t="b">
        <f t="shared" si="115"/>
        <v>1</v>
      </c>
      <c r="S712" s="8" t="b">
        <f t="shared" si="116"/>
        <v>1</v>
      </c>
      <c r="T712" s="10" t="b">
        <f t="shared" si="117"/>
        <v>1</v>
      </c>
      <c r="U712" s="8" t="str">
        <f t="shared" si="118"/>
        <v>FALSE</v>
      </c>
      <c r="V712" s="11" t="str">
        <f t="shared" si="119"/>
        <v>TRUE</v>
      </c>
    </row>
    <row r="713" spans="1:22" ht="15.75">
      <c r="A713" s="21">
        <v>711</v>
      </c>
      <c r="B713" s="5" t="s">
        <v>2084</v>
      </c>
      <c r="C713" s="23" t="s">
        <v>3313</v>
      </c>
      <c r="D713" s="23" t="s">
        <v>34</v>
      </c>
      <c r="E713" s="5" t="s">
        <v>2085</v>
      </c>
      <c r="F713" s="71" t="s">
        <v>6105</v>
      </c>
      <c r="G713" s="22" t="s">
        <v>179</v>
      </c>
      <c r="H713" s="5" t="s">
        <v>3932</v>
      </c>
      <c r="I713" s="5" t="s">
        <v>50</v>
      </c>
      <c r="J713" s="5" t="s">
        <v>5716</v>
      </c>
      <c r="K713" s="5" t="s">
        <v>2086</v>
      </c>
      <c r="L713" s="22"/>
      <c r="M713" s="8" t="str">
        <f t="shared" si="110"/>
        <v>Ok</v>
      </c>
      <c r="N713" s="9" t="b">
        <f t="shared" si="111"/>
        <v>1</v>
      </c>
      <c r="O713" s="9" t="b">
        <f t="shared" si="112"/>
        <v>0</v>
      </c>
      <c r="P713" s="8" t="str">
        <f t="shared" si="113"/>
        <v>FALSE</v>
      </c>
      <c r="Q713" s="8" t="str">
        <f t="shared" si="114"/>
        <v>FALSE</v>
      </c>
      <c r="R713" s="9" t="b">
        <f t="shared" si="115"/>
        <v>1</v>
      </c>
      <c r="S713" s="8" t="b">
        <f t="shared" si="116"/>
        <v>0</v>
      </c>
      <c r="T713" s="10" t="b">
        <f t="shared" si="117"/>
        <v>0</v>
      </c>
      <c r="U713" s="8" t="str">
        <f t="shared" si="118"/>
        <v>FALSE</v>
      </c>
      <c r="V713" s="11" t="str">
        <f t="shared" si="119"/>
        <v>TRUE</v>
      </c>
    </row>
    <row r="714" spans="1:22" ht="15.75">
      <c r="A714" s="21">
        <v>712</v>
      </c>
      <c r="B714" s="5" t="s">
        <v>2087</v>
      </c>
      <c r="C714" s="23" t="s">
        <v>3799</v>
      </c>
      <c r="D714" s="23" t="s">
        <v>17</v>
      </c>
      <c r="E714" s="5" t="s">
        <v>2088</v>
      </c>
      <c r="F714" s="71" t="s">
        <v>6105</v>
      </c>
      <c r="G714" s="22" t="s">
        <v>24</v>
      </c>
      <c r="H714" s="5" t="s">
        <v>46</v>
      </c>
      <c r="I714" s="5" t="s">
        <v>56</v>
      </c>
      <c r="J714" s="5" t="s">
        <v>5544</v>
      </c>
      <c r="K714" s="5" t="s">
        <v>2089</v>
      </c>
      <c r="L714" s="22"/>
      <c r="M714" s="8" t="str">
        <f t="shared" si="110"/>
        <v>Ok</v>
      </c>
      <c r="N714" s="9" t="b">
        <f t="shared" si="111"/>
        <v>0</v>
      </c>
      <c r="O714" s="9" t="b">
        <f t="shared" si="112"/>
        <v>1</v>
      </c>
      <c r="P714" s="8" t="str">
        <f t="shared" si="113"/>
        <v>FALSE</v>
      </c>
      <c r="Q714" s="8" t="str">
        <f t="shared" si="114"/>
        <v>FALSE</v>
      </c>
      <c r="R714" s="9" t="b">
        <f t="shared" si="115"/>
        <v>0</v>
      </c>
      <c r="S714" s="8" t="b">
        <f t="shared" si="116"/>
        <v>0</v>
      </c>
      <c r="T714" s="10" t="b">
        <f t="shared" si="117"/>
        <v>1</v>
      </c>
      <c r="U714" s="8" t="str">
        <f t="shared" si="118"/>
        <v>FALSE</v>
      </c>
      <c r="V714" s="11" t="str">
        <f t="shared" si="119"/>
        <v>TRUE</v>
      </c>
    </row>
    <row r="715" spans="1:22" ht="15.75">
      <c r="A715" s="21">
        <v>713</v>
      </c>
      <c r="B715" s="5" t="s">
        <v>3958</v>
      </c>
      <c r="C715" s="23" t="s">
        <v>3258</v>
      </c>
      <c r="D715" s="23" t="s">
        <v>77</v>
      </c>
      <c r="E715" s="5" t="s">
        <v>2090</v>
      </c>
      <c r="F715" s="71" t="s">
        <v>6105</v>
      </c>
      <c r="G715" s="22" t="s">
        <v>179</v>
      </c>
      <c r="H715" s="5" t="s">
        <v>3932</v>
      </c>
      <c r="I715" s="5" t="s">
        <v>56</v>
      </c>
      <c r="J715" s="5" t="s">
        <v>5757</v>
      </c>
      <c r="K715" s="5" t="s">
        <v>2091</v>
      </c>
      <c r="L715" s="22"/>
      <c r="M715" s="8" t="str">
        <f t="shared" si="110"/>
        <v>Ok</v>
      </c>
      <c r="N715" s="9" t="b">
        <f t="shared" si="111"/>
        <v>1</v>
      </c>
      <c r="O715" s="9" t="b">
        <f t="shared" si="112"/>
        <v>0</v>
      </c>
      <c r="P715" s="8" t="str">
        <f t="shared" si="113"/>
        <v>FALSE</v>
      </c>
      <c r="Q715" s="8" t="str">
        <f t="shared" si="114"/>
        <v>FALSE</v>
      </c>
      <c r="R715" s="9" t="b">
        <f t="shared" si="115"/>
        <v>1</v>
      </c>
      <c r="S715" s="8" t="b">
        <f t="shared" si="116"/>
        <v>0</v>
      </c>
      <c r="T715" s="10" t="b">
        <f t="shared" si="117"/>
        <v>1</v>
      </c>
      <c r="U715" s="8" t="str">
        <f t="shared" si="118"/>
        <v>FALSE</v>
      </c>
      <c r="V715" s="11" t="str">
        <f t="shared" si="119"/>
        <v>FALSE</v>
      </c>
    </row>
    <row r="716" spans="1:22" ht="15.75">
      <c r="A716" s="21">
        <v>714</v>
      </c>
      <c r="B716" s="5" t="s">
        <v>2092</v>
      </c>
      <c r="C716" s="23" t="s">
        <v>3635</v>
      </c>
      <c r="D716" s="23" t="s">
        <v>59</v>
      </c>
      <c r="E716" s="5" t="s">
        <v>2093</v>
      </c>
      <c r="F716" s="71" t="s">
        <v>6105</v>
      </c>
      <c r="G716" s="22" t="s">
        <v>160</v>
      </c>
      <c r="H716" s="5" t="s">
        <v>13</v>
      </c>
      <c r="I716" s="5" t="s">
        <v>67</v>
      </c>
      <c r="J716" s="5" t="s">
        <v>5220</v>
      </c>
      <c r="K716" s="5" t="s">
        <v>2094</v>
      </c>
      <c r="L716" s="22"/>
      <c r="M716" s="8" t="str">
        <f t="shared" si="110"/>
        <v>Ok</v>
      </c>
      <c r="N716" s="9" t="b">
        <f t="shared" si="111"/>
        <v>1</v>
      </c>
      <c r="O716" s="9" t="b">
        <f t="shared" si="112"/>
        <v>1</v>
      </c>
      <c r="P716" s="8" t="str">
        <f t="shared" si="113"/>
        <v>FALSE</v>
      </c>
      <c r="Q716" s="8" t="str">
        <f t="shared" si="114"/>
        <v>FALSE</v>
      </c>
      <c r="R716" s="9" t="b">
        <f t="shared" si="115"/>
        <v>0</v>
      </c>
      <c r="S716" s="8" t="b">
        <f t="shared" si="116"/>
        <v>0</v>
      </c>
      <c r="T716" s="10" t="b">
        <f t="shared" si="117"/>
        <v>0</v>
      </c>
      <c r="U716" s="8" t="str">
        <f t="shared" si="118"/>
        <v>TRUE</v>
      </c>
      <c r="V716" s="11" t="str">
        <f t="shared" si="119"/>
        <v>FALSE</v>
      </c>
    </row>
    <row r="717" spans="1:22" ht="15.75">
      <c r="A717" s="21">
        <v>715</v>
      </c>
      <c r="B717" s="5" t="s">
        <v>2095</v>
      </c>
      <c r="C717" s="23" t="s">
        <v>3732</v>
      </c>
      <c r="D717" s="23" t="s">
        <v>59</v>
      </c>
      <c r="E717" s="5" t="s">
        <v>2096</v>
      </c>
      <c r="F717" s="71" t="s">
        <v>6105</v>
      </c>
      <c r="G717" s="22" t="s">
        <v>30</v>
      </c>
      <c r="H717" s="5" t="s">
        <v>31</v>
      </c>
      <c r="I717" s="5" t="s">
        <v>67</v>
      </c>
      <c r="J717" s="5" t="s">
        <v>5588</v>
      </c>
      <c r="K717" s="5" t="s">
        <v>2097</v>
      </c>
      <c r="L717" s="22"/>
      <c r="M717" s="8" t="str">
        <f t="shared" si="110"/>
        <v>Ok</v>
      </c>
      <c r="N717" s="9" t="b">
        <f t="shared" si="111"/>
        <v>0</v>
      </c>
      <c r="O717" s="9" t="b">
        <f t="shared" si="112"/>
        <v>1</v>
      </c>
      <c r="P717" s="8" t="str">
        <f t="shared" si="113"/>
        <v>FALSE</v>
      </c>
      <c r="Q717" s="8" t="str">
        <f t="shared" si="114"/>
        <v>FALSE</v>
      </c>
      <c r="R717" s="9" t="b">
        <f t="shared" si="115"/>
        <v>0</v>
      </c>
      <c r="S717" s="8" t="b">
        <f t="shared" si="116"/>
        <v>1</v>
      </c>
      <c r="T717" s="10" t="b">
        <f t="shared" si="117"/>
        <v>0</v>
      </c>
      <c r="U717" s="8" t="str">
        <f t="shared" si="118"/>
        <v>FALSE</v>
      </c>
      <c r="V717" s="11" t="str">
        <f t="shared" si="119"/>
        <v>TRUE</v>
      </c>
    </row>
    <row r="718" spans="1:22" ht="15.75">
      <c r="A718" s="21">
        <v>716</v>
      </c>
      <c r="B718" s="5" t="s">
        <v>2098</v>
      </c>
      <c r="C718" s="23" t="s">
        <v>2985</v>
      </c>
      <c r="D718" s="23" t="s">
        <v>34</v>
      </c>
      <c r="E718" s="5" t="s">
        <v>2099</v>
      </c>
      <c r="F718" s="71" t="s">
        <v>6105</v>
      </c>
      <c r="G718" s="22" t="s">
        <v>179</v>
      </c>
      <c r="H718" s="5" t="s">
        <v>3932</v>
      </c>
      <c r="I718" s="5" t="s">
        <v>67</v>
      </c>
      <c r="J718" s="5" t="s">
        <v>5088</v>
      </c>
      <c r="K718" s="5" t="s">
        <v>2100</v>
      </c>
      <c r="L718" s="22"/>
      <c r="M718" s="8" t="str">
        <f t="shared" si="110"/>
        <v>Ok</v>
      </c>
      <c r="N718" s="9" t="b">
        <f t="shared" si="111"/>
        <v>0</v>
      </c>
      <c r="O718" s="9" t="b">
        <f t="shared" si="112"/>
        <v>0</v>
      </c>
      <c r="P718" s="8" t="str">
        <f t="shared" si="113"/>
        <v>FALSE</v>
      </c>
      <c r="Q718" s="8" t="str">
        <f t="shared" si="114"/>
        <v>FALSE</v>
      </c>
      <c r="R718" s="9" t="b">
        <f t="shared" si="115"/>
        <v>1</v>
      </c>
      <c r="S718" s="8" t="b">
        <f t="shared" si="116"/>
        <v>0</v>
      </c>
      <c r="T718" s="10" t="b">
        <f t="shared" si="117"/>
        <v>0</v>
      </c>
      <c r="U718" s="8" t="str">
        <f t="shared" si="118"/>
        <v>TRUE</v>
      </c>
      <c r="V718" s="11" t="str">
        <f t="shared" si="119"/>
        <v>FALSE</v>
      </c>
    </row>
    <row r="719" spans="1:22" ht="15.75">
      <c r="A719" s="21">
        <v>717</v>
      </c>
      <c r="B719" s="5" t="s">
        <v>2101</v>
      </c>
      <c r="C719" s="23" t="s">
        <v>3042</v>
      </c>
      <c r="D719" s="23" t="s">
        <v>34</v>
      </c>
      <c r="E719" s="5" t="s">
        <v>2102</v>
      </c>
      <c r="F719" s="71" t="s">
        <v>6105</v>
      </c>
      <c r="G719" s="22" t="s">
        <v>179</v>
      </c>
      <c r="H719" s="5" t="s">
        <v>3932</v>
      </c>
      <c r="I719" s="5" t="s">
        <v>67</v>
      </c>
      <c r="J719" s="5" t="s">
        <v>5454</v>
      </c>
      <c r="K719" s="5" t="s">
        <v>2103</v>
      </c>
      <c r="L719" s="22"/>
      <c r="M719" s="8" t="str">
        <f t="shared" si="110"/>
        <v>Ok</v>
      </c>
      <c r="N719" s="9" t="b">
        <f t="shared" si="111"/>
        <v>0</v>
      </c>
      <c r="O719" s="9" t="b">
        <f t="shared" si="112"/>
        <v>0</v>
      </c>
      <c r="P719" s="8" t="str">
        <f t="shared" si="113"/>
        <v>FALSE</v>
      </c>
      <c r="Q719" s="8" t="str">
        <f t="shared" si="114"/>
        <v>FALSE</v>
      </c>
      <c r="R719" s="9" t="b">
        <f t="shared" si="115"/>
        <v>1</v>
      </c>
      <c r="S719" s="8" t="b">
        <f t="shared" si="116"/>
        <v>0</v>
      </c>
      <c r="T719" s="10" t="b">
        <f t="shared" si="117"/>
        <v>0</v>
      </c>
      <c r="U719" s="8" t="str">
        <f t="shared" si="118"/>
        <v>TRUE</v>
      </c>
      <c r="V719" s="11" t="str">
        <f t="shared" si="119"/>
        <v>TRUE</v>
      </c>
    </row>
    <row r="720" spans="1:22" ht="15.75">
      <c r="A720" s="21">
        <v>718</v>
      </c>
      <c r="B720" s="5" t="s">
        <v>2104</v>
      </c>
      <c r="C720" s="23" t="s">
        <v>3733</v>
      </c>
      <c r="D720" s="23" t="s">
        <v>59</v>
      </c>
      <c r="E720" s="5" t="s">
        <v>2105</v>
      </c>
      <c r="F720" s="71" t="s">
        <v>6105</v>
      </c>
      <c r="G720" s="22" t="s">
        <v>3934</v>
      </c>
      <c r="H720" s="5" t="s">
        <v>13</v>
      </c>
      <c r="I720" s="5" t="s">
        <v>26</v>
      </c>
      <c r="J720" s="5" t="s">
        <v>4784</v>
      </c>
      <c r="K720" s="5" t="s">
        <v>2106</v>
      </c>
      <c r="L720" s="22"/>
      <c r="M720" s="8" t="str">
        <f t="shared" si="110"/>
        <v>Ok</v>
      </c>
      <c r="N720" s="9" t="b">
        <f t="shared" si="111"/>
        <v>0</v>
      </c>
      <c r="O720" s="9" t="b">
        <f t="shared" si="112"/>
        <v>1</v>
      </c>
      <c r="P720" s="8" t="str">
        <f t="shared" si="113"/>
        <v>FALSE</v>
      </c>
      <c r="Q720" s="8" t="str">
        <f t="shared" si="114"/>
        <v>FALSE</v>
      </c>
      <c r="R720" s="9" t="b">
        <f t="shared" si="115"/>
        <v>0</v>
      </c>
      <c r="S720" s="8" t="b">
        <f t="shared" si="116"/>
        <v>0</v>
      </c>
      <c r="T720" s="10" t="b">
        <f t="shared" si="117"/>
        <v>0</v>
      </c>
      <c r="U720" s="8" t="str">
        <f t="shared" si="118"/>
        <v>TRUE</v>
      </c>
      <c r="V720" s="11" t="str">
        <f t="shared" si="119"/>
        <v>TRUE</v>
      </c>
    </row>
    <row r="721" spans="1:22" ht="15.75">
      <c r="A721" s="21">
        <v>719</v>
      </c>
      <c r="B721" s="5" t="s">
        <v>2107</v>
      </c>
      <c r="C721" s="23" t="s">
        <v>3800</v>
      </c>
      <c r="D721" s="23" t="s">
        <v>59</v>
      </c>
      <c r="E721" s="5" t="s">
        <v>2108</v>
      </c>
      <c r="F721" s="71" t="s">
        <v>6105</v>
      </c>
      <c r="G721" s="22" t="s">
        <v>24</v>
      </c>
      <c r="H721" s="5" t="s">
        <v>25</v>
      </c>
      <c r="I721" s="5" t="s">
        <v>14</v>
      </c>
      <c r="J721" s="5" t="s">
        <v>4906</v>
      </c>
      <c r="K721" s="5" t="s">
        <v>2109</v>
      </c>
      <c r="L721" s="22"/>
      <c r="M721" s="8" t="str">
        <f t="shared" si="110"/>
        <v>Ok</v>
      </c>
      <c r="N721" s="9" t="b">
        <f t="shared" si="111"/>
        <v>0</v>
      </c>
      <c r="O721" s="9" t="b">
        <f t="shared" si="112"/>
        <v>1</v>
      </c>
      <c r="P721" s="8" t="str">
        <f t="shared" si="113"/>
        <v>FALSE</v>
      </c>
      <c r="Q721" s="8" t="str">
        <f t="shared" si="114"/>
        <v>FALSE</v>
      </c>
      <c r="R721" s="9" t="b">
        <f t="shared" si="115"/>
        <v>0</v>
      </c>
      <c r="S721" s="8" t="b">
        <f t="shared" si="116"/>
        <v>0</v>
      </c>
      <c r="T721" s="10" t="b">
        <f t="shared" si="117"/>
        <v>1</v>
      </c>
      <c r="U721" s="8" t="str">
        <f t="shared" si="118"/>
        <v>TRUE</v>
      </c>
      <c r="V721" s="11" t="str">
        <f t="shared" si="119"/>
        <v>TRUE</v>
      </c>
    </row>
    <row r="722" spans="1:22" ht="15.75">
      <c r="A722" s="21">
        <v>720</v>
      </c>
      <c r="B722" s="5" t="s">
        <v>2110</v>
      </c>
      <c r="C722" s="23" t="s">
        <v>3508</v>
      </c>
      <c r="D722" s="23" t="s">
        <v>77</v>
      </c>
      <c r="E722" s="5" t="s">
        <v>2111</v>
      </c>
      <c r="F722" s="71" t="s">
        <v>6105</v>
      </c>
      <c r="G722" s="22" t="s">
        <v>160</v>
      </c>
      <c r="H722" s="5" t="s">
        <v>3932</v>
      </c>
      <c r="I722" s="5" t="s">
        <v>26</v>
      </c>
      <c r="J722" s="5" t="s">
        <v>5272</v>
      </c>
      <c r="K722" s="5" t="s">
        <v>2112</v>
      </c>
      <c r="L722" s="22"/>
      <c r="M722" s="8" t="str">
        <f t="shared" si="110"/>
        <v>Ok</v>
      </c>
      <c r="N722" s="9" t="b">
        <f t="shared" si="111"/>
        <v>1</v>
      </c>
      <c r="O722" s="9" t="b">
        <f t="shared" si="112"/>
        <v>0</v>
      </c>
      <c r="P722" s="8" t="str">
        <f t="shared" si="113"/>
        <v>FALSE</v>
      </c>
      <c r="Q722" s="8" t="str">
        <f t="shared" si="114"/>
        <v>FALSE</v>
      </c>
      <c r="R722" s="9" t="b">
        <f t="shared" si="115"/>
        <v>0</v>
      </c>
      <c r="S722" s="8" t="b">
        <f t="shared" si="116"/>
        <v>0</v>
      </c>
      <c r="T722" s="10" t="b">
        <f t="shared" si="117"/>
        <v>0</v>
      </c>
      <c r="U722" s="8" t="str">
        <f t="shared" si="118"/>
        <v>TRUE</v>
      </c>
      <c r="V722" s="11" t="str">
        <f t="shared" si="119"/>
        <v>TRUE</v>
      </c>
    </row>
    <row r="723" spans="1:22" ht="15.75">
      <c r="A723" s="21">
        <v>721</v>
      </c>
      <c r="B723" s="5" t="s">
        <v>2113</v>
      </c>
      <c r="C723" s="23" t="s">
        <v>3043</v>
      </c>
      <c r="D723" s="23" t="s">
        <v>34</v>
      </c>
      <c r="E723" s="5" t="s">
        <v>315</v>
      </c>
      <c r="F723" s="71" t="s">
        <v>6105</v>
      </c>
      <c r="G723" s="22" t="s">
        <v>40</v>
      </c>
      <c r="H723" s="5" t="s">
        <v>71</v>
      </c>
      <c r="I723" s="5" t="s">
        <v>21</v>
      </c>
      <c r="J723" s="5" t="s">
        <v>5540</v>
      </c>
      <c r="K723" s="5" t="s">
        <v>2114</v>
      </c>
      <c r="L723" s="22"/>
      <c r="M723" s="8" t="str">
        <f t="shared" si="110"/>
        <v>Ok</v>
      </c>
      <c r="N723" s="9" t="b">
        <f t="shared" si="111"/>
        <v>0</v>
      </c>
      <c r="O723" s="9" t="b">
        <f t="shared" si="112"/>
        <v>0</v>
      </c>
      <c r="P723" s="8" t="str">
        <f t="shared" si="113"/>
        <v>FALSE</v>
      </c>
      <c r="Q723" s="8" t="str">
        <f t="shared" si="114"/>
        <v>FALSE</v>
      </c>
      <c r="R723" s="9" t="b">
        <f t="shared" si="115"/>
        <v>1</v>
      </c>
      <c r="S723" s="8" t="b">
        <f t="shared" si="116"/>
        <v>1</v>
      </c>
      <c r="T723" s="10" t="b">
        <f t="shared" si="117"/>
        <v>0</v>
      </c>
      <c r="U723" s="8" t="str">
        <f t="shared" si="118"/>
        <v>FALSE</v>
      </c>
      <c r="V723" s="11" t="str">
        <f t="shared" si="119"/>
        <v>TRUE</v>
      </c>
    </row>
    <row r="724" spans="1:22" ht="15.75">
      <c r="A724" s="21">
        <v>722</v>
      </c>
      <c r="B724" s="5" t="s">
        <v>2115</v>
      </c>
      <c r="C724" s="23" t="s">
        <v>3314</v>
      </c>
      <c r="D724" s="23" t="s">
        <v>77</v>
      </c>
      <c r="E724" s="5" t="s">
        <v>900</v>
      </c>
      <c r="F724" s="71" t="s">
        <v>6105</v>
      </c>
      <c r="G724" s="22" t="s">
        <v>179</v>
      </c>
      <c r="H724" s="5" t="s">
        <v>3932</v>
      </c>
      <c r="I724" s="5" t="s">
        <v>50</v>
      </c>
      <c r="J724" s="5" t="s">
        <v>4909</v>
      </c>
      <c r="K724" s="5" t="s">
        <v>2116</v>
      </c>
      <c r="L724" s="22"/>
      <c r="M724" s="8" t="str">
        <f t="shared" si="110"/>
        <v>Ok</v>
      </c>
      <c r="N724" s="9" t="b">
        <f t="shared" si="111"/>
        <v>1</v>
      </c>
      <c r="O724" s="9" t="b">
        <f t="shared" si="112"/>
        <v>0</v>
      </c>
      <c r="P724" s="8" t="str">
        <f t="shared" si="113"/>
        <v>FALSE</v>
      </c>
      <c r="Q724" s="8" t="str">
        <f t="shared" si="114"/>
        <v>FALSE</v>
      </c>
      <c r="R724" s="9" t="b">
        <f t="shared" si="115"/>
        <v>1</v>
      </c>
      <c r="S724" s="8" t="b">
        <f t="shared" si="116"/>
        <v>0</v>
      </c>
      <c r="T724" s="10" t="b">
        <f t="shared" si="117"/>
        <v>0</v>
      </c>
      <c r="U724" s="8" t="str">
        <f t="shared" si="118"/>
        <v>TRUE</v>
      </c>
      <c r="V724" s="11" t="str">
        <f t="shared" si="119"/>
        <v>TRUE</v>
      </c>
    </row>
    <row r="725" spans="1:22" ht="15.75">
      <c r="A725" s="21">
        <v>723</v>
      </c>
      <c r="B725" s="5" t="s">
        <v>2117</v>
      </c>
      <c r="C725" s="23" t="s">
        <v>3044</v>
      </c>
      <c r="D725" s="23" t="s">
        <v>34</v>
      </c>
      <c r="E725" s="5" t="s">
        <v>2119</v>
      </c>
      <c r="F725" s="71" t="s">
        <v>6105</v>
      </c>
      <c r="G725" s="22" t="s">
        <v>40</v>
      </c>
      <c r="H725" s="5" t="s">
        <v>71</v>
      </c>
      <c r="I725" s="5" t="s">
        <v>42</v>
      </c>
      <c r="J725" s="5" t="s">
        <v>5682</v>
      </c>
      <c r="K725" s="5" t="s">
        <v>2120</v>
      </c>
      <c r="L725" s="22"/>
      <c r="M725" s="8" t="str">
        <f t="shared" si="110"/>
        <v>Ok</v>
      </c>
      <c r="N725" s="9" t="b">
        <f t="shared" si="111"/>
        <v>0</v>
      </c>
      <c r="O725" s="9" t="b">
        <f t="shared" si="112"/>
        <v>0</v>
      </c>
      <c r="P725" s="8" t="str">
        <f t="shared" si="113"/>
        <v>FALSE</v>
      </c>
      <c r="Q725" s="8" t="str">
        <f t="shared" si="114"/>
        <v>FALSE</v>
      </c>
      <c r="R725" s="9" t="b">
        <f t="shared" si="115"/>
        <v>1</v>
      </c>
      <c r="S725" s="8" t="b">
        <f t="shared" si="116"/>
        <v>1</v>
      </c>
      <c r="T725" s="10" t="b">
        <f t="shared" si="117"/>
        <v>1</v>
      </c>
      <c r="U725" s="8" t="str">
        <f t="shared" si="118"/>
        <v>FALSE</v>
      </c>
      <c r="V725" s="11" t="str">
        <f t="shared" si="119"/>
        <v>TRUE</v>
      </c>
    </row>
    <row r="726" spans="1:22" ht="15.75">
      <c r="A726" s="21">
        <v>724</v>
      </c>
      <c r="B726" s="5" t="s">
        <v>2121</v>
      </c>
      <c r="C726" s="23" t="s">
        <v>3259</v>
      </c>
      <c r="D726" s="23" t="s">
        <v>77</v>
      </c>
      <c r="E726" s="5" t="s">
        <v>2122</v>
      </c>
      <c r="F726" s="71" t="s">
        <v>6105</v>
      </c>
      <c r="G726" s="22" t="s">
        <v>179</v>
      </c>
      <c r="H726" s="5" t="s">
        <v>3932</v>
      </c>
      <c r="I726" s="5" t="s">
        <v>42</v>
      </c>
      <c r="J726" s="5" t="s">
        <v>4822</v>
      </c>
      <c r="K726" s="5" t="s">
        <v>2123</v>
      </c>
      <c r="L726" s="22"/>
      <c r="M726" s="8" t="str">
        <f t="shared" si="110"/>
        <v>Ok</v>
      </c>
      <c r="N726" s="9" t="b">
        <f t="shared" si="111"/>
        <v>1</v>
      </c>
      <c r="O726" s="9" t="b">
        <f t="shared" si="112"/>
        <v>0</v>
      </c>
      <c r="P726" s="8" t="str">
        <f t="shared" si="113"/>
        <v>FALSE</v>
      </c>
      <c r="Q726" s="8" t="str">
        <f t="shared" si="114"/>
        <v>FALSE</v>
      </c>
      <c r="R726" s="9" t="b">
        <f t="shared" si="115"/>
        <v>1</v>
      </c>
      <c r="S726" s="8" t="b">
        <f t="shared" si="116"/>
        <v>0</v>
      </c>
      <c r="T726" s="10" t="b">
        <f t="shared" si="117"/>
        <v>1</v>
      </c>
      <c r="U726" s="8" t="str">
        <f t="shared" si="118"/>
        <v>TRUE</v>
      </c>
      <c r="V726" s="11" t="str">
        <f t="shared" si="119"/>
        <v>FALSE</v>
      </c>
    </row>
    <row r="727" spans="1:22" ht="15.75">
      <c r="A727" s="21">
        <v>725</v>
      </c>
      <c r="B727" s="5" t="s">
        <v>2124</v>
      </c>
      <c r="C727" s="23" t="s">
        <v>3045</v>
      </c>
      <c r="D727" s="23" t="s">
        <v>34</v>
      </c>
      <c r="E727" s="5" t="s">
        <v>2125</v>
      </c>
      <c r="F727" s="71" t="s">
        <v>6105</v>
      </c>
      <c r="G727" s="22" t="s">
        <v>74</v>
      </c>
      <c r="H727" s="5" t="s">
        <v>71</v>
      </c>
      <c r="I727" s="5" t="s">
        <v>42</v>
      </c>
      <c r="J727" s="5" t="s">
        <v>5737</v>
      </c>
      <c r="K727" s="5" t="s">
        <v>2126</v>
      </c>
      <c r="L727" s="22"/>
      <c r="M727" s="8" t="str">
        <f t="shared" si="110"/>
        <v>Ok</v>
      </c>
      <c r="N727" s="9" t="b">
        <f t="shared" si="111"/>
        <v>0</v>
      </c>
      <c r="O727" s="9" t="b">
        <f t="shared" si="112"/>
        <v>0</v>
      </c>
      <c r="P727" s="8" t="str">
        <f t="shared" si="113"/>
        <v>FALSE</v>
      </c>
      <c r="Q727" s="8" t="str">
        <f t="shared" si="114"/>
        <v>FALSE</v>
      </c>
      <c r="R727" s="9" t="b">
        <f t="shared" si="115"/>
        <v>0</v>
      </c>
      <c r="S727" s="8" t="b">
        <f t="shared" si="116"/>
        <v>1</v>
      </c>
      <c r="T727" s="10" t="b">
        <f t="shared" si="117"/>
        <v>1</v>
      </c>
      <c r="U727" s="8" t="str">
        <f t="shared" si="118"/>
        <v>FALSE</v>
      </c>
      <c r="V727" s="11" t="str">
        <f t="shared" si="119"/>
        <v>TRUE</v>
      </c>
    </row>
    <row r="728" spans="1:22" ht="15.75">
      <c r="A728" s="21">
        <v>726</v>
      </c>
      <c r="B728" s="5" t="s">
        <v>2127</v>
      </c>
      <c r="C728" s="23" t="s">
        <v>3098</v>
      </c>
      <c r="D728" s="23" t="s">
        <v>77</v>
      </c>
      <c r="E728" s="5" t="s">
        <v>2128</v>
      </c>
      <c r="F728" s="71" t="s">
        <v>6105</v>
      </c>
      <c r="G728" s="22" t="s">
        <v>179</v>
      </c>
      <c r="H728" s="5" t="s">
        <v>3932</v>
      </c>
      <c r="I728" s="5" t="s">
        <v>21</v>
      </c>
      <c r="J728" s="5" t="s">
        <v>4852</v>
      </c>
      <c r="K728" s="5" t="s">
        <v>2129</v>
      </c>
      <c r="L728" s="22"/>
      <c r="M728" s="8" t="str">
        <f t="shared" si="110"/>
        <v>Ok</v>
      </c>
      <c r="N728" s="9" t="b">
        <f t="shared" si="111"/>
        <v>0</v>
      </c>
      <c r="O728" s="9" t="b">
        <f t="shared" si="112"/>
        <v>0</v>
      </c>
      <c r="P728" s="8" t="str">
        <f t="shared" si="113"/>
        <v>FALSE</v>
      </c>
      <c r="Q728" s="8" t="str">
        <f t="shared" si="114"/>
        <v>FALSE</v>
      </c>
      <c r="R728" s="9" t="b">
        <f t="shared" si="115"/>
        <v>1</v>
      </c>
      <c r="S728" s="8" t="b">
        <f t="shared" si="116"/>
        <v>0</v>
      </c>
      <c r="T728" s="10" t="b">
        <f t="shared" si="117"/>
        <v>0</v>
      </c>
      <c r="U728" s="8" t="str">
        <f t="shared" si="118"/>
        <v>TRUE</v>
      </c>
      <c r="V728" s="11" t="str">
        <f t="shared" si="119"/>
        <v>TRUE</v>
      </c>
    </row>
    <row r="729" spans="1:22" ht="15.75">
      <c r="A729" s="21">
        <v>727</v>
      </c>
      <c r="B729" s="5" t="s">
        <v>2130</v>
      </c>
      <c r="C729" s="23" t="s">
        <v>2945</v>
      </c>
      <c r="D729" s="23" t="s">
        <v>17</v>
      </c>
      <c r="E729" s="5" t="s">
        <v>2131</v>
      </c>
      <c r="F729" s="71" t="s">
        <v>6105</v>
      </c>
      <c r="G729" s="22" t="s">
        <v>119</v>
      </c>
      <c r="H729" s="5" t="s">
        <v>120</v>
      </c>
      <c r="I729" s="5" t="s">
        <v>21</v>
      </c>
      <c r="J729" s="5" t="s">
        <v>5728</v>
      </c>
      <c r="K729" s="5" t="s">
        <v>2132</v>
      </c>
      <c r="L729" s="22"/>
      <c r="M729" s="8" t="str">
        <f t="shared" si="110"/>
        <v>Ok</v>
      </c>
      <c r="N729" s="9" t="b">
        <f t="shared" si="111"/>
        <v>0</v>
      </c>
      <c r="O729" s="9" t="b">
        <f t="shared" si="112"/>
        <v>1</v>
      </c>
      <c r="P729" s="8" t="str">
        <f t="shared" si="113"/>
        <v>FALSE</v>
      </c>
      <c r="Q729" s="8" t="str">
        <f t="shared" si="114"/>
        <v>FALSE</v>
      </c>
      <c r="R729" s="9" t="b">
        <f t="shared" si="115"/>
        <v>0</v>
      </c>
      <c r="S729" s="8" t="b">
        <f t="shared" si="116"/>
        <v>1</v>
      </c>
      <c r="T729" s="10" t="b">
        <f t="shared" si="117"/>
        <v>0</v>
      </c>
      <c r="U729" s="8" t="str">
        <f t="shared" si="118"/>
        <v>FALSE</v>
      </c>
      <c r="V729" s="11" t="str">
        <f t="shared" si="119"/>
        <v>TRUE</v>
      </c>
    </row>
    <row r="730" spans="1:22" ht="15.75">
      <c r="A730" s="21">
        <v>728</v>
      </c>
      <c r="B730" s="5" t="s">
        <v>2133</v>
      </c>
      <c r="C730" s="23" t="s">
        <v>3636</v>
      </c>
      <c r="D730" s="23" t="s">
        <v>59</v>
      </c>
      <c r="E730" s="5" t="s">
        <v>2134</v>
      </c>
      <c r="F730" s="71" t="s">
        <v>6105</v>
      </c>
      <c r="G730" s="22" t="s">
        <v>179</v>
      </c>
      <c r="H730" s="5" t="s">
        <v>13</v>
      </c>
      <c r="I730" s="5" t="s">
        <v>67</v>
      </c>
      <c r="J730" s="5" t="s">
        <v>5218</v>
      </c>
      <c r="K730" s="5" t="s">
        <v>2135</v>
      </c>
      <c r="L730" s="22"/>
      <c r="M730" s="8" t="str">
        <f t="shared" si="110"/>
        <v>Ok</v>
      </c>
      <c r="N730" s="9" t="b">
        <f t="shared" si="111"/>
        <v>1</v>
      </c>
      <c r="O730" s="9" t="b">
        <f t="shared" si="112"/>
        <v>1</v>
      </c>
      <c r="P730" s="8" t="str">
        <f t="shared" si="113"/>
        <v>FALSE</v>
      </c>
      <c r="Q730" s="8" t="str">
        <f t="shared" si="114"/>
        <v>FALSE</v>
      </c>
      <c r="R730" s="9" t="b">
        <f t="shared" si="115"/>
        <v>1</v>
      </c>
      <c r="S730" s="8" t="b">
        <f t="shared" si="116"/>
        <v>0</v>
      </c>
      <c r="T730" s="10" t="b">
        <f t="shared" si="117"/>
        <v>0</v>
      </c>
      <c r="U730" s="8" t="str">
        <f t="shared" si="118"/>
        <v>TRUE</v>
      </c>
      <c r="V730" s="11" t="str">
        <f t="shared" si="119"/>
        <v>TRUE</v>
      </c>
    </row>
    <row r="731" spans="1:22" ht="15.75">
      <c r="A731" s="21">
        <v>729</v>
      </c>
      <c r="B731" s="5" t="s">
        <v>2136</v>
      </c>
      <c r="C731" s="23" t="s">
        <v>2959</v>
      </c>
      <c r="D731" s="23" t="s">
        <v>17</v>
      </c>
      <c r="E731" s="5" t="s">
        <v>2137</v>
      </c>
      <c r="F731" s="71" t="s">
        <v>6106</v>
      </c>
      <c r="G731" s="22" t="s">
        <v>85</v>
      </c>
      <c r="H731" s="5" t="s">
        <v>86</v>
      </c>
      <c r="I731" s="5" t="s">
        <v>67</v>
      </c>
      <c r="J731" s="5" t="s">
        <v>4981</v>
      </c>
      <c r="K731" s="5" t="s">
        <v>2138</v>
      </c>
      <c r="L731" s="22"/>
      <c r="M731" s="8" t="str">
        <f t="shared" si="110"/>
        <v>Ok</v>
      </c>
      <c r="N731" s="9" t="b">
        <f t="shared" si="111"/>
        <v>0</v>
      </c>
      <c r="O731" s="9" t="b">
        <f t="shared" si="112"/>
        <v>1</v>
      </c>
      <c r="P731" s="8" t="str">
        <f t="shared" si="113"/>
        <v>FALSE</v>
      </c>
      <c r="Q731" s="8" t="str">
        <f t="shared" si="114"/>
        <v>FALSE</v>
      </c>
      <c r="R731" s="9" t="b">
        <f t="shared" si="115"/>
        <v>1</v>
      </c>
      <c r="S731" s="8" t="b">
        <f t="shared" si="116"/>
        <v>0</v>
      </c>
      <c r="T731" s="10" t="b">
        <f t="shared" si="117"/>
        <v>0</v>
      </c>
      <c r="U731" s="8" t="str">
        <f t="shared" si="118"/>
        <v>TRUE</v>
      </c>
      <c r="V731" s="11" t="str">
        <f t="shared" si="119"/>
        <v>TRUE</v>
      </c>
    </row>
    <row r="732" spans="1:22" ht="15.75">
      <c r="A732" s="21">
        <v>730</v>
      </c>
      <c r="B732" s="5" t="s">
        <v>2139</v>
      </c>
      <c r="C732" s="23" t="s">
        <v>3099</v>
      </c>
      <c r="D732" s="23" t="s">
        <v>34</v>
      </c>
      <c r="E732" s="5" t="s">
        <v>2140</v>
      </c>
      <c r="F732" s="71" t="s">
        <v>6106</v>
      </c>
      <c r="G732" s="22" t="s">
        <v>179</v>
      </c>
      <c r="H732" s="5" t="s">
        <v>3932</v>
      </c>
      <c r="I732" s="5" t="s">
        <v>21</v>
      </c>
      <c r="J732" s="5" t="s">
        <v>5187</v>
      </c>
      <c r="K732" s="5" t="s">
        <v>2141</v>
      </c>
      <c r="L732" s="22"/>
      <c r="M732" s="8" t="str">
        <f t="shared" si="110"/>
        <v>Ok</v>
      </c>
      <c r="N732" s="9" t="b">
        <f t="shared" si="111"/>
        <v>0</v>
      </c>
      <c r="O732" s="9" t="b">
        <f t="shared" si="112"/>
        <v>0</v>
      </c>
      <c r="P732" s="8" t="str">
        <f t="shared" si="113"/>
        <v>FALSE</v>
      </c>
      <c r="Q732" s="8" t="str">
        <f t="shared" si="114"/>
        <v>FALSE</v>
      </c>
      <c r="R732" s="9" t="b">
        <f t="shared" si="115"/>
        <v>1</v>
      </c>
      <c r="S732" s="8" t="b">
        <f t="shared" si="116"/>
        <v>0</v>
      </c>
      <c r="T732" s="10" t="b">
        <f t="shared" si="117"/>
        <v>0</v>
      </c>
      <c r="U732" s="8" t="str">
        <f t="shared" si="118"/>
        <v>TRUE</v>
      </c>
      <c r="V732" s="11" t="str">
        <f t="shared" si="119"/>
        <v>TRUE</v>
      </c>
    </row>
    <row r="733" spans="1:22" ht="15.75">
      <c r="A733" s="21">
        <v>731</v>
      </c>
      <c r="B733" s="5" t="s">
        <v>2142</v>
      </c>
      <c r="C733" s="23" t="s">
        <v>3260</v>
      </c>
      <c r="D733" s="23" t="s">
        <v>77</v>
      </c>
      <c r="E733" s="5" t="s">
        <v>2143</v>
      </c>
      <c r="F733" s="71" t="s">
        <v>6106</v>
      </c>
      <c r="G733" s="22" t="s">
        <v>179</v>
      </c>
      <c r="H733" s="5" t="s">
        <v>3932</v>
      </c>
      <c r="I733" s="5" t="s">
        <v>42</v>
      </c>
      <c r="J733" s="5" t="s">
        <v>5125</v>
      </c>
      <c r="K733" s="5" t="s">
        <v>2144</v>
      </c>
      <c r="L733" s="22"/>
      <c r="M733" s="8" t="str">
        <f t="shared" si="110"/>
        <v>Ok</v>
      </c>
      <c r="N733" s="9" t="b">
        <f t="shared" si="111"/>
        <v>1</v>
      </c>
      <c r="O733" s="9" t="b">
        <f t="shared" si="112"/>
        <v>0</v>
      </c>
      <c r="P733" s="8" t="str">
        <f t="shared" si="113"/>
        <v>FALSE</v>
      </c>
      <c r="Q733" s="8" t="str">
        <f t="shared" si="114"/>
        <v>FALSE</v>
      </c>
      <c r="R733" s="9" t="b">
        <f t="shared" si="115"/>
        <v>1</v>
      </c>
      <c r="S733" s="8" t="b">
        <f t="shared" si="116"/>
        <v>0</v>
      </c>
      <c r="T733" s="10" t="b">
        <f t="shared" si="117"/>
        <v>1</v>
      </c>
      <c r="U733" s="8" t="str">
        <f t="shared" si="118"/>
        <v>TRUE</v>
      </c>
      <c r="V733" s="11" t="str">
        <f t="shared" si="119"/>
        <v>TRUE</v>
      </c>
    </row>
    <row r="734" spans="1:22" ht="15.75">
      <c r="A734" s="21">
        <v>732</v>
      </c>
      <c r="B734" s="5" t="s">
        <v>2145</v>
      </c>
      <c r="C734" s="23" t="s">
        <v>3570</v>
      </c>
      <c r="D734" s="23" t="s">
        <v>59</v>
      </c>
      <c r="E734" s="5" t="s">
        <v>1099</v>
      </c>
      <c r="F734" s="71" t="s">
        <v>6106</v>
      </c>
      <c r="G734" s="22" t="s">
        <v>12</v>
      </c>
      <c r="H734" s="5" t="s">
        <v>13</v>
      </c>
      <c r="I734" s="5" t="s">
        <v>14</v>
      </c>
      <c r="J734" s="5" t="s">
        <v>4804</v>
      </c>
      <c r="K734" s="5" t="s">
        <v>2146</v>
      </c>
      <c r="L734" s="22"/>
      <c r="M734" s="8" t="str">
        <f t="shared" si="110"/>
        <v>Ok</v>
      </c>
      <c r="N734" s="9" t="b">
        <f t="shared" si="111"/>
        <v>1</v>
      </c>
      <c r="O734" s="9" t="b">
        <f t="shared" si="112"/>
        <v>1</v>
      </c>
      <c r="P734" s="8" t="str">
        <f t="shared" si="113"/>
        <v>FALSE</v>
      </c>
      <c r="Q734" s="8" t="str">
        <f t="shared" si="114"/>
        <v>FALSE</v>
      </c>
      <c r="R734" s="9" t="b">
        <f t="shared" si="115"/>
        <v>1</v>
      </c>
      <c r="S734" s="8" t="b">
        <f t="shared" si="116"/>
        <v>0</v>
      </c>
      <c r="T734" s="10" t="b">
        <f t="shared" si="117"/>
        <v>1</v>
      </c>
      <c r="U734" s="8" t="str">
        <f t="shared" si="118"/>
        <v>TRUE</v>
      </c>
      <c r="V734" s="11" t="str">
        <f t="shared" si="119"/>
        <v>TRUE</v>
      </c>
    </row>
    <row r="735" spans="1:22" ht="15.75">
      <c r="A735" s="21">
        <v>733</v>
      </c>
      <c r="B735" s="5" t="s">
        <v>2147</v>
      </c>
      <c r="C735" s="23" t="s">
        <v>3509</v>
      </c>
      <c r="D735" s="23" t="s">
        <v>77</v>
      </c>
      <c r="E735" s="5" t="s">
        <v>2148</v>
      </c>
      <c r="F735" s="71" t="s">
        <v>6106</v>
      </c>
      <c r="G735" s="22" t="s">
        <v>160</v>
      </c>
      <c r="H735" s="5" t="s">
        <v>3932</v>
      </c>
      <c r="I735" s="5" t="s">
        <v>14</v>
      </c>
      <c r="J735" s="5" t="s">
        <v>5701</v>
      </c>
      <c r="K735" s="5" t="s">
        <v>2149</v>
      </c>
      <c r="L735" s="22"/>
      <c r="M735" s="8" t="str">
        <f t="shared" si="110"/>
        <v>Ok</v>
      </c>
      <c r="N735" s="9" t="b">
        <f t="shared" si="111"/>
        <v>1</v>
      </c>
      <c r="O735" s="9" t="b">
        <f t="shared" si="112"/>
        <v>0</v>
      </c>
      <c r="P735" s="8" t="str">
        <f t="shared" si="113"/>
        <v>FALSE</v>
      </c>
      <c r="Q735" s="8" t="str">
        <f t="shared" si="114"/>
        <v>FALSE</v>
      </c>
      <c r="R735" s="9" t="b">
        <f t="shared" si="115"/>
        <v>0</v>
      </c>
      <c r="S735" s="8" t="b">
        <f t="shared" si="116"/>
        <v>0</v>
      </c>
      <c r="T735" s="10" t="b">
        <f t="shared" si="117"/>
        <v>1</v>
      </c>
      <c r="U735" s="8" t="str">
        <f t="shared" si="118"/>
        <v>FALSE</v>
      </c>
      <c r="V735" s="11" t="str">
        <f t="shared" si="119"/>
        <v>FALSE</v>
      </c>
    </row>
    <row r="736" spans="1:22" ht="15.75">
      <c r="A736" s="21">
        <v>734</v>
      </c>
      <c r="B736" s="5" t="s">
        <v>2150</v>
      </c>
      <c r="C736" s="23" t="s">
        <v>3510</v>
      </c>
      <c r="D736" s="23" t="s">
        <v>77</v>
      </c>
      <c r="E736" s="5" t="s">
        <v>2151</v>
      </c>
      <c r="F736" s="71" t="s">
        <v>6106</v>
      </c>
      <c r="G736" s="22" t="s">
        <v>160</v>
      </c>
      <c r="H736" s="5" t="s">
        <v>3932</v>
      </c>
      <c r="I736" s="5" t="s">
        <v>67</v>
      </c>
      <c r="J736" s="5" t="s">
        <v>5317</v>
      </c>
      <c r="K736" s="5" t="s">
        <v>2152</v>
      </c>
      <c r="L736" s="22"/>
      <c r="M736" s="8" t="str">
        <f t="shared" si="110"/>
        <v>Ok</v>
      </c>
      <c r="N736" s="9" t="b">
        <f t="shared" si="111"/>
        <v>1</v>
      </c>
      <c r="O736" s="9" t="b">
        <f t="shared" si="112"/>
        <v>0</v>
      </c>
      <c r="P736" s="8" t="str">
        <f t="shared" si="113"/>
        <v>FALSE</v>
      </c>
      <c r="Q736" s="8" t="str">
        <f t="shared" si="114"/>
        <v>FALSE</v>
      </c>
      <c r="R736" s="9" t="b">
        <f t="shared" si="115"/>
        <v>0</v>
      </c>
      <c r="S736" s="8" t="b">
        <f t="shared" si="116"/>
        <v>0</v>
      </c>
      <c r="T736" s="10" t="b">
        <f t="shared" si="117"/>
        <v>0</v>
      </c>
      <c r="U736" s="8" t="str">
        <f t="shared" si="118"/>
        <v>TRUE</v>
      </c>
      <c r="V736" s="11" t="str">
        <f t="shared" si="119"/>
        <v>TRUE</v>
      </c>
    </row>
    <row r="737" spans="1:22" ht="15.75">
      <c r="A737" s="21">
        <v>735</v>
      </c>
      <c r="B737" s="5" t="s">
        <v>2153</v>
      </c>
      <c r="C737" s="23" t="s">
        <v>3734</v>
      </c>
      <c r="D737" s="23" t="s">
        <v>59</v>
      </c>
      <c r="E737" s="5" t="s">
        <v>2154</v>
      </c>
      <c r="F737" s="71" t="s">
        <v>6106</v>
      </c>
      <c r="G737" s="22" t="s">
        <v>207</v>
      </c>
      <c r="H737" s="5" t="s">
        <v>115</v>
      </c>
      <c r="I737" s="5" t="s">
        <v>67</v>
      </c>
      <c r="J737" s="5" t="s">
        <v>4938</v>
      </c>
      <c r="K737" s="5" t="s">
        <v>2155</v>
      </c>
      <c r="L737" s="22"/>
      <c r="M737" s="8" t="str">
        <f t="shared" si="110"/>
        <v>Ok</v>
      </c>
      <c r="N737" s="9" t="b">
        <f t="shared" si="111"/>
        <v>0</v>
      </c>
      <c r="O737" s="9" t="b">
        <f t="shared" si="112"/>
        <v>1</v>
      </c>
      <c r="P737" s="8" t="str">
        <f t="shared" si="113"/>
        <v>FALSE</v>
      </c>
      <c r="Q737" s="8" t="str">
        <f t="shared" si="114"/>
        <v>FALSE</v>
      </c>
      <c r="R737" s="9" t="b">
        <f t="shared" si="115"/>
        <v>1</v>
      </c>
      <c r="S737" s="8" t="b">
        <f t="shared" si="116"/>
        <v>0</v>
      </c>
      <c r="T737" s="10" t="b">
        <f t="shared" si="117"/>
        <v>0</v>
      </c>
      <c r="U737" s="8" t="str">
        <f t="shared" si="118"/>
        <v>TRUE</v>
      </c>
      <c r="V737" s="11" t="str">
        <f t="shared" si="119"/>
        <v>FALSE</v>
      </c>
    </row>
    <row r="738" spans="1:22" ht="15.75">
      <c r="A738" s="21">
        <v>736</v>
      </c>
      <c r="B738" s="5" t="s">
        <v>2156</v>
      </c>
      <c r="C738" s="23" t="s">
        <v>3168</v>
      </c>
      <c r="D738" s="23" t="s">
        <v>77</v>
      </c>
      <c r="E738" s="5" t="s">
        <v>2157</v>
      </c>
      <c r="F738" s="71" t="s">
        <v>6106</v>
      </c>
      <c r="G738" s="22" t="s">
        <v>179</v>
      </c>
      <c r="H738" s="22" t="s">
        <v>3932</v>
      </c>
      <c r="I738" s="5" t="s">
        <v>56</v>
      </c>
      <c r="J738" s="5" t="s">
        <v>5564</v>
      </c>
      <c r="K738" s="5" t="s">
        <v>2158</v>
      </c>
      <c r="L738" s="22"/>
      <c r="M738" s="8" t="str">
        <f t="shared" si="110"/>
        <v>Ok</v>
      </c>
      <c r="N738" s="9" t="b">
        <f t="shared" si="111"/>
        <v>0</v>
      </c>
      <c r="O738" s="9" t="b">
        <f t="shared" si="112"/>
        <v>0</v>
      </c>
      <c r="P738" s="8" t="str">
        <f t="shared" si="113"/>
        <v>FALSE</v>
      </c>
      <c r="Q738" s="8" t="str">
        <f t="shared" si="114"/>
        <v>FALSE</v>
      </c>
      <c r="R738" s="9" t="b">
        <f t="shared" si="115"/>
        <v>1</v>
      </c>
      <c r="S738" s="8" t="b">
        <f t="shared" si="116"/>
        <v>0</v>
      </c>
      <c r="T738" s="10" t="b">
        <f t="shared" si="117"/>
        <v>1</v>
      </c>
      <c r="U738" s="8" t="str">
        <f t="shared" si="118"/>
        <v>FALSE</v>
      </c>
      <c r="V738" s="11" t="str">
        <f t="shared" si="119"/>
        <v>TRUE</v>
      </c>
    </row>
    <row r="739" spans="1:22" ht="15.75">
      <c r="A739" s="21">
        <v>737</v>
      </c>
      <c r="B739" s="5" t="s">
        <v>2159</v>
      </c>
      <c r="C739" s="23" t="s">
        <v>3403</v>
      </c>
      <c r="D739" s="23" t="s">
        <v>17</v>
      </c>
      <c r="E739" s="5" t="s">
        <v>2160</v>
      </c>
      <c r="F739" s="71" t="s">
        <v>6106</v>
      </c>
      <c r="G739" s="22" t="s">
        <v>216</v>
      </c>
      <c r="H739" s="5" t="s">
        <v>94</v>
      </c>
      <c r="I739" s="5" t="s">
        <v>42</v>
      </c>
      <c r="J739" s="5" t="s">
        <v>5009</v>
      </c>
      <c r="K739" s="5" t="s">
        <v>2161</v>
      </c>
      <c r="L739" s="22"/>
      <c r="M739" s="8" t="str">
        <f t="shared" si="110"/>
        <v>Ok</v>
      </c>
      <c r="N739" s="9" t="b">
        <f t="shared" si="111"/>
        <v>1</v>
      </c>
      <c r="O739" s="9" t="b">
        <f t="shared" si="112"/>
        <v>1</v>
      </c>
      <c r="P739" s="8" t="str">
        <f t="shared" si="113"/>
        <v>FALSE</v>
      </c>
      <c r="Q739" s="8" t="str">
        <f t="shared" si="114"/>
        <v>FALSE</v>
      </c>
      <c r="R739" s="9" t="b">
        <f t="shared" si="115"/>
        <v>0</v>
      </c>
      <c r="S739" s="8" t="b">
        <f t="shared" si="116"/>
        <v>0</v>
      </c>
      <c r="T739" s="10" t="b">
        <f t="shared" si="117"/>
        <v>1</v>
      </c>
      <c r="U739" s="8" t="str">
        <f t="shared" si="118"/>
        <v>TRUE</v>
      </c>
      <c r="V739" s="11" t="str">
        <f t="shared" si="119"/>
        <v>TRUE</v>
      </c>
    </row>
    <row r="740" spans="1:22" ht="15.75">
      <c r="A740" s="21">
        <v>738</v>
      </c>
      <c r="B740" s="5" t="s">
        <v>2162</v>
      </c>
      <c r="C740" s="23" t="s">
        <v>3404</v>
      </c>
      <c r="D740" s="23" t="s">
        <v>17</v>
      </c>
      <c r="E740" s="5" t="s">
        <v>2163</v>
      </c>
      <c r="F740" s="71" t="s">
        <v>6106</v>
      </c>
      <c r="G740" s="22" t="s">
        <v>3933</v>
      </c>
      <c r="H740" s="5" t="s">
        <v>3932</v>
      </c>
      <c r="I740" s="5" t="s">
        <v>67</v>
      </c>
      <c r="J740" s="5" t="s">
        <v>4850</v>
      </c>
      <c r="K740" s="5">
        <v>830528658</v>
      </c>
      <c r="L740" s="22"/>
      <c r="M740" s="8" t="str">
        <f t="shared" si="110"/>
        <v>Ok</v>
      </c>
      <c r="N740" s="9" t="b">
        <f t="shared" si="111"/>
        <v>1</v>
      </c>
      <c r="O740" s="9" t="b">
        <f t="shared" si="112"/>
        <v>1</v>
      </c>
      <c r="P740" s="8" t="str">
        <f t="shared" si="113"/>
        <v>FALSE</v>
      </c>
      <c r="Q740" s="8" t="str">
        <f t="shared" si="114"/>
        <v>FALSE</v>
      </c>
      <c r="R740" s="9" t="b">
        <f t="shared" si="115"/>
        <v>0</v>
      </c>
      <c r="S740" s="8" t="b">
        <f t="shared" si="116"/>
        <v>0</v>
      </c>
      <c r="T740" s="10" t="b">
        <f t="shared" si="117"/>
        <v>0</v>
      </c>
      <c r="U740" s="8" t="str">
        <f t="shared" si="118"/>
        <v>TRUE</v>
      </c>
      <c r="V740" s="11" t="str">
        <f t="shared" si="119"/>
        <v>FALSE</v>
      </c>
    </row>
    <row r="741" spans="1:22" ht="15.75">
      <c r="A741" s="21">
        <v>739</v>
      </c>
      <c r="B741" s="5" t="s">
        <v>2164</v>
      </c>
      <c r="C741" s="23" t="s">
        <v>3046</v>
      </c>
      <c r="D741" s="23" t="s">
        <v>34</v>
      </c>
      <c r="E741" s="5" t="s">
        <v>2165</v>
      </c>
      <c r="F741" s="71" t="s">
        <v>6106</v>
      </c>
      <c r="G741" s="22" t="s">
        <v>40</v>
      </c>
      <c r="H741" s="5" t="s">
        <v>41</v>
      </c>
      <c r="I741" s="5" t="s">
        <v>14</v>
      </c>
      <c r="J741" s="5" t="s">
        <v>5545</v>
      </c>
      <c r="K741" s="5" t="s">
        <v>2166</v>
      </c>
      <c r="L741" s="22"/>
      <c r="M741" s="8" t="str">
        <f t="shared" si="110"/>
        <v>Ok</v>
      </c>
      <c r="N741" s="9" t="b">
        <f t="shared" si="111"/>
        <v>0</v>
      </c>
      <c r="O741" s="9" t="b">
        <f t="shared" si="112"/>
        <v>0</v>
      </c>
      <c r="P741" s="8" t="str">
        <f t="shared" si="113"/>
        <v>FALSE</v>
      </c>
      <c r="Q741" s="8" t="str">
        <f t="shared" si="114"/>
        <v>FALSE</v>
      </c>
      <c r="R741" s="9" t="b">
        <f t="shared" si="115"/>
        <v>1</v>
      </c>
      <c r="S741" s="8" t="b">
        <f t="shared" si="116"/>
        <v>0</v>
      </c>
      <c r="T741" s="10" t="b">
        <f t="shared" si="117"/>
        <v>1</v>
      </c>
      <c r="U741" s="8" t="str">
        <f t="shared" si="118"/>
        <v>FALSE</v>
      </c>
      <c r="V741" s="11" t="str">
        <f t="shared" si="119"/>
        <v>FALSE</v>
      </c>
    </row>
    <row r="742" spans="1:22" ht="15.75">
      <c r="A742" s="21">
        <v>740</v>
      </c>
      <c r="B742" s="5" t="s">
        <v>2167</v>
      </c>
      <c r="C742" s="23" t="s">
        <v>3100</v>
      </c>
      <c r="D742" s="23" t="s">
        <v>77</v>
      </c>
      <c r="E742" s="5" t="s">
        <v>2168</v>
      </c>
      <c r="F742" s="71" t="s">
        <v>6106</v>
      </c>
      <c r="G742" s="22" t="s">
        <v>179</v>
      </c>
      <c r="H742" s="22" t="s">
        <v>3932</v>
      </c>
      <c r="I742" s="5" t="s">
        <v>56</v>
      </c>
      <c r="J742" s="5" t="s">
        <v>5329</v>
      </c>
      <c r="K742" s="5" t="s">
        <v>2169</v>
      </c>
      <c r="L742" s="22"/>
      <c r="M742" s="8" t="str">
        <f t="shared" si="110"/>
        <v>Ok</v>
      </c>
      <c r="N742" s="9" t="b">
        <f t="shared" si="111"/>
        <v>0</v>
      </c>
      <c r="O742" s="9" t="b">
        <f t="shared" si="112"/>
        <v>0</v>
      </c>
      <c r="P742" s="8" t="str">
        <f t="shared" si="113"/>
        <v>FALSE</v>
      </c>
      <c r="Q742" s="8" t="str">
        <f t="shared" si="114"/>
        <v>FALSE</v>
      </c>
      <c r="R742" s="9" t="b">
        <f t="shared" si="115"/>
        <v>1</v>
      </c>
      <c r="S742" s="8" t="b">
        <f t="shared" si="116"/>
        <v>0</v>
      </c>
      <c r="T742" s="10" t="b">
        <f t="shared" si="117"/>
        <v>1</v>
      </c>
      <c r="U742" s="8" t="str">
        <f t="shared" si="118"/>
        <v>TRUE</v>
      </c>
      <c r="V742" s="11" t="str">
        <f t="shared" si="119"/>
        <v>TRUE</v>
      </c>
    </row>
    <row r="743" spans="1:22" ht="15.75">
      <c r="A743" s="21">
        <v>741</v>
      </c>
      <c r="B743" s="5" t="s">
        <v>2170</v>
      </c>
      <c r="C743" s="23" t="s">
        <v>2940</v>
      </c>
      <c r="D743" s="23" t="s">
        <v>17</v>
      </c>
      <c r="E743" s="5" t="s">
        <v>2171</v>
      </c>
      <c r="F743" s="71" t="s">
        <v>6106</v>
      </c>
      <c r="G743" s="22" t="s">
        <v>119</v>
      </c>
      <c r="H743" s="5" t="s">
        <v>86</v>
      </c>
      <c r="I743" s="5" t="s">
        <v>21</v>
      </c>
      <c r="J743" s="5" t="s">
        <v>5313</v>
      </c>
      <c r="K743" s="5" t="s">
        <v>2172</v>
      </c>
      <c r="L743" s="22"/>
      <c r="M743" s="8" t="str">
        <f t="shared" si="110"/>
        <v>Ok</v>
      </c>
      <c r="N743" s="9" t="b">
        <f t="shared" si="111"/>
        <v>0</v>
      </c>
      <c r="O743" s="9" t="b">
        <f t="shared" si="112"/>
        <v>1</v>
      </c>
      <c r="P743" s="8" t="str">
        <f t="shared" si="113"/>
        <v>FALSE</v>
      </c>
      <c r="Q743" s="8" t="str">
        <f t="shared" si="114"/>
        <v>FALSE</v>
      </c>
      <c r="R743" s="9" t="b">
        <f t="shared" si="115"/>
        <v>0</v>
      </c>
      <c r="S743" s="8" t="b">
        <f t="shared" si="116"/>
        <v>0</v>
      </c>
      <c r="T743" s="10" t="b">
        <f t="shared" si="117"/>
        <v>0</v>
      </c>
      <c r="U743" s="8" t="str">
        <f t="shared" si="118"/>
        <v>TRUE</v>
      </c>
      <c r="V743" s="11" t="str">
        <f t="shared" si="119"/>
        <v>FALSE</v>
      </c>
    </row>
    <row r="744" spans="1:22" ht="15.75">
      <c r="A744" s="21">
        <v>742</v>
      </c>
      <c r="B744" s="5" t="s">
        <v>2173</v>
      </c>
      <c r="C744" s="23" t="s">
        <v>3047</v>
      </c>
      <c r="D744" s="23" t="s">
        <v>34</v>
      </c>
      <c r="E744" s="5" t="s">
        <v>2174</v>
      </c>
      <c r="F744" s="71" t="s">
        <v>6106</v>
      </c>
      <c r="G744" s="22" t="s">
        <v>74</v>
      </c>
      <c r="H744" s="5" t="s">
        <v>71</v>
      </c>
      <c r="I744" s="5" t="s">
        <v>14</v>
      </c>
      <c r="J744" s="5" t="s">
        <v>5512</v>
      </c>
      <c r="K744" s="5" t="s">
        <v>2175</v>
      </c>
      <c r="L744" s="22"/>
      <c r="M744" s="8" t="str">
        <f t="shared" si="110"/>
        <v>Ok</v>
      </c>
      <c r="N744" s="9" t="b">
        <f t="shared" si="111"/>
        <v>0</v>
      </c>
      <c r="O744" s="9" t="b">
        <f t="shared" si="112"/>
        <v>0</v>
      </c>
      <c r="P744" s="8" t="str">
        <f t="shared" si="113"/>
        <v>FALSE</v>
      </c>
      <c r="Q744" s="8" t="str">
        <f t="shared" si="114"/>
        <v>FALSE</v>
      </c>
      <c r="R744" s="9" t="b">
        <f t="shared" si="115"/>
        <v>0</v>
      </c>
      <c r="S744" s="8" t="b">
        <f t="shared" si="116"/>
        <v>1</v>
      </c>
      <c r="T744" s="10" t="b">
        <f t="shared" si="117"/>
        <v>1</v>
      </c>
      <c r="U744" s="8" t="str">
        <f t="shared" si="118"/>
        <v>FALSE</v>
      </c>
      <c r="V744" s="11" t="str">
        <f t="shared" si="119"/>
        <v>TRUE</v>
      </c>
    </row>
    <row r="745" spans="1:22" ht="15.75">
      <c r="A745" s="21">
        <v>743</v>
      </c>
      <c r="B745" s="5" t="s">
        <v>2176</v>
      </c>
      <c r="C745" s="23" t="s">
        <v>3405</v>
      </c>
      <c r="D745" s="23" t="s">
        <v>17</v>
      </c>
      <c r="E745" s="5" t="s">
        <v>2177</v>
      </c>
      <c r="F745" s="71" t="s">
        <v>6106</v>
      </c>
      <c r="G745" s="22" t="s">
        <v>3933</v>
      </c>
      <c r="H745" s="5" t="s">
        <v>3932</v>
      </c>
      <c r="I745" s="5" t="s">
        <v>50</v>
      </c>
      <c r="J745" s="5" t="s">
        <v>4868</v>
      </c>
      <c r="K745" s="5" t="s">
        <v>2178</v>
      </c>
      <c r="L745" s="22"/>
      <c r="M745" s="8" t="str">
        <f t="shared" si="110"/>
        <v>Ok</v>
      </c>
      <c r="N745" s="9" t="b">
        <f t="shared" si="111"/>
        <v>1</v>
      </c>
      <c r="O745" s="9" t="b">
        <f t="shared" si="112"/>
        <v>1</v>
      </c>
      <c r="P745" s="8" t="str">
        <f t="shared" si="113"/>
        <v>FALSE</v>
      </c>
      <c r="Q745" s="8" t="str">
        <f t="shared" si="114"/>
        <v>FALSE</v>
      </c>
      <c r="R745" s="9" t="b">
        <f t="shared" si="115"/>
        <v>0</v>
      </c>
      <c r="S745" s="8" t="b">
        <f t="shared" si="116"/>
        <v>0</v>
      </c>
      <c r="T745" s="10" t="b">
        <f t="shared" si="117"/>
        <v>0</v>
      </c>
      <c r="U745" s="8" t="str">
        <f t="shared" si="118"/>
        <v>TRUE</v>
      </c>
      <c r="V745" s="11" t="str">
        <f t="shared" si="119"/>
        <v>TRUE</v>
      </c>
    </row>
    <row r="746" spans="1:22" ht="15.75">
      <c r="A746" s="21">
        <v>744</v>
      </c>
      <c r="B746" s="5" t="s">
        <v>2179</v>
      </c>
      <c r="C746" s="23" t="s">
        <v>2941</v>
      </c>
      <c r="D746" s="23" t="s">
        <v>17</v>
      </c>
      <c r="E746" s="5" t="s">
        <v>2180</v>
      </c>
      <c r="F746" s="71" t="s">
        <v>6106</v>
      </c>
      <c r="G746" s="22" t="s">
        <v>85</v>
      </c>
      <c r="H746" s="5" t="s">
        <v>86</v>
      </c>
      <c r="I746" s="5" t="s">
        <v>50</v>
      </c>
      <c r="J746" s="5" t="s">
        <v>5325</v>
      </c>
      <c r="K746" s="5" t="s">
        <v>2181</v>
      </c>
      <c r="L746" s="22"/>
      <c r="M746" s="8" t="str">
        <f t="shared" si="110"/>
        <v>Ok</v>
      </c>
      <c r="N746" s="9" t="b">
        <f t="shared" si="111"/>
        <v>0</v>
      </c>
      <c r="O746" s="9" t="b">
        <f t="shared" si="112"/>
        <v>1</v>
      </c>
      <c r="P746" s="8" t="str">
        <f t="shared" si="113"/>
        <v>FALSE</v>
      </c>
      <c r="Q746" s="8" t="str">
        <f t="shared" si="114"/>
        <v>FALSE</v>
      </c>
      <c r="R746" s="9" t="b">
        <f t="shared" si="115"/>
        <v>1</v>
      </c>
      <c r="S746" s="8" t="b">
        <f t="shared" si="116"/>
        <v>0</v>
      </c>
      <c r="T746" s="10" t="b">
        <f t="shared" si="117"/>
        <v>0</v>
      </c>
      <c r="U746" s="8" t="str">
        <f t="shared" si="118"/>
        <v>TRUE</v>
      </c>
      <c r="V746" s="11" t="str">
        <f t="shared" si="119"/>
        <v>TRUE</v>
      </c>
    </row>
    <row r="747" spans="1:22" ht="15.75">
      <c r="A747" s="21">
        <v>745</v>
      </c>
      <c r="B747" s="5" t="s">
        <v>2182</v>
      </c>
      <c r="C747" s="23" t="s">
        <v>3406</v>
      </c>
      <c r="D747" s="23" t="s">
        <v>17</v>
      </c>
      <c r="E747" s="5" t="s">
        <v>2183</v>
      </c>
      <c r="F747" s="71" t="s">
        <v>6106</v>
      </c>
      <c r="G747" s="22" t="s">
        <v>216</v>
      </c>
      <c r="H747" s="5" t="s">
        <v>217</v>
      </c>
      <c r="I747" s="5" t="s">
        <v>42</v>
      </c>
      <c r="J747" s="5" t="s">
        <v>5463</v>
      </c>
      <c r="K747" s="5" t="s">
        <v>2184</v>
      </c>
      <c r="L747" s="22"/>
      <c r="M747" s="8" t="str">
        <f t="shared" si="110"/>
        <v>Ok</v>
      </c>
      <c r="N747" s="9" t="b">
        <f t="shared" si="111"/>
        <v>1</v>
      </c>
      <c r="O747" s="9" t="b">
        <f t="shared" si="112"/>
        <v>1</v>
      </c>
      <c r="P747" s="8" t="str">
        <f t="shared" si="113"/>
        <v>FALSE</v>
      </c>
      <c r="Q747" s="8" t="str">
        <f t="shared" si="114"/>
        <v>FALSE</v>
      </c>
      <c r="R747" s="9" t="b">
        <f t="shared" si="115"/>
        <v>0</v>
      </c>
      <c r="S747" s="8" t="b">
        <f t="shared" si="116"/>
        <v>0</v>
      </c>
      <c r="T747" s="10" t="b">
        <f t="shared" si="117"/>
        <v>1</v>
      </c>
      <c r="U747" s="8" t="str">
        <f t="shared" si="118"/>
        <v>FALSE</v>
      </c>
      <c r="V747" s="11" t="str">
        <f t="shared" si="119"/>
        <v>TRUE</v>
      </c>
    </row>
    <row r="748" spans="1:22" ht="15.75">
      <c r="A748" s="21">
        <v>746</v>
      </c>
      <c r="B748" s="5" t="s">
        <v>2185</v>
      </c>
      <c r="C748" s="23" t="s">
        <v>3048</v>
      </c>
      <c r="D748" s="23" t="s">
        <v>34</v>
      </c>
      <c r="E748" s="5" t="s">
        <v>1302</v>
      </c>
      <c r="F748" s="71" t="s">
        <v>6106</v>
      </c>
      <c r="G748" s="22" t="s">
        <v>40</v>
      </c>
      <c r="H748" s="5" t="s">
        <v>41</v>
      </c>
      <c r="I748" s="5" t="s">
        <v>42</v>
      </c>
      <c r="J748" s="5" t="s">
        <v>5640</v>
      </c>
      <c r="K748" s="5" t="s">
        <v>2186</v>
      </c>
      <c r="L748" s="22"/>
      <c r="M748" s="8" t="str">
        <f t="shared" si="110"/>
        <v>Ok</v>
      </c>
      <c r="N748" s="9" t="b">
        <f t="shared" si="111"/>
        <v>0</v>
      </c>
      <c r="O748" s="9" t="b">
        <f t="shared" si="112"/>
        <v>0</v>
      </c>
      <c r="P748" s="8" t="str">
        <f t="shared" si="113"/>
        <v>FALSE</v>
      </c>
      <c r="Q748" s="8" t="str">
        <f t="shared" si="114"/>
        <v>FALSE</v>
      </c>
      <c r="R748" s="9" t="b">
        <f t="shared" si="115"/>
        <v>1</v>
      </c>
      <c r="S748" s="8" t="b">
        <f t="shared" si="116"/>
        <v>0</v>
      </c>
      <c r="T748" s="10" t="b">
        <f t="shared" si="117"/>
        <v>1</v>
      </c>
      <c r="U748" s="8" t="str">
        <f t="shared" si="118"/>
        <v>FALSE</v>
      </c>
      <c r="V748" s="11" t="str">
        <f t="shared" si="119"/>
        <v>TRUE</v>
      </c>
    </row>
    <row r="749" spans="1:22" ht="15.75">
      <c r="A749" s="21">
        <v>747</v>
      </c>
      <c r="B749" s="5" t="s">
        <v>2187</v>
      </c>
      <c r="C749" s="23" t="s">
        <v>3735</v>
      </c>
      <c r="D749" s="23" t="s">
        <v>59</v>
      </c>
      <c r="E749" s="5" t="s">
        <v>2188</v>
      </c>
      <c r="F749" s="71" t="s">
        <v>6106</v>
      </c>
      <c r="G749" s="22" t="s">
        <v>3934</v>
      </c>
      <c r="H749" s="5" t="s">
        <v>13</v>
      </c>
      <c r="I749" s="5" t="s">
        <v>14</v>
      </c>
      <c r="J749" s="5" t="s">
        <v>5227</v>
      </c>
      <c r="K749" s="5" t="s">
        <v>2189</v>
      </c>
      <c r="L749" s="22"/>
      <c r="M749" s="8" t="str">
        <f t="shared" si="110"/>
        <v>Ok</v>
      </c>
      <c r="N749" s="9" t="b">
        <f t="shared" si="111"/>
        <v>0</v>
      </c>
      <c r="O749" s="9" t="b">
        <f t="shared" si="112"/>
        <v>1</v>
      </c>
      <c r="P749" s="8" t="str">
        <f t="shared" si="113"/>
        <v>FALSE</v>
      </c>
      <c r="Q749" s="8" t="str">
        <f t="shared" si="114"/>
        <v>FALSE</v>
      </c>
      <c r="R749" s="9" t="b">
        <f t="shared" si="115"/>
        <v>0</v>
      </c>
      <c r="S749" s="8" t="b">
        <f t="shared" si="116"/>
        <v>0</v>
      </c>
      <c r="T749" s="10" t="b">
        <f t="shared" si="117"/>
        <v>1</v>
      </c>
      <c r="U749" s="8" t="str">
        <f t="shared" si="118"/>
        <v>TRUE</v>
      </c>
      <c r="V749" s="11" t="str">
        <f t="shared" si="119"/>
        <v>TRUE</v>
      </c>
    </row>
    <row r="750" spans="1:22" ht="15.75">
      <c r="A750" s="21">
        <v>748</v>
      </c>
      <c r="B750" s="5" t="s">
        <v>2190</v>
      </c>
      <c r="C750" s="23" t="s">
        <v>3049</v>
      </c>
      <c r="D750" s="23" t="s">
        <v>34</v>
      </c>
      <c r="E750" s="5" t="s">
        <v>2191</v>
      </c>
      <c r="F750" s="71" t="s">
        <v>6106</v>
      </c>
      <c r="G750" s="22" t="s">
        <v>179</v>
      </c>
      <c r="H750" s="5" t="s">
        <v>3932</v>
      </c>
      <c r="I750" s="5" t="s">
        <v>67</v>
      </c>
      <c r="J750" s="5" t="s">
        <v>5368</v>
      </c>
      <c r="K750" s="5" t="s">
        <v>2192</v>
      </c>
      <c r="L750" s="22"/>
      <c r="M750" s="8" t="str">
        <f t="shared" si="110"/>
        <v>Ok</v>
      </c>
      <c r="N750" s="9" t="b">
        <f t="shared" si="111"/>
        <v>0</v>
      </c>
      <c r="O750" s="9" t="b">
        <f t="shared" si="112"/>
        <v>0</v>
      </c>
      <c r="P750" s="8" t="str">
        <f t="shared" si="113"/>
        <v>FALSE</v>
      </c>
      <c r="Q750" s="8" t="str">
        <f t="shared" si="114"/>
        <v>FALSE</v>
      </c>
      <c r="R750" s="9" t="b">
        <f t="shared" si="115"/>
        <v>1</v>
      </c>
      <c r="S750" s="8" t="b">
        <f t="shared" si="116"/>
        <v>0</v>
      </c>
      <c r="T750" s="10" t="b">
        <f t="shared" si="117"/>
        <v>0</v>
      </c>
      <c r="U750" s="8" t="str">
        <f t="shared" si="118"/>
        <v>TRUE</v>
      </c>
      <c r="V750" s="11" t="str">
        <f t="shared" si="119"/>
        <v>TRUE</v>
      </c>
    </row>
    <row r="751" spans="1:22" ht="15.75">
      <c r="A751" s="21">
        <v>749</v>
      </c>
      <c r="B751" s="5" t="s">
        <v>2193</v>
      </c>
      <c r="C751" s="23" t="s">
        <v>3169</v>
      </c>
      <c r="D751" s="23" t="s">
        <v>77</v>
      </c>
      <c r="E751" s="5" t="s">
        <v>2194</v>
      </c>
      <c r="F751" s="71" t="s">
        <v>6106</v>
      </c>
      <c r="G751" s="22" t="s">
        <v>179</v>
      </c>
      <c r="H751" s="5" t="s">
        <v>3932</v>
      </c>
      <c r="I751" s="5" t="s">
        <v>21</v>
      </c>
      <c r="J751" s="5" t="s">
        <v>4833</v>
      </c>
      <c r="K751" s="5" t="s">
        <v>2195</v>
      </c>
      <c r="L751" s="22"/>
      <c r="M751" s="8" t="str">
        <f t="shared" si="110"/>
        <v>Ok</v>
      </c>
      <c r="N751" s="9" t="b">
        <f t="shared" si="111"/>
        <v>0</v>
      </c>
      <c r="O751" s="9" t="b">
        <f t="shared" si="112"/>
        <v>0</v>
      </c>
      <c r="P751" s="8" t="str">
        <f t="shared" si="113"/>
        <v>FALSE</v>
      </c>
      <c r="Q751" s="8" t="str">
        <f t="shared" si="114"/>
        <v>FALSE</v>
      </c>
      <c r="R751" s="9" t="b">
        <f t="shared" si="115"/>
        <v>1</v>
      </c>
      <c r="S751" s="8" t="b">
        <f t="shared" si="116"/>
        <v>0</v>
      </c>
      <c r="T751" s="10" t="b">
        <f t="shared" si="117"/>
        <v>0</v>
      </c>
      <c r="U751" s="8" t="str">
        <f t="shared" si="118"/>
        <v>TRUE</v>
      </c>
      <c r="V751" s="11" t="str">
        <f t="shared" si="119"/>
        <v>TRUE</v>
      </c>
    </row>
    <row r="752" spans="1:22" ht="15.75">
      <c r="A752" s="21">
        <v>750</v>
      </c>
      <c r="B752" s="5" t="s">
        <v>3959</v>
      </c>
      <c r="C752" s="23" t="s">
        <v>2937</v>
      </c>
      <c r="D752" s="23" t="s">
        <v>17</v>
      </c>
      <c r="E752" s="5" t="s">
        <v>2196</v>
      </c>
      <c r="F752" s="71" t="s">
        <v>6106</v>
      </c>
      <c r="G752" s="22" t="s">
        <v>119</v>
      </c>
      <c r="H752" s="5" t="s">
        <v>86</v>
      </c>
      <c r="I752" s="5" t="s">
        <v>26</v>
      </c>
      <c r="J752" s="5" t="s">
        <v>4861</v>
      </c>
      <c r="K752" s="5">
        <v>882198863</v>
      </c>
      <c r="L752" s="22"/>
      <c r="M752" s="8" t="str">
        <f t="shared" si="110"/>
        <v>Ok</v>
      </c>
      <c r="N752" s="9" t="b">
        <f t="shared" si="111"/>
        <v>0</v>
      </c>
      <c r="O752" s="9" t="b">
        <f t="shared" si="112"/>
        <v>1</v>
      </c>
      <c r="P752" s="8" t="str">
        <f t="shared" si="113"/>
        <v>FALSE</v>
      </c>
      <c r="Q752" s="8" t="str">
        <f t="shared" si="114"/>
        <v>FALSE</v>
      </c>
      <c r="R752" s="9" t="b">
        <f t="shared" si="115"/>
        <v>0</v>
      </c>
      <c r="S752" s="8" t="b">
        <f t="shared" si="116"/>
        <v>0</v>
      </c>
      <c r="T752" s="10" t="b">
        <f t="shared" si="117"/>
        <v>0</v>
      </c>
      <c r="U752" s="8" t="str">
        <f t="shared" si="118"/>
        <v>TRUE</v>
      </c>
      <c r="V752" s="11" t="str">
        <f t="shared" si="119"/>
        <v>FALSE</v>
      </c>
    </row>
    <row r="753" spans="1:22" ht="15.75">
      <c r="A753" s="21">
        <v>751</v>
      </c>
      <c r="B753" s="5" t="s">
        <v>2197</v>
      </c>
      <c r="C753" s="23" t="s">
        <v>3637</v>
      </c>
      <c r="D753" s="23" t="s">
        <v>59</v>
      </c>
      <c r="E753" s="5" t="s">
        <v>2198</v>
      </c>
      <c r="F753" s="71" t="s">
        <v>6106</v>
      </c>
      <c r="G753" s="22" t="s">
        <v>160</v>
      </c>
      <c r="H753" s="5" t="s">
        <v>36</v>
      </c>
      <c r="I753" s="5" t="s">
        <v>56</v>
      </c>
      <c r="J753" s="5" t="s">
        <v>5283</v>
      </c>
      <c r="K753" s="5" t="s">
        <v>2199</v>
      </c>
      <c r="L753" s="22"/>
      <c r="M753" s="8" t="str">
        <f t="shared" si="110"/>
        <v>Ok</v>
      </c>
      <c r="N753" s="9" t="b">
        <f t="shared" si="111"/>
        <v>1</v>
      </c>
      <c r="O753" s="9" t="b">
        <f t="shared" si="112"/>
        <v>1</v>
      </c>
      <c r="P753" s="8" t="str">
        <f t="shared" si="113"/>
        <v>FALSE</v>
      </c>
      <c r="Q753" s="8" t="str">
        <f t="shared" si="114"/>
        <v>FALSE</v>
      </c>
      <c r="R753" s="9" t="b">
        <f t="shared" si="115"/>
        <v>0</v>
      </c>
      <c r="S753" s="8" t="b">
        <f t="shared" si="116"/>
        <v>1</v>
      </c>
      <c r="T753" s="10" t="b">
        <f t="shared" si="117"/>
        <v>1</v>
      </c>
      <c r="U753" s="8" t="str">
        <f t="shared" si="118"/>
        <v>TRUE</v>
      </c>
      <c r="V753" s="11" t="str">
        <f t="shared" si="119"/>
        <v>TRUE</v>
      </c>
    </row>
    <row r="754" spans="1:22" ht="15.75">
      <c r="A754" s="21">
        <v>752</v>
      </c>
      <c r="B754" s="5" t="s">
        <v>2200</v>
      </c>
      <c r="C754" s="23" t="s">
        <v>3571</v>
      </c>
      <c r="D754" s="23" t="s">
        <v>59</v>
      </c>
      <c r="E754" s="5" t="s">
        <v>2201</v>
      </c>
      <c r="F754" s="71" t="s">
        <v>6106</v>
      </c>
      <c r="G754" s="22" t="s">
        <v>12</v>
      </c>
      <c r="H754" s="5" t="s">
        <v>13</v>
      </c>
      <c r="I754" s="5" t="s">
        <v>26</v>
      </c>
      <c r="J754" s="5" t="s">
        <v>5613</v>
      </c>
      <c r="K754" s="5" t="s">
        <v>2202</v>
      </c>
      <c r="L754" s="22"/>
      <c r="M754" s="8" t="str">
        <f t="shared" si="110"/>
        <v>Ok</v>
      </c>
      <c r="N754" s="9" t="b">
        <f t="shared" si="111"/>
        <v>1</v>
      </c>
      <c r="O754" s="9" t="b">
        <f t="shared" si="112"/>
        <v>1</v>
      </c>
      <c r="P754" s="8" t="str">
        <f t="shared" si="113"/>
        <v>FALSE</v>
      </c>
      <c r="Q754" s="8" t="str">
        <f t="shared" si="114"/>
        <v>FALSE</v>
      </c>
      <c r="R754" s="9" t="b">
        <f t="shared" si="115"/>
        <v>1</v>
      </c>
      <c r="S754" s="8" t="b">
        <f t="shared" si="116"/>
        <v>0</v>
      </c>
      <c r="T754" s="10" t="b">
        <f t="shared" si="117"/>
        <v>0</v>
      </c>
      <c r="U754" s="8" t="str">
        <f t="shared" si="118"/>
        <v>FALSE</v>
      </c>
      <c r="V754" s="11" t="str">
        <f t="shared" si="119"/>
        <v>TRUE</v>
      </c>
    </row>
    <row r="755" spans="1:22" ht="15.75">
      <c r="A755" s="21">
        <v>753</v>
      </c>
      <c r="B755" s="5" t="s">
        <v>2203</v>
      </c>
      <c r="C755" s="23" t="s">
        <v>2939</v>
      </c>
      <c r="D755" s="23" t="s">
        <v>17</v>
      </c>
      <c r="E755" s="5" t="s">
        <v>2204</v>
      </c>
      <c r="F755" s="71" t="s">
        <v>6106</v>
      </c>
      <c r="G755" s="22" t="s">
        <v>85</v>
      </c>
      <c r="H755" s="5" t="s">
        <v>120</v>
      </c>
      <c r="I755" s="5" t="s">
        <v>50</v>
      </c>
      <c r="J755" s="5" t="s">
        <v>4809</v>
      </c>
      <c r="K755" s="5" t="s">
        <v>2205</v>
      </c>
      <c r="L755" s="22"/>
      <c r="M755" s="8" t="str">
        <f t="shared" si="110"/>
        <v>Ok</v>
      </c>
      <c r="N755" s="9" t="b">
        <f t="shared" si="111"/>
        <v>0</v>
      </c>
      <c r="O755" s="9" t="b">
        <f t="shared" si="112"/>
        <v>1</v>
      </c>
      <c r="P755" s="8" t="str">
        <f t="shared" si="113"/>
        <v>FALSE</v>
      </c>
      <c r="Q755" s="8" t="str">
        <f t="shared" si="114"/>
        <v>FALSE</v>
      </c>
      <c r="R755" s="9" t="b">
        <f t="shared" si="115"/>
        <v>1</v>
      </c>
      <c r="S755" s="8" t="b">
        <f t="shared" si="116"/>
        <v>1</v>
      </c>
      <c r="T755" s="10" t="b">
        <f t="shared" si="117"/>
        <v>0</v>
      </c>
      <c r="U755" s="8" t="str">
        <f t="shared" si="118"/>
        <v>TRUE</v>
      </c>
      <c r="V755" s="11" t="str">
        <f t="shared" si="119"/>
        <v>TRUE</v>
      </c>
    </row>
    <row r="756" spans="1:22" ht="15.75">
      <c r="A756" s="21">
        <v>754</v>
      </c>
      <c r="B756" s="5" t="s">
        <v>2206</v>
      </c>
      <c r="C756" s="23" t="s">
        <v>3261</v>
      </c>
      <c r="D756" s="23" t="s">
        <v>77</v>
      </c>
      <c r="E756" s="5" t="s">
        <v>2207</v>
      </c>
      <c r="F756" s="71" t="s">
        <v>6106</v>
      </c>
      <c r="G756" s="22" t="s">
        <v>179</v>
      </c>
      <c r="H756" s="5" t="s">
        <v>3932</v>
      </c>
      <c r="I756" s="5" t="s">
        <v>42</v>
      </c>
      <c r="J756" s="5" t="s">
        <v>5242</v>
      </c>
      <c r="K756" s="5" t="s">
        <v>2208</v>
      </c>
      <c r="L756" s="22"/>
      <c r="M756" s="8" t="str">
        <f t="shared" si="110"/>
        <v>Ok</v>
      </c>
      <c r="N756" s="9" t="b">
        <f t="shared" si="111"/>
        <v>1</v>
      </c>
      <c r="O756" s="9" t="b">
        <f t="shared" si="112"/>
        <v>0</v>
      </c>
      <c r="P756" s="8" t="str">
        <f t="shared" si="113"/>
        <v>FALSE</v>
      </c>
      <c r="Q756" s="8" t="str">
        <f t="shared" si="114"/>
        <v>FALSE</v>
      </c>
      <c r="R756" s="9" t="b">
        <f t="shared" si="115"/>
        <v>1</v>
      </c>
      <c r="S756" s="8" t="b">
        <f t="shared" si="116"/>
        <v>0</v>
      </c>
      <c r="T756" s="10" t="b">
        <f t="shared" si="117"/>
        <v>1</v>
      </c>
      <c r="U756" s="8" t="str">
        <f t="shared" si="118"/>
        <v>TRUE</v>
      </c>
      <c r="V756" s="11" t="str">
        <f t="shared" si="119"/>
        <v>TRUE</v>
      </c>
    </row>
    <row r="757" spans="1:22" ht="15.75">
      <c r="A757" s="21">
        <v>755</v>
      </c>
      <c r="B757" s="5" t="s">
        <v>2209</v>
      </c>
      <c r="C757" s="23" t="s">
        <v>3170</v>
      </c>
      <c r="D757" s="23" t="s">
        <v>77</v>
      </c>
      <c r="E757" s="5" t="s">
        <v>1813</v>
      </c>
      <c r="F757" s="71" t="s">
        <v>6106</v>
      </c>
      <c r="G757" s="22" t="s">
        <v>179</v>
      </c>
      <c r="H757" s="5" t="s">
        <v>3932</v>
      </c>
      <c r="I757" s="5" t="s">
        <v>21</v>
      </c>
      <c r="J757" s="5" t="s">
        <v>5327</v>
      </c>
      <c r="K757" s="5" t="s">
        <v>2210</v>
      </c>
      <c r="L757" s="22"/>
      <c r="M757" s="8" t="str">
        <f t="shared" si="110"/>
        <v>Ok</v>
      </c>
      <c r="N757" s="9" t="b">
        <f t="shared" si="111"/>
        <v>0</v>
      </c>
      <c r="O757" s="9" t="b">
        <f t="shared" si="112"/>
        <v>0</v>
      </c>
      <c r="P757" s="8" t="str">
        <f t="shared" si="113"/>
        <v>FALSE</v>
      </c>
      <c r="Q757" s="8" t="str">
        <f t="shared" si="114"/>
        <v>FALSE</v>
      </c>
      <c r="R757" s="9" t="b">
        <f t="shared" si="115"/>
        <v>1</v>
      </c>
      <c r="S757" s="8" t="b">
        <f t="shared" si="116"/>
        <v>0</v>
      </c>
      <c r="T757" s="10" t="b">
        <f t="shared" si="117"/>
        <v>0</v>
      </c>
      <c r="U757" s="8" t="str">
        <f t="shared" si="118"/>
        <v>TRUE</v>
      </c>
      <c r="V757" s="11" t="str">
        <f t="shared" si="119"/>
        <v>TRUE</v>
      </c>
    </row>
    <row r="758" spans="1:22" ht="15.75">
      <c r="A758" s="21">
        <v>756</v>
      </c>
      <c r="B758" s="5" t="s">
        <v>2211</v>
      </c>
      <c r="C758" s="23" t="s">
        <v>3801</v>
      </c>
      <c r="D758" s="23" t="s">
        <v>59</v>
      </c>
      <c r="E758" s="5" t="s">
        <v>2212</v>
      </c>
      <c r="F758" s="71" t="s">
        <v>6106</v>
      </c>
      <c r="G758" s="22" t="s">
        <v>24</v>
      </c>
      <c r="H758" s="5" t="s">
        <v>25</v>
      </c>
      <c r="I758" s="5" t="s">
        <v>67</v>
      </c>
      <c r="J758" s="5" t="s">
        <v>4793</v>
      </c>
      <c r="K758" s="5" t="s">
        <v>2213</v>
      </c>
      <c r="L758" s="22"/>
      <c r="M758" s="8" t="str">
        <f t="shared" si="110"/>
        <v>Ok</v>
      </c>
      <c r="N758" s="9" t="b">
        <f t="shared" si="111"/>
        <v>0</v>
      </c>
      <c r="O758" s="9" t="b">
        <f t="shared" si="112"/>
        <v>1</v>
      </c>
      <c r="P758" s="8" t="str">
        <f t="shared" si="113"/>
        <v>FALSE</v>
      </c>
      <c r="Q758" s="8" t="str">
        <f t="shared" si="114"/>
        <v>FALSE</v>
      </c>
      <c r="R758" s="9" t="b">
        <f t="shared" si="115"/>
        <v>0</v>
      </c>
      <c r="S758" s="8" t="b">
        <f t="shared" si="116"/>
        <v>0</v>
      </c>
      <c r="T758" s="10" t="b">
        <f t="shared" si="117"/>
        <v>0</v>
      </c>
      <c r="U758" s="8" t="str">
        <f t="shared" si="118"/>
        <v>TRUE</v>
      </c>
      <c r="V758" s="11" t="str">
        <f t="shared" si="119"/>
        <v>TRUE</v>
      </c>
    </row>
    <row r="759" spans="1:22" ht="15.75">
      <c r="A759" s="21">
        <v>757</v>
      </c>
      <c r="B759" s="5" t="s">
        <v>2214</v>
      </c>
      <c r="C759" s="23" t="s">
        <v>3315</v>
      </c>
      <c r="D759" s="23" t="s">
        <v>77</v>
      </c>
      <c r="E759" s="5" t="s">
        <v>2215</v>
      </c>
      <c r="F759" s="71" t="s">
        <v>6106</v>
      </c>
      <c r="G759" s="22" t="s">
        <v>179</v>
      </c>
      <c r="H759" s="5" t="s">
        <v>3932</v>
      </c>
      <c r="I759" s="5" t="s">
        <v>21</v>
      </c>
      <c r="J759" s="5" t="s">
        <v>4840</v>
      </c>
      <c r="K759" s="5">
        <v>89756465595</v>
      </c>
      <c r="L759" s="22"/>
      <c r="M759" s="8" t="str">
        <f t="shared" si="110"/>
        <v>Ok</v>
      </c>
      <c r="N759" s="9" t="b">
        <f t="shared" si="111"/>
        <v>1</v>
      </c>
      <c r="O759" s="9" t="b">
        <f t="shared" si="112"/>
        <v>0</v>
      </c>
      <c r="P759" s="8" t="str">
        <f t="shared" si="113"/>
        <v>FALSE</v>
      </c>
      <c r="Q759" s="8" t="str">
        <f t="shared" si="114"/>
        <v>FALSE</v>
      </c>
      <c r="R759" s="9" t="b">
        <f t="shared" si="115"/>
        <v>1</v>
      </c>
      <c r="S759" s="8" t="b">
        <f t="shared" si="116"/>
        <v>0</v>
      </c>
      <c r="T759" s="10" t="b">
        <f t="shared" si="117"/>
        <v>0</v>
      </c>
      <c r="U759" s="8" t="str">
        <f t="shared" si="118"/>
        <v>TRUE</v>
      </c>
      <c r="V759" s="11" t="str">
        <f t="shared" si="119"/>
        <v>FALSE</v>
      </c>
    </row>
    <row r="760" spans="1:22" ht="15.75">
      <c r="A760" s="21">
        <v>758</v>
      </c>
      <c r="B760" s="5" t="s">
        <v>2216</v>
      </c>
      <c r="C760" s="23" t="s">
        <v>3407</v>
      </c>
      <c r="D760" s="23" t="s">
        <v>17</v>
      </c>
      <c r="E760" s="5" t="s">
        <v>2217</v>
      </c>
      <c r="F760" s="71" t="s">
        <v>6106</v>
      </c>
      <c r="G760" s="22" t="s">
        <v>93</v>
      </c>
      <c r="H760" s="5" t="s">
        <v>94</v>
      </c>
      <c r="I760" s="5" t="s">
        <v>26</v>
      </c>
      <c r="J760" s="5" t="s">
        <v>4999</v>
      </c>
      <c r="K760" s="5" t="s">
        <v>2218</v>
      </c>
      <c r="L760" s="22"/>
      <c r="M760" s="8" t="str">
        <f t="shared" si="110"/>
        <v>Ok</v>
      </c>
      <c r="N760" s="9" t="b">
        <f t="shared" si="111"/>
        <v>1</v>
      </c>
      <c r="O760" s="9" t="b">
        <f t="shared" si="112"/>
        <v>1</v>
      </c>
      <c r="P760" s="8" t="str">
        <f t="shared" si="113"/>
        <v>FALSE</v>
      </c>
      <c r="Q760" s="8" t="str">
        <f t="shared" si="114"/>
        <v>FALSE</v>
      </c>
      <c r="R760" s="9" t="b">
        <f t="shared" si="115"/>
        <v>0</v>
      </c>
      <c r="S760" s="8" t="b">
        <f t="shared" si="116"/>
        <v>0</v>
      </c>
      <c r="T760" s="10" t="b">
        <f t="shared" si="117"/>
        <v>0</v>
      </c>
      <c r="U760" s="8" t="str">
        <f t="shared" si="118"/>
        <v>TRUE</v>
      </c>
      <c r="V760" s="11" t="str">
        <f t="shared" si="119"/>
        <v>TRUE</v>
      </c>
    </row>
    <row r="761" spans="1:22" ht="15.75">
      <c r="A761" s="21">
        <v>759</v>
      </c>
      <c r="B761" s="5" t="s">
        <v>2219</v>
      </c>
      <c r="C761" s="23" t="s">
        <v>3511</v>
      </c>
      <c r="D761" s="23" t="s">
        <v>77</v>
      </c>
      <c r="E761" s="5" t="s">
        <v>2220</v>
      </c>
      <c r="F761" s="71" t="s">
        <v>6106</v>
      </c>
      <c r="G761" s="22" t="s">
        <v>160</v>
      </c>
      <c r="H761" s="5" t="s">
        <v>3932</v>
      </c>
      <c r="I761" s="5" t="s">
        <v>26</v>
      </c>
      <c r="J761" s="5" t="s">
        <v>5727</v>
      </c>
      <c r="K761" s="5" t="s">
        <v>2221</v>
      </c>
      <c r="L761" s="22"/>
      <c r="M761" s="8" t="str">
        <f t="shared" si="110"/>
        <v>Ok</v>
      </c>
      <c r="N761" s="9" t="b">
        <f t="shared" si="111"/>
        <v>1</v>
      </c>
      <c r="O761" s="9" t="b">
        <f t="shared" si="112"/>
        <v>0</v>
      </c>
      <c r="P761" s="8" t="str">
        <f t="shared" si="113"/>
        <v>FALSE</v>
      </c>
      <c r="Q761" s="8" t="str">
        <f t="shared" si="114"/>
        <v>FALSE</v>
      </c>
      <c r="R761" s="9" t="b">
        <f t="shared" si="115"/>
        <v>0</v>
      </c>
      <c r="S761" s="8" t="b">
        <f t="shared" si="116"/>
        <v>0</v>
      </c>
      <c r="T761" s="10" t="b">
        <f t="shared" si="117"/>
        <v>0</v>
      </c>
      <c r="U761" s="8" t="str">
        <f t="shared" si="118"/>
        <v>FALSE</v>
      </c>
      <c r="V761" s="11" t="str">
        <f t="shared" si="119"/>
        <v>TRUE</v>
      </c>
    </row>
    <row r="762" spans="1:22" ht="15.75">
      <c r="A762" s="21">
        <v>760</v>
      </c>
      <c r="B762" s="5" t="s">
        <v>2222</v>
      </c>
      <c r="C762" s="23" t="s">
        <v>3171</v>
      </c>
      <c r="D762" s="23" t="s">
        <v>77</v>
      </c>
      <c r="E762" s="5" t="s">
        <v>2223</v>
      </c>
      <c r="F762" s="71" t="s">
        <v>6106</v>
      </c>
      <c r="G762" s="22" t="s">
        <v>179</v>
      </c>
      <c r="H762" s="22" t="s">
        <v>179</v>
      </c>
      <c r="I762" s="5" t="s">
        <v>50</v>
      </c>
      <c r="J762" s="5" t="s">
        <v>5644</v>
      </c>
      <c r="K762" s="5" t="s">
        <v>2224</v>
      </c>
      <c r="L762" s="22"/>
      <c r="M762" s="8" t="str">
        <f t="shared" si="110"/>
        <v>Ok</v>
      </c>
      <c r="N762" s="9" t="b">
        <f t="shared" si="111"/>
        <v>0</v>
      </c>
      <c r="O762" s="9" t="b">
        <f t="shared" si="112"/>
        <v>0</v>
      </c>
      <c r="P762" s="8" t="str">
        <f t="shared" si="113"/>
        <v>FALSE</v>
      </c>
      <c r="Q762" s="8" t="str">
        <f t="shared" si="114"/>
        <v>FALSE</v>
      </c>
      <c r="R762" s="9" t="b">
        <f t="shared" si="115"/>
        <v>1</v>
      </c>
      <c r="S762" s="8" t="b">
        <f t="shared" si="116"/>
        <v>1</v>
      </c>
      <c r="T762" s="10" t="b">
        <f t="shared" si="117"/>
        <v>0</v>
      </c>
      <c r="U762" s="8" t="str">
        <f t="shared" si="118"/>
        <v>FALSE</v>
      </c>
      <c r="V762" s="11" t="str">
        <f t="shared" si="119"/>
        <v>TRUE</v>
      </c>
    </row>
    <row r="763" spans="1:22" ht="15.75">
      <c r="A763" s="21">
        <v>761</v>
      </c>
      <c r="B763" s="5" t="s">
        <v>2225</v>
      </c>
      <c r="C763" s="23" t="s">
        <v>3638</v>
      </c>
      <c r="D763" s="23" t="s">
        <v>59</v>
      </c>
      <c r="E763" s="5" t="s">
        <v>2226</v>
      </c>
      <c r="F763" s="71" t="s">
        <v>6106</v>
      </c>
      <c r="G763" s="22" t="s">
        <v>179</v>
      </c>
      <c r="H763" s="5" t="s">
        <v>36</v>
      </c>
      <c r="I763" s="5" t="s">
        <v>14</v>
      </c>
      <c r="J763" s="5" t="s">
        <v>5361</v>
      </c>
      <c r="K763" s="5">
        <v>847846979</v>
      </c>
      <c r="L763" s="22"/>
      <c r="M763" s="8" t="str">
        <f t="shared" si="110"/>
        <v>Ok</v>
      </c>
      <c r="N763" s="9" t="b">
        <f t="shared" si="111"/>
        <v>1</v>
      </c>
      <c r="O763" s="9" t="b">
        <f t="shared" si="112"/>
        <v>1</v>
      </c>
      <c r="P763" s="8" t="str">
        <f t="shared" si="113"/>
        <v>FALSE</v>
      </c>
      <c r="Q763" s="8" t="str">
        <f t="shared" si="114"/>
        <v>FALSE</v>
      </c>
      <c r="R763" s="9" t="b">
        <f t="shared" si="115"/>
        <v>1</v>
      </c>
      <c r="S763" s="8" t="b">
        <f t="shared" si="116"/>
        <v>1</v>
      </c>
      <c r="T763" s="10" t="b">
        <f t="shared" si="117"/>
        <v>1</v>
      </c>
      <c r="U763" s="8" t="str">
        <f t="shared" si="118"/>
        <v>TRUE</v>
      </c>
      <c r="V763" s="11" t="str">
        <f t="shared" si="119"/>
        <v>FALSE</v>
      </c>
    </row>
    <row r="764" spans="1:22" ht="15.75">
      <c r="A764" s="21">
        <v>762</v>
      </c>
      <c r="B764" s="5" t="s">
        <v>2227</v>
      </c>
      <c r="C764" s="23" t="s">
        <v>3736</v>
      </c>
      <c r="D764" s="23" t="s">
        <v>59</v>
      </c>
      <c r="E764" s="5" t="s">
        <v>2228</v>
      </c>
      <c r="F764" s="71" t="s">
        <v>6106</v>
      </c>
      <c r="G764" s="22" t="s">
        <v>30</v>
      </c>
      <c r="H764" s="5" t="s">
        <v>31</v>
      </c>
      <c r="I764" s="5" t="s">
        <v>56</v>
      </c>
      <c r="J764" s="5" t="s">
        <v>5026</v>
      </c>
      <c r="K764" s="5" t="s">
        <v>2229</v>
      </c>
      <c r="L764" s="22"/>
      <c r="M764" s="8" t="str">
        <f t="shared" si="110"/>
        <v>Ok</v>
      </c>
      <c r="N764" s="9" t="b">
        <f t="shared" si="111"/>
        <v>0</v>
      </c>
      <c r="O764" s="9" t="b">
        <f t="shared" si="112"/>
        <v>1</v>
      </c>
      <c r="P764" s="8" t="str">
        <f t="shared" si="113"/>
        <v>FALSE</v>
      </c>
      <c r="Q764" s="8" t="str">
        <f t="shared" si="114"/>
        <v>FALSE</v>
      </c>
      <c r="R764" s="9" t="b">
        <f t="shared" si="115"/>
        <v>0</v>
      </c>
      <c r="S764" s="8" t="b">
        <f t="shared" si="116"/>
        <v>1</v>
      </c>
      <c r="T764" s="10" t="b">
        <f t="shared" si="117"/>
        <v>1</v>
      </c>
      <c r="U764" s="8" t="str">
        <f t="shared" si="118"/>
        <v>TRUE</v>
      </c>
      <c r="V764" s="11" t="str">
        <f t="shared" si="119"/>
        <v>TRUE</v>
      </c>
    </row>
    <row r="765" spans="1:22" ht="15.75">
      <c r="A765" s="21">
        <v>763</v>
      </c>
      <c r="B765" s="5" t="s">
        <v>2230</v>
      </c>
      <c r="C765" s="23" t="s">
        <v>3050</v>
      </c>
      <c r="D765" s="23" t="s">
        <v>34</v>
      </c>
      <c r="E765" s="5" t="s">
        <v>2231</v>
      </c>
      <c r="F765" s="71" t="s">
        <v>6106</v>
      </c>
      <c r="G765" s="22" t="s">
        <v>40</v>
      </c>
      <c r="H765" s="5" t="s">
        <v>71</v>
      </c>
      <c r="I765" s="5" t="s">
        <v>26</v>
      </c>
      <c r="J765" s="5" t="s">
        <v>5633</v>
      </c>
      <c r="K765" s="5" t="s">
        <v>2232</v>
      </c>
      <c r="L765" s="22"/>
      <c r="M765" s="8" t="str">
        <f t="shared" si="110"/>
        <v>Ok</v>
      </c>
      <c r="N765" s="9" t="b">
        <f t="shared" si="111"/>
        <v>0</v>
      </c>
      <c r="O765" s="9" t="b">
        <f t="shared" si="112"/>
        <v>0</v>
      </c>
      <c r="P765" s="8" t="str">
        <f t="shared" si="113"/>
        <v>FALSE</v>
      </c>
      <c r="Q765" s="8" t="str">
        <f t="shared" si="114"/>
        <v>FALSE</v>
      </c>
      <c r="R765" s="9" t="b">
        <f t="shared" si="115"/>
        <v>1</v>
      </c>
      <c r="S765" s="8" t="b">
        <f t="shared" si="116"/>
        <v>1</v>
      </c>
      <c r="T765" s="10" t="b">
        <f t="shared" si="117"/>
        <v>0</v>
      </c>
      <c r="U765" s="8" t="str">
        <f t="shared" si="118"/>
        <v>FALSE</v>
      </c>
      <c r="V765" s="11" t="str">
        <f t="shared" si="119"/>
        <v>TRUE</v>
      </c>
    </row>
    <row r="766" spans="1:22" ht="15.75">
      <c r="A766" s="21">
        <v>764</v>
      </c>
      <c r="B766" s="5" t="s">
        <v>2233</v>
      </c>
      <c r="C766" s="23" t="s">
        <v>3408</v>
      </c>
      <c r="D766" s="23" t="s">
        <v>17</v>
      </c>
      <c r="E766" s="5" t="s">
        <v>2234</v>
      </c>
      <c r="F766" s="71" t="s">
        <v>6106</v>
      </c>
      <c r="G766" s="22" t="s">
        <v>3933</v>
      </c>
      <c r="H766" s="5" t="s">
        <v>3932</v>
      </c>
      <c r="I766" s="5" t="s">
        <v>21</v>
      </c>
      <c r="J766" s="5" t="s">
        <v>5498</v>
      </c>
      <c r="K766" s="5" t="s">
        <v>2235</v>
      </c>
      <c r="L766" s="22"/>
      <c r="M766" s="8" t="str">
        <f t="shared" si="110"/>
        <v>Ok</v>
      </c>
      <c r="N766" s="9" t="b">
        <f t="shared" si="111"/>
        <v>1</v>
      </c>
      <c r="O766" s="9" t="b">
        <f t="shared" si="112"/>
        <v>1</v>
      </c>
      <c r="P766" s="8" t="str">
        <f t="shared" si="113"/>
        <v>FALSE</v>
      </c>
      <c r="Q766" s="8" t="str">
        <f t="shared" si="114"/>
        <v>FALSE</v>
      </c>
      <c r="R766" s="9" t="b">
        <f t="shared" si="115"/>
        <v>0</v>
      </c>
      <c r="S766" s="8" t="b">
        <f t="shared" si="116"/>
        <v>0</v>
      </c>
      <c r="T766" s="10" t="b">
        <f t="shared" si="117"/>
        <v>0</v>
      </c>
      <c r="U766" s="8" t="str">
        <f t="shared" si="118"/>
        <v>FALSE</v>
      </c>
      <c r="V766" s="11" t="str">
        <f t="shared" si="119"/>
        <v>TRUE</v>
      </c>
    </row>
    <row r="767" spans="1:22" ht="15.75">
      <c r="A767" s="21">
        <v>765</v>
      </c>
      <c r="B767" s="5" t="s">
        <v>2236</v>
      </c>
      <c r="C767" s="23" t="s">
        <v>3409</v>
      </c>
      <c r="D767" s="23" t="s">
        <v>17</v>
      </c>
      <c r="E767" s="5" t="s">
        <v>150</v>
      </c>
      <c r="F767" s="71" t="s">
        <v>6106</v>
      </c>
      <c r="G767" s="22" t="s">
        <v>3933</v>
      </c>
      <c r="H767" s="5" t="s">
        <v>3932</v>
      </c>
      <c r="I767" s="5" t="s">
        <v>14</v>
      </c>
      <c r="J767" s="5" t="s">
        <v>5012</v>
      </c>
      <c r="K767" s="5" t="s">
        <v>2237</v>
      </c>
      <c r="L767" s="22"/>
      <c r="M767" s="8" t="str">
        <f t="shared" si="110"/>
        <v>Ok</v>
      </c>
      <c r="N767" s="9" t="b">
        <f t="shared" si="111"/>
        <v>1</v>
      </c>
      <c r="O767" s="9" t="b">
        <f t="shared" si="112"/>
        <v>1</v>
      </c>
      <c r="P767" s="8" t="str">
        <f t="shared" si="113"/>
        <v>FALSE</v>
      </c>
      <c r="Q767" s="8" t="str">
        <f t="shared" si="114"/>
        <v>FALSE</v>
      </c>
      <c r="R767" s="9" t="b">
        <f t="shared" si="115"/>
        <v>0</v>
      </c>
      <c r="S767" s="8" t="b">
        <f t="shared" si="116"/>
        <v>0</v>
      </c>
      <c r="T767" s="10" t="b">
        <f t="shared" si="117"/>
        <v>1</v>
      </c>
      <c r="U767" s="8" t="str">
        <f t="shared" si="118"/>
        <v>TRUE</v>
      </c>
      <c r="V767" s="11" t="str">
        <f t="shared" si="119"/>
        <v>TRUE</v>
      </c>
    </row>
    <row r="768" spans="1:22" ht="15.75">
      <c r="A768" s="21">
        <v>766</v>
      </c>
      <c r="B768" s="5" t="s">
        <v>2238</v>
      </c>
      <c r="C768" s="23" t="s">
        <v>3737</v>
      </c>
      <c r="D768" s="23" t="s">
        <v>59</v>
      </c>
      <c r="E768" s="5" t="s">
        <v>2239</v>
      </c>
      <c r="F768" s="71" t="s">
        <v>6106</v>
      </c>
      <c r="G768" s="22" t="s">
        <v>3934</v>
      </c>
      <c r="H768" s="5" t="s">
        <v>13</v>
      </c>
      <c r="I768" s="5" t="s">
        <v>50</v>
      </c>
      <c r="J768" s="5" t="s">
        <v>5575</v>
      </c>
      <c r="K768" s="5" t="s">
        <v>2240</v>
      </c>
      <c r="L768" s="22"/>
      <c r="M768" s="8" t="str">
        <f t="shared" si="110"/>
        <v>Ok</v>
      </c>
      <c r="N768" s="9" t="b">
        <f t="shared" si="111"/>
        <v>0</v>
      </c>
      <c r="O768" s="9" t="b">
        <f t="shared" si="112"/>
        <v>1</v>
      </c>
      <c r="P768" s="8" t="str">
        <f t="shared" si="113"/>
        <v>FALSE</v>
      </c>
      <c r="Q768" s="8" t="str">
        <f t="shared" si="114"/>
        <v>FALSE</v>
      </c>
      <c r="R768" s="9" t="b">
        <f t="shared" si="115"/>
        <v>0</v>
      </c>
      <c r="S768" s="8" t="b">
        <f t="shared" si="116"/>
        <v>0</v>
      </c>
      <c r="T768" s="10" t="b">
        <f t="shared" si="117"/>
        <v>0</v>
      </c>
      <c r="U768" s="8" t="str">
        <f t="shared" si="118"/>
        <v>FALSE</v>
      </c>
      <c r="V768" s="11" t="str">
        <f t="shared" si="119"/>
        <v>TRUE</v>
      </c>
    </row>
    <row r="769" spans="1:22" ht="15.75">
      <c r="A769" s="21">
        <v>767</v>
      </c>
      <c r="B769" s="5" t="s">
        <v>2241</v>
      </c>
      <c r="C769" s="23" t="s">
        <v>3512</v>
      </c>
      <c r="D769" s="23" t="s">
        <v>77</v>
      </c>
      <c r="E769" s="5" t="s">
        <v>2242</v>
      </c>
      <c r="F769" s="71" t="s">
        <v>6106</v>
      </c>
      <c r="G769" s="22" t="s">
        <v>160</v>
      </c>
      <c r="H769" s="5" t="s">
        <v>3932</v>
      </c>
      <c r="I769" s="5" t="s">
        <v>21</v>
      </c>
      <c r="J769" s="5" t="s">
        <v>5685</v>
      </c>
      <c r="K769" s="5" t="s">
        <v>2243</v>
      </c>
      <c r="L769" s="22"/>
      <c r="M769" s="8" t="str">
        <f t="shared" si="110"/>
        <v>Ok</v>
      </c>
      <c r="N769" s="9" t="b">
        <f t="shared" si="111"/>
        <v>1</v>
      </c>
      <c r="O769" s="9" t="b">
        <f t="shared" si="112"/>
        <v>0</v>
      </c>
      <c r="P769" s="8" t="str">
        <f t="shared" si="113"/>
        <v>FALSE</v>
      </c>
      <c r="Q769" s="8" t="str">
        <f t="shared" si="114"/>
        <v>FALSE</v>
      </c>
      <c r="R769" s="9" t="b">
        <f t="shared" si="115"/>
        <v>0</v>
      </c>
      <c r="S769" s="8" t="b">
        <f t="shared" si="116"/>
        <v>0</v>
      </c>
      <c r="T769" s="10" t="b">
        <f t="shared" si="117"/>
        <v>0</v>
      </c>
      <c r="U769" s="8" t="str">
        <f t="shared" si="118"/>
        <v>FALSE</v>
      </c>
      <c r="V769" s="11" t="str">
        <f t="shared" si="119"/>
        <v>TRUE</v>
      </c>
    </row>
    <row r="770" spans="1:22" ht="15.75">
      <c r="A770" s="21">
        <v>768</v>
      </c>
      <c r="B770" s="5" t="s">
        <v>2244</v>
      </c>
      <c r="C770" s="23" t="s">
        <v>3101</v>
      </c>
      <c r="D770" s="23" t="s">
        <v>34</v>
      </c>
      <c r="E770" s="5" t="s">
        <v>2245</v>
      </c>
      <c r="F770" s="71" t="s">
        <v>6106</v>
      </c>
      <c r="G770" s="22" t="s">
        <v>179</v>
      </c>
      <c r="H770" s="22" t="s">
        <v>179</v>
      </c>
      <c r="I770" s="5" t="s">
        <v>21</v>
      </c>
      <c r="J770" s="5" t="s">
        <v>4916</v>
      </c>
      <c r="K770" s="5" t="s">
        <v>2246</v>
      </c>
      <c r="L770" s="22"/>
      <c r="M770" s="8" t="str">
        <f t="shared" si="110"/>
        <v>Ok</v>
      </c>
      <c r="N770" s="9" t="b">
        <f t="shared" si="111"/>
        <v>0</v>
      </c>
      <c r="O770" s="9" t="b">
        <f t="shared" si="112"/>
        <v>0</v>
      </c>
      <c r="P770" s="8" t="str">
        <f t="shared" si="113"/>
        <v>FALSE</v>
      </c>
      <c r="Q770" s="8" t="str">
        <f t="shared" si="114"/>
        <v>FALSE</v>
      </c>
      <c r="R770" s="9" t="b">
        <f t="shared" si="115"/>
        <v>1</v>
      </c>
      <c r="S770" s="8" t="b">
        <f t="shared" si="116"/>
        <v>1</v>
      </c>
      <c r="T770" s="10" t="b">
        <f t="shared" si="117"/>
        <v>0</v>
      </c>
      <c r="U770" s="8" t="str">
        <f t="shared" si="118"/>
        <v>TRUE</v>
      </c>
      <c r="V770" s="11" t="str">
        <f t="shared" si="119"/>
        <v>TRUE</v>
      </c>
    </row>
    <row r="771" spans="1:22" ht="15.75">
      <c r="A771" s="21">
        <v>769</v>
      </c>
      <c r="B771" s="5" t="s">
        <v>2247</v>
      </c>
      <c r="C771" s="23" t="s">
        <v>3513</v>
      </c>
      <c r="D771" s="23" t="s">
        <v>77</v>
      </c>
      <c r="E771" s="5" t="s">
        <v>2248</v>
      </c>
      <c r="F771" s="71" t="s">
        <v>6106</v>
      </c>
      <c r="G771" s="22" t="s">
        <v>160</v>
      </c>
      <c r="H771" s="5" t="s">
        <v>3932</v>
      </c>
      <c r="I771" s="5" t="s">
        <v>67</v>
      </c>
      <c r="J771" s="5" t="s">
        <v>4927</v>
      </c>
      <c r="K771" s="5" t="s">
        <v>2249</v>
      </c>
      <c r="L771" s="22"/>
      <c r="M771" s="8" t="str">
        <f t="shared" ref="M771:M834" si="120">IF(COUNTIF($B$3:$B$1002,B771)&gt;1,"Duplicate","Ok")</f>
        <v>Ok</v>
      </c>
      <c r="N771" s="9" t="b">
        <f t="shared" ref="N771:N834" si="121">EXACT(C771,PROPER(C771))</f>
        <v>1</v>
      </c>
      <c r="O771" s="9" t="b">
        <f t="shared" ref="O771:O834" si="122">EXACT(D771,PROPER(D771))</f>
        <v>0</v>
      </c>
      <c r="P771" s="8" t="str">
        <f t="shared" ref="P771:P834" si="123">IF(ISNUMBER(E771),"TRUE","FALSE")</f>
        <v>FALSE</v>
      </c>
      <c r="Q771" s="8" t="str">
        <f t="shared" ref="Q771:Q834" si="124">IF(ISNUMBER(F771),"TRUE","FALSE")</f>
        <v>FALSE</v>
      </c>
      <c r="R771" s="9" t="b">
        <f t="shared" ref="R771:R834" si="125">EXACT(G771,PROPER(G771))</f>
        <v>0</v>
      </c>
      <c r="S771" s="8" t="b">
        <f t="shared" ref="S771:S834" si="126">EXACT(H771,PROPER(H771))</f>
        <v>0</v>
      </c>
      <c r="T771" s="10" t="b">
        <f t="shared" ref="T771:T834" si="127">EXACT(I771,PROPER(I771))</f>
        <v>0</v>
      </c>
      <c r="U771" s="8" t="str">
        <f t="shared" ref="U771:U834" si="128">IF(RIGHT(J771,10)="@email.com","TRUE","FALSE")</f>
        <v>TRUE</v>
      </c>
      <c r="V771" s="11" t="str">
        <f t="shared" ref="V771:V834" si="129">IF(LEFT(K771,2)="08","TRUE","FALSE")</f>
        <v>TRUE</v>
      </c>
    </row>
    <row r="772" spans="1:22" ht="15.75">
      <c r="A772" s="21">
        <v>770</v>
      </c>
      <c r="B772" s="5" t="s">
        <v>2250</v>
      </c>
      <c r="C772" s="23" t="s">
        <v>3639</v>
      </c>
      <c r="D772" s="23" t="s">
        <v>59</v>
      </c>
      <c r="E772" s="5" t="s">
        <v>2251</v>
      </c>
      <c r="F772" s="71" t="s">
        <v>6106</v>
      </c>
      <c r="G772" s="22" t="s">
        <v>179</v>
      </c>
      <c r="H772" s="5" t="s">
        <v>36</v>
      </c>
      <c r="I772" s="5" t="s">
        <v>14</v>
      </c>
      <c r="J772" s="5" t="s">
        <v>5117</v>
      </c>
      <c r="K772" s="5" t="s">
        <v>2252</v>
      </c>
      <c r="L772" s="22"/>
      <c r="M772" s="8" t="str">
        <f t="shared" si="120"/>
        <v>Ok</v>
      </c>
      <c r="N772" s="9" t="b">
        <f t="shared" si="121"/>
        <v>1</v>
      </c>
      <c r="O772" s="9" t="b">
        <f t="shared" si="122"/>
        <v>1</v>
      </c>
      <c r="P772" s="8" t="str">
        <f t="shared" si="123"/>
        <v>FALSE</v>
      </c>
      <c r="Q772" s="8" t="str">
        <f t="shared" si="124"/>
        <v>FALSE</v>
      </c>
      <c r="R772" s="9" t="b">
        <f t="shared" si="125"/>
        <v>1</v>
      </c>
      <c r="S772" s="8" t="b">
        <f t="shared" si="126"/>
        <v>1</v>
      </c>
      <c r="T772" s="10" t="b">
        <f t="shared" si="127"/>
        <v>1</v>
      </c>
      <c r="U772" s="8" t="str">
        <f t="shared" si="128"/>
        <v>TRUE</v>
      </c>
      <c r="V772" s="11" t="str">
        <f t="shared" si="129"/>
        <v>TRUE</v>
      </c>
    </row>
    <row r="773" spans="1:22" ht="15.75">
      <c r="A773" s="21">
        <v>771</v>
      </c>
      <c r="B773" s="5" t="s">
        <v>2253</v>
      </c>
      <c r="C773" s="23" t="s">
        <v>3514</v>
      </c>
      <c r="D773" s="23" t="s">
        <v>77</v>
      </c>
      <c r="E773" s="5" t="s">
        <v>504</v>
      </c>
      <c r="F773" s="71" t="s">
        <v>6106</v>
      </c>
      <c r="G773" s="22" t="s">
        <v>160</v>
      </c>
      <c r="H773" s="5" t="s">
        <v>3932</v>
      </c>
      <c r="I773" s="5" t="s">
        <v>14</v>
      </c>
      <c r="J773" s="5" t="s">
        <v>5376</v>
      </c>
      <c r="K773" s="5" t="s">
        <v>2254</v>
      </c>
      <c r="L773" s="22"/>
      <c r="M773" s="8" t="str">
        <f t="shared" si="120"/>
        <v>Ok</v>
      </c>
      <c r="N773" s="9" t="b">
        <f t="shared" si="121"/>
        <v>1</v>
      </c>
      <c r="O773" s="9" t="b">
        <f t="shared" si="122"/>
        <v>0</v>
      </c>
      <c r="P773" s="8" t="str">
        <f t="shared" si="123"/>
        <v>FALSE</v>
      </c>
      <c r="Q773" s="8" t="str">
        <f t="shared" si="124"/>
        <v>FALSE</v>
      </c>
      <c r="R773" s="9" t="b">
        <f t="shared" si="125"/>
        <v>0</v>
      </c>
      <c r="S773" s="8" t="b">
        <f t="shared" si="126"/>
        <v>0</v>
      </c>
      <c r="T773" s="10" t="b">
        <f t="shared" si="127"/>
        <v>1</v>
      </c>
      <c r="U773" s="8" t="str">
        <f t="shared" si="128"/>
        <v>TRUE</v>
      </c>
      <c r="V773" s="11" t="str">
        <f t="shared" si="129"/>
        <v>TRUE</v>
      </c>
    </row>
    <row r="774" spans="1:22" ht="15.75">
      <c r="A774" s="21">
        <v>772</v>
      </c>
      <c r="B774" s="5" t="s">
        <v>2255</v>
      </c>
      <c r="C774" s="23" t="s">
        <v>3515</v>
      </c>
      <c r="D774" s="23" t="s">
        <v>77</v>
      </c>
      <c r="E774" s="5" t="s">
        <v>2256</v>
      </c>
      <c r="F774" s="71" t="s">
        <v>6106</v>
      </c>
      <c r="G774" s="22" t="s">
        <v>160</v>
      </c>
      <c r="H774" s="5" t="s">
        <v>3932</v>
      </c>
      <c r="I774" s="5" t="s">
        <v>21</v>
      </c>
      <c r="J774" s="5" t="s">
        <v>4902</v>
      </c>
      <c r="K774" s="5">
        <v>89756465596</v>
      </c>
      <c r="L774" s="22"/>
      <c r="M774" s="8" t="str">
        <f t="shared" si="120"/>
        <v>Ok</v>
      </c>
      <c r="N774" s="9" t="b">
        <f t="shared" si="121"/>
        <v>1</v>
      </c>
      <c r="O774" s="9" t="b">
        <f t="shared" si="122"/>
        <v>0</v>
      </c>
      <c r="P774" s="8" t="str">
        <f t="shared" si="123"/>
        <v>FALSE</v>
      </c>
      <c r="Q774" s="8" t="str">
        <f t="shared" si="124"/>
        <v>FALSE</v>
      </c>
      <c r="R774" s="9" t="b">
        <f t="shared" si="125"/>
        <v>0</v>
      </c>
      <c r="S774" s="8" t="b">
        <f t="shared" si="126"/>
        <v>0</v>
      </c>
      <c r="T774" s="10" t="b">
        <f t="shared" si="127"/>
        <v>0</v>
      </c>
      <c r="U774" s="8" t="str">
        <f t="shared" si="128"/>
        <v>TRUE</v>
      </c>
      <c r="V774" s="11" t="str">
        <f t="shared" si="129"/>
        <v>FALSE</v>
      </c>
    </row>
    <row r="775" spans="1:22" ht="15.75">
      <c r="A775" s="21">
        <v>773</v>
      </c>
      <c r="B775" s="5" t="s">
        <v>2257</v>
      </c>
      <c r="C775" s="23" t="s">
        <v>3051</v>
      </c>
      <c r="D775" s="23" t="s">
        <v>34</v>
      </c>
      <c r="E775" s="5" t="s">
        <v>676</v>
      </c>
      <c r="F775" s="71" t="s">
        <v>6106</v>
      </c>
      <c r="G775" s="22" t="s">
        <v>40</v>
      </c>
      <c r="H775" s="5" t="s">
        <v>71</v>
      </c>
      <c r="I775" s="5" t="s">
        <v>21</v>
      </c>
      <c r="J775" s="5" t="s">
        <v>5405</v>
      </c>
      <c r="K775" s="5" t="s">
        <v>2258</v>
      </c>
      <c r="L775" s="22"/>
      <c r="M775" s="8" t="str">
        <f t="shared" si="120"/>
        <v>Ok</v>
      </c>
      <c r="N775" s="9" t="b">
        <f t="shared" si="121"/>
        <v>0</v>
      </c>
      <c r="O775" s="9" t="b">
        <f t="shared" si="122"/>
        <v>0</v>
      </c>
      <c r="P775" s="8" t="str">
        <f t="shared" si="123"/>
        <v>FALSE</v>
      </c>
      <c r="Q775" s="8" t="str">
        <f t="shared" si="124"/>
        <v>FALSE</v>
      </c>
      <c r="R775" s="9" t="b">
        <f t="shared" si="125"/>
        <v>1</v>
      </c>
      <c r="S775" s="8" t="b">
        <f t="shared" si="126"/>
        <v>1</v>
      </c>
      <c r="T775" s="10" t="b">
        <f t="shared" si="127"/>
        <v>0</v>
      </c>
      <c r="U775" s="8" t="str">
        <f t="shared" si="128"/>
        <v>TRUE</v>
      </c>
      <c r="V775" s="11" t="str">
        <f t="shared" si="129"/>
        <v>FALSE</v>
      </c>
    </row>
    <row r="776" spans="1:22" ht="15.75">
      <c r="A776" s="21">
        <v>774</v>
      </c>
      <c r="B776" s="5" t="s">
        <v>2259</v>
      </c>
      <c r="C776" s="23" t="s">
        <v>3516</v>
      </c>
      <c r="D776" s="23" t="s">
        <v>77</v>
      </c>
      <c r="E776" s="5" t="s">
        <v>2260</v>
      </c>
      <c r="F776" s="71" t="s">
        <v>6106</v>
      </c>
      <c r="G776" s="22" t="s">
        <v>160</v>
      </c>
      <c r="H776" s="5" t="s">
        <v>3932</v>
      </c>
      <c r="I776" s="5" t="s">
        <v>14</v>
      </c>
      <c r="J776" s="5" t="s">
        <v>4799</v>
      </c>
      <c r="K776" s="5" t="s">
        <v>2261</v>
      </c>
      <c r="L776" s="22"/>
      <c r="M776" s="8" t="str">
        <f t="shared" si="120"/>
        <v>Ok</v>
      </c>
      <c r="N776" s="9" t="b">
        <f t="shared" si="121"/>
        <v>1</v>
      </c>
      <c r="O776" s="9" t="b">
        <f t="shared" si="122"/>
        <v>0</v>
      </c>
      <c r="P776" s="8" t="str">
        <f t="shared" si="123"/>
        <v>FALSE</v>
      </c>
      <c r="Q776" s="8" t="str">
        <f t="shared" si="124"/>
        <v>FALSE</v>
      </c>
      <c r="R776" s="9" t="b">
        <f t="shared" si="125"/>
        <v>0</v>
      </c>
      <c r="S776" s="8" t="b">
        <f t="shared" si="126"/>
        <v>0</v>
      </c>
      <c r="T776" s="10" t="b">
        <f t="shared" si="127"/>
        <v>1</v>
      </c>
      <c r="U776" s="8" t="str">
        <f t="shared" si="128"/>
        <v>TRUE</v>
      </c>
      <c r="V776" s="11" t="str">
        <f t="shared" si="129"/>
        <v>TRUE</v>
      </c>
    </row>
    <row r="777" spans="1:22" ht="15.75">
      <c r="A777" s="21">
        <v>775</v>
      </c>
      <c r="B777" s="5" t="s">
        <v>2262</v>
      </c>
      <c r="C777" s="23" t="s">
        <v>3517</v>
      </c>
      <c r="D777" s="23" t="s">
        <v>77</v>
      </c>
      <c r="E777" s="5" t="s">
        <v>2263</v>
      </c>
      <c r="F777" s="71" t="s">
        <v>6106</v>
      </c>
      <c r="G777" s="22" t="s">
        <v>160</v>
      </c>
      <c r="H777" s="5" t="s">
        <v>3932</v>
      </c>
      <c r="I777" s="5" t="s">
        <v>26</v>
      </c>
      <c r="J777" s="5" t="s">
        <v>5533</v>
      </c>
      <c r="K777" s="5" t="s">
        <v>2264</v>
      </c>
      <c r="L777" s="22"/>
      <c r="M777" s="8" t="str">
        <f t="shared" si="120"/>
        <v>Ok</v>
      </c>
      <c r="N777" s="9" t="b">
        <f t="shared" si="121"/>
        <v>1</v>
      </c>
      <c r="O777" s="9" t="b">
        <f t="shared" si="122"/>
        <v>0</v>
      </c>
      <c r="P777" s="8" t="str">
        <f t="shared" si="123"/>
        <v>FALSE</v>
      </c>
      <c r="Q777" s="8" t="str">
        <f t="shared" si="124"/>
        <v>FALSE</v>
      </c>
      <c r="R777" s="9" t="b">
        <f t="shared" si="125"/>
        <v>0</v>
      </c>
      <c r="S777" s="8" t="b">
        <f t="shared" si="126"/>
        <v>0</v>
      </c>
      <c r="T777" s="10" t="b">
        <f t="shared" si="127"/>
        <v>0</v>
      </c>
      <c r="U777" s="8" t="str">
        <f t="shared" si="128"/>
        <v>FALSE</v>
      </c>
      <c r="V777" s="11" t="str">
        <f t="shared" si="129"/>
        <v>TRUE</v>
      </c>
    </row>
    <row r="778" spans="1:22" ht="15.75">
      <c r="A778" s="21">
        <v>776</v>
      </c>
      <c r="B778" s="5" t="s">
        <v>2265</v>
      </c>
      <c r="C778" s="23" t="s">
        <v>3410</v>
      </c>
      <c r="D778" s="23" t="s">
        <v>17</v>
      </c>
      <c r="E778" s="5" t="s">
        <v>2266</v>
      </c>
      <c r="F778" s="71" t="s">
        <v>6106</v>
      </c>
      <c r="G778" s="22" t="s">
        <v>93</v>
      </c>
      <c r="H778" s="5" t="s">
        <v>217</v>
      </c>
      <c r="I778" s="5" t="s">
        <v>26</v>
      </c>
      <c r="J778" s="5" t="s">
        <v>5319</v>
      </c>
      <c r="K778" s="5" t="s">
        <v>2267</v>
      </c>
      <c r="L778" s="22"/>
      <c r="M778" s="8" t="str">
        <f t="shared" si="120"/>
        <v>Ok</v>
      </c>
      <c r="N778" s="9" t="b">
        <f t="shared" si="121"/>
        <v>1</v>
      </c>
      <c r="O778" s="9" t="b">
        <f t="shared" si="122"/>
        <v>1</v>
      </c>
      <c r="P778" s="8" t="str">
        <f t="shared" si="123"/>
        <v>FALSE</v>
      </c>
      <c r="Q778" s="8" t="str">
        <f t="shared" si="124"/>
        <v>FALSE</v>
      </c>
      <c r="R778" s="9" t="b">
        <f t="shared" si="125"/>
        <v>0</v>
      </c>
      <c r="S778" s="8" t="b">
        <f t="shared" si="126"/>
        <v>0</v>
      </c>
      <c r="T778" s="10" t="b">
        <f t="shared" si="127"/>
        <v>0</v>
      </c>
      <c r="U778" s="8" t="str">
        <f t="shared" si="128"/>
        <v>TRUE</v>
      </c>
      <c r="V778" s="11" t="str">
        <f t="shared" si="129"/>
        <v>FALSE</v>
      </c>
    </row>
    <row r="779" spans="1:22" ht="15.75">
      <c r="A779" s="21">
        <v>777</v>
      </c>
      <c r="B779" s="5" t="s">
        <v>2268</v>
      </c>
      <c r="C779" s="23" t="s">
        <v>2943</v>
      </c>
      <c r="D779" s="23" t="s">
        <v>17</v>
      </c>
      <c r="E779" s="5" t="s">
        <v>2269</v>
      </c>
      <c r="F779" s="71" t="s">
        <v>6106</v>
      </c>
      <c r="G779" s="22" t="s">
        <v>85</v>
      </c>
      <c r="H779" s="5" t="s">
        <v>120</v>
      </c>
      <c r="I779" s="5" t="s">
        <v>50</v>
      </c>
      <c r="J779" s="5" t="s">
        <v>5334</v>
      </c>
      <c r="K779" s="5" t="s">
        <v>2270</v>
      </c>
      <c r="L779" s="22"/>
      <c r="M779" s="8" t="str">
        <f t="shared" si="120"/>
        <v>Ok</v>
      </c>
      <c r="N779" s="9" t="b">
        <f t="shared" si="121"/>
        <v>0</v>
      </c>
      <c r="O779" s="9" t="b">
        <f t="shared" si="122"/>
        <v>1</v>
      </c>
      <c r="P779" s="8" t="str">
        <f t="shared" si="123"/>
        <v>FALSE</v>
      </c>
      <c r="Q779" s="8" t="str">
        <f t="shared" si="124"/>
        <v>FALSE</v>
      </c>
      <c r="R779" s="9" t="b">
        <f t="shared" si="125"/>
        <v>1</v>
      </c>
      <c r="S779" s="8" t="b">
        <f t="shared" si="126"/>
        <v>1</v>
      </c>
      <c r="T779" s="10" t="b">
        <f t="shared" si="127"/>
        <v>0</v>
      </c>
      <c r="U779" s="8" t="str">
        <f t="shared" si="128"/>
        <v>TRUE</v>
      </c>
      <c r="V779" s="11" t="str">
        <f t="shared" si="129"/>
        <v>TRUE</v>
      </c>
    </row>
    <row r="780" spans="1:22" ht="15.75">
      <c r="A780" s="21">
        <v>778</v>
      </c>
      <c r="B780" s="5" t="s">
        <v>2271</v>
      </c>
      <c r="C780" s="23" t="s">
        <v>3518</v>
      </c>
      <c r="D780" s="23" t="s">
        <v>77</v>
      </c>
      <c r="E780" s="5" t="s">
        <v>1572</v>
      </c>
      <c r="F780" s="71" t="s">
        <v>6106</v>
      </c>
      <c r="G780" s="22" t="s">
        <v>160</v>
      </c>
      <c r="H780" s="5" t="s">
        <v>3932</v>
      </c>
      <c r="I780" s="5" t="s">
        <v>42</v>
      </c>
      <c r="J780" s="5" t="s">
        <v>5552</v>
      </c>
      <c r="K780" s="5" t="s">
        <v>2272</v>
      </c>
      <c r="L780" s="22"/>
      <c r="M780" s="8" t="str">
        <f t="shared" si="120"/>
        <v>Ok</v>
      </c>
      <c r="N780" s="9" t="b">
        <f t="shared" si="121"/>
        <v>1</v>
      </c>
      <c r="O780" s="9" t="b">
        <f t="shared" si="122"/>
        <v>0</v>
      </c>
      <c r="P780" s="8" t="str">
        <f t="shared" si="123"/>
        <v>FALSE</v>
      </c>
      <c r="Q780" s="8" t="str">
        <f t="shared" si="124"/>
        <v>FALSE</v>
      </c>
      <c r="R780" s="9" t="b">
        <f t="shared" si="125"/>
        <v>0</v>
      </c>
      <c r="S780" s="8" t="b">
        <f t="shared" si="126"/>
        <v>0</v>
      </c>
      <c r="T780" s="10" t="b">
        <f t="shared" si="127"/>
        <v>1</v>
      </c>
      <c r="U780" s="8" t="str">
        <f t="shared" si="128"/>
        <v>FALSE</v>
      </c>
      <c r="V780" s="11" t="str">
        <f t="shared" si="129"/>
        <v>TRUE</v>
      </c>
    </row>
    <row r="781" spans="1:22" ht="15.75">
      <c r="A781" s="21">
        <v>779</v>
      </c>
      <c r="B781" s="5" t="s">
        <v>2273</v>
      </c>
      <c r="C781" s="23" t="s">
        <v>2973</v>
      </c>
      <c r="D781" s="23" t="s">
        <v>17</v>
      </c>
      <c r="E781" s="5" t="s">
        <v>2274</v>
      </c>
      <c r="F781" s="71" t="s">
        <v>6106</v>
      </c>
      <c r="G781" s="22" t="s">
        <v>119</v>
      </c>
      <c r="H781" s="5" t="s">
        <v>120</v>
      </c>
      <c r="I781" s="5" t="s">
        <v>14</v>
      </c>
      <c r="J781" s="5" t="s">
        <v>5121</v>
      </c>
      <c r="K781" s="5" t="s">
        <v>2275</v>
      </c>
      <c r="L781" s="22"/>
      <c r="M781" s="8" t="str">
        <f t="shared" si="120"/>
        <v>Ok</v>
      </c>
      <c r="N781" s="9" t="b">
        <f t="shared" si="121"/>
        <v>0</v>
      </c>
      <c r="O781" s="9" t="b">
        <f t="shared" si="122"/>
        <v>1</v>
      </c>
      <c r="P781" s="8" t="str">
        <f t="shared" si="123"/>
        <v>FALSE</v>
      </c>
      <c r="Q781" s="8" t="str">
        <f t="shared" si="124"/>
        <v>FALSE</v>
      </c>
      <c r="R781" s="9" t="b">
        <f t="shared" si="125"/>
        <v>0</v>
      </c>
      <c r="S781" s="8" t="b">
        <f t="shared" si="126"/>
        <v>1</v>
      </c>
      <c r="T781" s="10" t="b">
        <f t="shared" si="127"/>
        <v>1</v>
      </c>
      <c r="U781" s="8" t="str">
        <f t="shared" si="128"/>
        <v>TRUE</v>
      </c>
      <c r="V781" s="11" t="str">
        <f t="shared" si="129"/>
        <v>TRUE</v>
      </c>
    </row>
    <row r="782" spans="1:22" ht="15.75">
      <c r="A782" s="21">
        <v>780</v>
      </c>
      <c r="B782" s="5" t="s">
        <v>2276</v>
      </c>
      <c r="C782" s="23" t="s">
        <v>3640</v>
      </c>
      <c r="D782" s="23" t="s">
        <v>59</v>
      </c>
      <c r="E782" s="5" t="s">
        <v>2277</v>
      </c>
      <c r="F782" s="71" t="s">
        <v>6106</v>
      </c>
      <c r="G782" s="22" t="s">
        <v>160</v>
      </c>
      <c r="H782" s="5" t="s">
        <v>36</v>
      </c>
      <c r="I782" s="5" t="s">
        <v>56</v>
      </c>
      <c r="J782" s="5" t="s">
        <v>5385</v>
      </c>
      <c r="K782" s="5" t="s">
        <v>2278</v>
      </c>
      <c r="L782" s="22"/>
      <c r="M782" s="8" t="str">
        <f t="shared" si="120"/>
        <v>Ok</v>
      </c>
      <c r="N782" s="9" t="b">
        <f t="shared" si="121"/>
        <v>1</v>
      </c>
      <c r="O782" s="9" t="b">
        <f t="shared" si="122"/>
        <v>1</v>
      </c>
      <c r="P782" s="8" t="str">
        <f t="shared" si="123"/>
        <v>FALSE</v>
      </c>
      <c r="Q782" s="8" t="str">
        <f t="shared" si="124"/>
        <v>FALSE</v>
      </c>
      <c r="R782" s="9" t="b">
        <f t="shared" si="125"/>
        <v>0</v>
      </c>
      <c r="S782" s="8" t="b">
        <f t="shared" si="126"/>
        <v>1</v>
      </c>
      <c r="T782" s="10" t="b">
        <f t="shared" si="127"/>
        <v>1</v>
      </c>
      <c r="U782" s="8" t="str">
        <f t="shared" si="128"/>
        <v>TRUE</v>
      </c>
      <c r="V782" s="11" t="str">
        <f t="shared" si="129"/>
        <v>TRUE</v>
      </c>
    </row>
    <row r="783" spans="1:22" ht="15.75">
      <c r="A783" s="21">
        <v>781</v>
      </c>
      <c r="B783" s="5" t="s">
        <v>2279</v>
      </c>
      <c r="C783" s="23" t="s">
        <v>3172</v>
      </c>
      <c r="D783" s="23" t="s">
        <v>77</v>
      </c>
      <c r="E783" s="5" t="s">
        <v>2280</v>
      </c>
      <c r="F783" s="71" t="s">
        <v>6106</v>
      </c>
      <c r="G783" s="22" t="s">
        <v>179</v>
      </c>
      <c r="H783" s="5" t="s">
        <v>3932</v>
      </c>
      <c r="I783" s="5" t="s">
        <v>21</v>
      </c>
      <c r="J783" s="5" t="s">
        <v>5341</v>
      </c>
      <c r="K783" s="5" t="s">
        <v>2281</v>
      </c>
      <c r="L783" s="22"/>
      <c r="M783" s="8" t="str">
        <f t="shared" si="120"/>
        <v>Ok</v>
      </c>
      <c r="N783" s="9" t="b">
        <f t="shared" si="121"/>
        <v>0</v>
      </c>
      <c r="O783" s="9" t="b">
        <f t="shared" si="122"/>
        <v>0</v>
      </c>
      <c r="P783" s="8" t="str">
        <f t="shared" si="123"/>
        <v>FALSE</v>
      </c>
      <c r="Q783" s="8" t="str">
        <f t="shared" si="124"/>
        <v>FALSE</v>
      </c>
      <c r="R783" s="9" t="b">
        <f t="shared" si="125"/>
        <v>1</v>
      </c>
      <c r="S783" s="8" t="b">
        <f t="shared" si="126"/>
        <v>0</v>
      </c>
      <c r="T783" s="10" t="b">
        <f t="shared" si="127"/>
        <v>0</v>
      </c>
      <c r="U783" s="8" t="str">
        <f t="shared" si="128"/>
        <v>TRUE</v>
      </c>
      <c r="V783" s="11" t="str">
        <f t="shared" si="129"/>
        <v>TRUE</v>
      </c>
    </row>
    <row r="784" spans="1:22" ht="15.75">
      <c r="A784" s="21">
        <v>782</v>
      </c>
      <c r="B784" s="5" t="s">
        <v>2282</v>
      </c>
      <c r="C784" s="23" t="s">
        <v>3802</v>
      </c>
      <c r="D784" s="23" t="s">
        <v>59</v>
      </c>
      <c r="E784" s="5" t="s">
        <v>2283</v>
      </c>
      <c r="F784" s="71" t="s">
        <v>6106</v>
      </c>
      <c r="G784" s="22" t="s">
        <v>24</v>
      </c>
      <c r="H784" s="5" t="s">
        <v>25</v>
      </c>
      <c r="I784" s="5" t="s">
        <v>14</v>
      </c>
      <c r="J784" s="5" t="s">
        <v>5298</v>
      </c>
      <c r="K784" s="5" t="s">
        <v>2284</v>
      </c>
      <c r="L784" s="22"/>
      <c r="M784" s="8" t="str">
        <f t="shared" si="120"/>
        <v>Ok</v>
      </c>
      <c r="N784" s="9" t="b">
        <f t="shared" si="121"/>
        <v>0</v>
      </c>
      <c r="O784" s="9" t="b">
        <f t="shared" si="122"/>
        <v>1</v>
      </c>
      <c r="P784" s="8" t="str">
        <f t="shared" si="123"/>
        <v>FALSE</v>
      </c>
      <c r="Q784" s="8" t="str">
        <f t="shared" si="124"/>
        <v>FALSE</v>
      </c>
      <c r="R784" s="9" t="b">
        <f t="shared" si="125"/>
        <v>0</v>
      </c>
      <c r="S784" s="8" t="b">
        <f t="shared" si="126"/>
        <v>0</v>
      </c>
      <c r="T784" s="10" t="b">
        <f t="shared" si="127"/>
        <v>1</v>
      </c>
      <c r="U784" s="8" t="str">
        <f t="shared" si="128"/>
        <v>TRUE</v>
      </c>
      <c r="V784" s="11" t="str">
        <f t="shared" si="129"/>
        <v>TRUE</v>
      </c>
    </row>
    <row r="785" spans="1:22" ht="15.75">
      <c r="A785" s="21">
        <v>783</v>
      </c>
      <c r="B785" s="5" t="s">
        <v>2285</v>
      </c>
      <c r="C785" s="23" t="s">
        <v>3411</v>
      </c>
      <c r="D785" s="23" t="s">
        <v>17</v>
      </c>
      <c r="E785" s="5" t="s">
        <v>2286</v>
      </c>
      <c r="F785" s="71" t="s">
        <v>6106</v>
      </c>
      <c r="G785" s="22" t="s">
        <v>3933</v>
      </c>
      <c r="H785" s="5" t="s">
        <v>3932</v>
      </c>
      <c r="I785" s="5" t="s">
        <v>50</v>
      </c>
      <c r="J785" s="5" t="s">
        <v>5324</v>
      </c>
      <c r="K785" s="5">
        <v>89756465597</v>
      </c>
      <c r="L785" s="22"/>
      <c r="M785" s="8" t="str">
        <f t="shared" si="120"/>
        <v>Ok</v>
      </c>
      <c r="N785" s="9" t="b">
        <f t="shared" si="121"/>
        <v>1</v>
      </c>
      <c r="O785" s="9" t="b">
        <f t="shared" si="122"/>
        <v>1</v>
      </c>
      <c r="P785" s="8" t="str">
        <f t="shared" si="123"/>
        <v>FALSE</v>
      </c>
      <c r="Q785" s="8" t="str">
        <f t="shared" si="124"/>
        <v>FALSE</v>
      </c>
      <c r="R785" s="9" t="b">
        <f t="shared" si="125"/>
        <v>0</v>
      </c>
      <c r="S785" s="8" t="b">
        <f t="shared" si="126"/>
        <v>0</v>
      </c>
      <c r="T785" s="10" t="b">
        <f t="shared" si="127"/>
        <v>0</v>
      </c>
      <c r="U785" s="8" t="str">
        <f t="shared" si="128"/>
        <v>TRUE</v>
      </c>
      <c r="V785" s="11" t="str">
        <f t="shared" si="129"/>
        <v>FALSE</v>
      </c>
    </row>
    <row r="786" spans="1:22" ht="15.75">
      <c r="A786" s="21">
        <v>784</v>
      </c>
      <c r="B786" s="5" t="s">
        <v>2287</v>
      </c>
      <c r="C786" s="23" t="s">
        <v>2964</v>
      </c>
      <c r="D786" s="23" t="s">
        <v>17</v>
      </c>
      <c r="E786" s="5" t="s">
        <v>2288</v>
      </c>
      <c r="F786" s="71" t="s">
        <v>6106</v>
      </c>
      <c r="G786" s="22" t="s">
        <v>119</v>
      </c>
      <c r="H786" s="5" t="s">
        <v>120</v>
      </c>
      <c r="I786" s="5" t="s">
        <v>56</v>
      </c>
      <c r="J786" s="5" t="s">
        <v>5234</v>
      </c>
      <c r="K786" s="5" t="s">
        <v>2289</v>
      </c>
      <c r="L786" s="22"/>
      <c r="M786" s="8" t="str">
        <f t="shared" si="120"/>
        <v>Ok</v>
      </c>
      <c r="N786" s="9" t="b">
        <f t="shared" si="121"/>
        <v>0</v>
      </c>
      <c r="O786" s="9" t="b">
        <f t="shared" si="122"/>
        <v>1</v>
      </c>
      <c r="P786" s="8" t="str">
        <f t="shared" si="123"/>
        <v>FALSE</v>
      </c>
      <c r="Q786" s="8" t="str">
        <f t="shared" si="124"/>
        <v>FALSE</v>
      </c>
      <c r="R786" s="9" t="b">
        <f t="shared" si="125"/>
        <v>0</v>
      </c>
      <c r="S786" s="8" t="b">
        <f t="shared" si="126"/>
        <v>1</v>
      </c>
      <c r="T786" s="10" t="b">
        <f t="shared" si="127"/>
        <v>1</v>
      </c>
      <c r="U786" s="8" t="str">
        <f t="shared" si="128"/>
        <v>TRUE</v>
      </c>
      <c r="V786" s="11" t="str">
        <f t="shared" si="129"/>
        <v>TRUE</v>
      </c>
    </row>
    <row r="787" spans="1:22" ht="15.75">
      <c r="A787" s="21">
        <v>785</v>
      </c>
      <c r="B787" s="5" t="s">
        <v>2290</v>
      </c>
      <c r="C787" s="23" t="s">
        <v>3262</v>
      </c>
      <c r="D787" s="23" t="s">
        <v>77</v>
      </c>
      <c r="E787" s="5" t="s">
        <v>2291</v>
      </c>
      <c r="F787" s="71" t="s">
        <v>6106</v>
      </c>
      <c r="G787" s="22" t="s">
        <v>179</v>
      </c>
      <c r="H787" s="5" t="s">
        <v>3932</v>
      </c>
      <c r="I787" s="5" t="s">
        <v>21</v>
      </c>
      <c r="J787" s="5" t="s">
        <v>4911</v>
      </c>
      <c r="K787" s="5" t="s">
        <v>2292</v>
      </c>
      <c r="L787" s="22"/>
      <c r="M787" s="8" t="str">
        <f t="shared" si="120"/>
        <v>Ok</v>
      </c>
      <c r="N787" s="9" t="b">
        <f t="shared" si="121"/>
        <v>1</v>
      </c>
      <c r="O787" s="9" t="b">
        <f t="shared" si="122"/>
        <v>0</v>
      </c>
      <c r="P787" s="8" t="str">
        <f t="shared" si="123"/>
        <v>FALSE</v>
      </c>
      <c r="Q787" s="8" t="str">
        <f t="shared" si="124"/>
        <v>FALSE</v>
      </c>
      <c r="R787" s="9" t="b">
        <f t="shared" si="125"/>
        <v>1</v>
      </c>
      <c r="S787" s="8" t="b">
        <f t="shared" si="126"/>
        <v>0</v>
      </c>
      <c r="T787" s="10" t="b">
        <f t="shared" si="127"/>
        <v>0</v>
      </c>
      <c r="U787" s="8" t="str">
        <f t="shared" si="128"/>
        <v>TRUE</v>
      </c>
      <c r="V787" s="11" t="str">
        <f t="shared" si="129"/>
        <v>TRUE</v>
      </c>
    </row>
    <row r="788" spans="1:22" ht="15.75">
      <c r="A788" s="21">
        <v>786</v>
      </c>
      <c r="B788" s="5" t="s">
        <v>2293</v>
      </c>
      <c r="C788" s="23" t="s">
        <v>3803</v>
      </c>
      <c r="D788" s="23" t="s">
        <v>59</v>
      </c>
      <c r="E788" s="5" t="s">
        <v>2294</v>
      </c>
      <c r="F788" s="71" t="s">
        <v>6106</v>
      </c>
      <c r="G788" s="22" t="s">
        <v>24</v>
      </c>
      <c r="H788" s="5" t="s">
        <v>25</v>
      </c>
      <c r="I788" s="5" t="s">
        <v>21</v>
      </c>
      <c r="J788" s="5" t="s">
        <v>5112</v>
      </c>
      <c r="K788" s="5" t="s">
        <v>2295</v>
      </c>
      <c r="L788" s="22"/>
      <c r="M788" s="8" t="str">
        <f t="shared" si="120"/>
        <v>Ok</v>
      </c>
      <c r="N788" s="9" t="b">
        <f t="shared" si="121"/>
        <v>0</v>
      </c>
      <c r="O788" s="9" t="b">
        <f t="shared" si="122"/>
        <v>1</v>
      </c>
      <c r="P788" s="8" t="str">
        <f t="shared" si="123"/>
        <v>FALSE</v>
      </c>
      <c r="Q788" s="8" t="str">
        <f t="shared" si="124"/>
        <v>FALSE</v>
      </c>
      <c r="R788" s="9" t="b">
        <f t="shared" si="125"/>
        <v>0</v>
      </c>
      <c r="S788" s="8" t="b">
        <f t="shared" si="126"/>
        <v>0</v>
      </c>
      <c r="T788" s="10" t="b">
        <f t="shared" si="127"/>
        <v>0</v>
      </c>
      <c r="U788" s="8" t="str">
        <f t="shared" si="128"/>
        <v>TRUE</v>
      </c>
      <c r="V788" s="11" t="str">
        <f t="shared" si="129"/>
        <v>FALSE</v>
      </c>
    </row>
    <row r="789" spans="1:22" ht="15.75">
      <c r="A789" s="21">
        <v>787</v>
      </c>
      <c r="B789" s="5" t="s">
        <v>3960</v>
      </c>
      <c r="C789" s="23" t="s">
        <v>3641</v>
      </c>
      <c r="D789" s="23" t="s">
        <v>59</v>
      </c>
      <c r="E789" s="5" t="s">
        <v>2296</v>
      </c>
      <c r="F789" s="71" t="s">
        <v>6106</v>
      </c>
      <c r="G789" s="22" t="s">
        <v>179</v>
      </c>
      <c r="H789" s="5" t="s">
        <v>36</v>
      </c>
      <c r="I789" s="5" t="s">
        <v>50</v>
      </c>
      <c r="J789" s="5" t="s">
        <v>5413</v>
      </c>
      <c r="K789" s="5" t="s">
        <v>2297</v>
      </c>
      <c r="L789" s="22"/>
      <c r="M789" s="8" t="str">
        <f t="shared" si="120"/>
        <v>Ok</v>
      </c>
      <c r="N789" s="9" t="b">
        <f t="shared" si="121"/>
        <v>1</v>
      </c>
      <c r="O789" s="9" t="b">
        <f t="shared" si="122"/>
        <v>1</v>
      </c>
      <c r="P789" s="8" t="str">
        <f t="shared" si="123"/>
        <v>FALSE</v>
      </c>
      <c r="Q789" s="8" t="str">
        <f t="shared" si="124"/>
        <v>FALSE</v>
      </c>
      <c r="R789" s="9" t="b">
        <f t="shared" si="125"/>
        <v>1</v>
      </c>
      <c r="S789" s="8" t="b">
        <f t="shared" si="126"/>
        <v>1</v>
      </c>
      <c r="T789" s="10" t="b">
        <f t="shared" si="127"/>
        <v>0</v>
      </c>
      <c r="U789" s="8" t="str">
        <f t="shared" si="128"/>
        <v>TRUE</v>
      </c>
      <c r="V789" s="11" t="str">
        <f t="shared" si="129"/>
        <v>TRUE</v>
      </c>
    </row>
    <row r="790" spans="1:22" ht="15.75">
      <c r="A790" s="21">
        <v>788</v>
      </c>
      <c r="B790" s="5" t="s">
        <v>2298</v>
      </c>
      <c r="C790" s="23" t="s">
        <v>3052</v>
      </c>
      <c r="D790" s="23" t="s">
        <v>34</v>
      </c>
      <c r="E790" s="5" t="s">
        <v>2299</v>
      </c>
      <c r="F790" s="71" t="s">
        <v>6106</v>
      </c>
      <c r="G790" s="22" t="s">
        <v>40</v>
      </c>
      <c r="H790" s="5" t="s">
        <v>71</v>
      </c>
      <c r="I790" s="5" t="s">
        <v>14</v>
      </c>
      <c r="J790" s="5" t="s">
        <v>5335</v>
      </c>
      <c r="K790" s="5" t="s">
        <v>2300</v>
      </c>
      <c r="L790" s="22"/>
      <c r="M790" s="8" t="str">
        <f t="shared" si="120"/>
        <v>Ok</v>
      </c>
      <c r="N790" s="9" t="b">
        <f t="shared" si="121"/>
        <v>0</v>
      </c>
      <c r="O790" s="9" t="b">
        <f t="shared" si="122"/>
        <v>0</v>
      </c>
      <c r="P790" s="8" t="str">
        <f t="shared" si="123"/>
        <v>FALSE</v>
      </c>
      <c r="Q790" s="8" t="str">
        <f t="shared" si="124"/>
        <v>FALSE</v>
      </c>
      <c r="R790" s="9" t="b">
        <f t="shared" si="125"/>
        <v>1</v>
      </c>
      <c r="S790" s="8" t="b">
        <f t="shared" si="126"/>
        <v>1</v>
      </c>
      <c r="T790" s="10" t="b">
        <f t="shared" si="127"/>
        <v>1</v>
      </c>
      <c r="U790" s="8" t="str">
        <f t="shared" si="128"/>
        <v>TRUE</v>
      </c>
      <c r="V790" s="11" t="str">
        <f t="shared" si="129"/>
        <v>TRUE</v>
      </c>
    </row>
    <row r="791" spans="1:22" ht="15.75">
      <c r="A791" s="21">
        <v>789</v>
      </c>
      <c r="B791" s="5" t="s">
        <v>2301</v>
      </c>
      <c r="C791" s="23" t="s">
        <v>3412</v>
      </c>
      <c r="D791" s="23" t="s">
        <v>17</v>
      </c>
      <c r="E791" s="5" t="s">
        <v>2302</v>
      </c>
      <c r="F791" s="71" t="s">
        <v>6106</v>
      </c>
      <c r="G791" s="22" t="s">
        <v>3933</v>
      </c>
      <c r="H791" s="5" t="s">
        <v>3932</v>
      </c>
      <c r="I791" s="5" t="s">
        <v>14</v>
      </c>
      <c r="J791" s="5" t="s">
        <v>5465</v>
      </c>
      <c r="K791" s="5" t="s">
        <v>2303</v>
      </c>
      <c r="L791" s="22"/>
      <c r="M791" s="8" t="str">
        <f t="shared" si="120"/>
        <v>Ok</v>
      </c>
      <c r="N791" s="9" t="b">
        <f t="shared" si="121"/>
        <v>1</v>
      </c>
      <c r="O791" s="9" t="b">
        <f t="shared" si="122"/>
        <v>1</v>
      </c>
      <c r="P791" s="8" t="str">
        <f t="shared" si="123"/>
        <v>FALSE</v>
      </c>
      <c r="Q791" s="8" t="str">
        <f t="shared" si="124"/>
        <v>FALSE</v>
      </c>
      <c r="R791" s="9" t="b">
        <f t="shared" si="125"/>
        <v>0</v>
      </c>
      <c r="S791" s="8" t="b">
        <f t="shared" si="126"/>
        <v>0</v>
      </c>
      <c r="T791" s="10" t="b">
        <f t="shared" si="127"/>
        <v>1</v>
      </c>
      <c r="U791" s="8" t="str">
        <f t="shared" si="128"/>
        <v>FALSE</v>
      </c>
      <c r="V791" s="11" t="str">
        <f t="shared" si="129"/>
        <v>FALSE</v>
      </c>
    </row>
    <row r="792" spans="1:22" ht="15.75">
      <c r="A792" s="21">
        <v>790</v>
      </c>
      <c r="B792" s="5" t="s">
        <v>2304</v>
      </c>
      <c r="C792" s="23" t="s">
        <v>3173</v>
      </c>
      <c r="D792" s="23" t="s">
        <v>34</v>
      </c>
      <c r="E792" s="5" t="s">
        <v>2305</v>
      </c>
      <c r="F792" s="71" t="s">
        <v>6106</v>
      </c>
      <c r="G792" s="22" t="s">
        <v>179</v>
      </c>
      <c r="H792" s="22" t="s">
        <v>179</v>
      </c>
      <c r="I792" s="5" t="s">
        <v>21</v>
      </c>
      <c r="J792" s="5" t="s">
        <v>5389</v>
      </c>
      <c r="K792" s="5" t="s">
        <v>2306</v>
      </c>
      <c r="L792" s="22"/>
      <c r="M792" s="8" t="str">
        <f t="shared" si="120"/>
        <v>Ok</v>
      </c>
      <c r="N792" s="9" t="b">
        <f t="shared" si="121"/>
        <v>0</v>
      </c>
      <c r="O792" s="9" t="b">
        <f t="shared" si="122"/>
        <v>0</v>
      </c>
      <c r="P792" s="8" t="str">
        <f t="shared" si="123"/>
        <v>FALSE</v>
      </c>
      <c r="Q792" s="8" t="str">
        <f t="shared" si="124"/>
        <v>FALSE</v>
      </c>
      <c r="R792" s="9" t="b">
        <f t="shared" si="125"/>
        <v>1</v>
      </c>
      <c r="S792" s="8" t="b">
        <f t="shared" si="126"/>
        <v>1</v>
      </c>
      <c r="T792" s="10" t="b">
        <f t="shared" si="127"/>
        <v>0</v>
      </c>
      <c r="U792" s="8" t="str">
        <f t="shared" si="128"/>
        <v>TRUE</v>
      </c>
      <c r="V792" s="11" t="str">
        <f t="shared" si="129"/>
        <v>TRUE</v>
      </c>
    </row>
    <row r="793" spans="1:22" ht="15.75">
      <c r="A793" s="21">
        <v>791</v>
      </c>
      <c r="B793" s="5" t="s">
        <v>3961</v>
      </c>
      <c r="C793" s="23" t="s">
        <v>3053</v>
      </c>
      <c r="D793" s="23" t="s">
        <v>34</v>
      </c>
      <c r="E793" s="5" t="s">
        <v>2308</v>
      </c>
      <c r="F793" s="71" t="s">
        <v>6106</v>
      </c>
      <c r="G793" s="22" t="s">
        <v>40</v>
      </c>
      <c r="H793" s="5" t="s">
        <v>71</v>
      </c>
      <c r="I793" s="5" t="s">
        <v>42</v>
      </c>
      <c r="J793" s="5" t="s">
        <v>4971</v>
      </c>
      <c r="K793" s="5" t="s">
        <v>2309</v>
      </c>
      <c r="L793" s="22"/>
      <c r="M793" s="8" t="str">
        <f t="shared" si="120"/>
        <v>Ok</v>
      </c>
      <c r="N793" s="9" t="b">
        <f t="shared" si="121"/>
        <v>0</v>
      </c>
      <c r="O793" s="9" t="b">
        <f t="shared" si="122"/>
        <v>0</v>
      </c>
      <c r="P793" s="8" t="str">
        <f t="shared" si="123"/>
        <v>FALSE</v>
      </c>
      <c r="Q793" s="8" t="str">
        <f t="shared" si="124"/>
        <v>FALSE</v>
      </c>
      <c r="R793" s="9" t="b">
        <f t="shared" si="125"/>
        <v>1</v>
      </c>
      <c r="S793" s="8" t="b">
        <f t="shared" si="126"/>
        <v>1</v>
      </c>
      <c r="T793" s="10" t="b">
        <f t="shared" si="127"/>
        <v>1</v>
      </c>
      <c r="U793" s="8" t="str">
        <f t="shared" si="128"/>
        <v>TRUE</v>
      </c>
      <c r="V793" s="11" t="str">
        <f t="shared" si="129"/>
        <v>TRUE</v>
      </c>
    </row>
    <row r="794" spans="1:22" ht="15.75">
      <c r="A794" s="21">
        <v>792</v>
      </c>
      <c r="B794" s="5" t="s">
        <v>2310</v>
      </c>
      <c r="C794" s="23" t="s">
        <v>3850</v>
      </c>
      <c r="D794" s="23" t="s">
        <v>59</v>
      </c>
      <c r="E794" s="5" t="s">
        <v>2311</v>
      </c>
      <c r="F794" s="71" t="s">
        <v>6106</v>
      </c>
      <c r="G794" s="22" t="s">
        <v>144</v>
      </c>
      <c r="H794" s="5" t="s">
        <v>25</v>
      </c>
      <c r="I794" s="5" t="s">
        <v>50</v>
      </c>
      <c r="J794" s="5" t="s">
        <v>4831</v>
      </c>
      <c r="K794" s="5" t="s">
        <v>2312</v>
      </c>
      <c r="L794" s="22"/>
      <c r="M794" s="8" t="str">
        <f t="shared" si="120"/>
        <v>Ok</v>
      </c>
      <c r="N794" s="9" t="b">
        <f t="shared" si="121"/>
        <v>0</v>
      </c>
      <c r="O794" s="9" t="b">
        <f t="shared" si="122"/>
        <v>1</v>
      </c>
      <c r="P794" s="8" t="str">
        <f t="shared" si="123"/>
        <v>FALSE</v>
      </c>
      <c r="Q794" s="8" t="str">
        <f t="shared" si="124"/>
        <v>FALSE</v>
      </c>
      <c r="R794" s="9" t="b">
        <f t="shared" si="125"/>
        <v>1</v>
      </c>
      <c r="S794" s="8" t="b">
        <f t="shared" si="126"/>
        <v>0</v>
      </c>
      <c r="T794" s="10" t="b">
        <f t="shared" si="127"/>
        <v>0</v>
      </c>
      <c r="U794" s="8" t="str">
        <f t="shared" si="128"/>
        <v>TRUE</v>
      </c>
      <c r="V794" s="11" t="str">
        <f t="shared" si="129"/>
        <v>TRUE</v>
      </c>
    </row>
    <row r="795" spans="1:22" ht="15.75">
      <c r="A795" s="21">
        <v>793</v>
      </c>
      <c r="B795" s="5" t="s">
        <v>2313</v>
      </c>
      <c r="C795" s="23" t="s">
        <v>3174</v>
      </c>
      <c r="D795" s="23" t="s">
        <v>77</v>
      </c>
      <c r="E795" s="5" t="s">
        <v>2314</v>
      </c>
      <c r="F795" s="71" t="s">
        <v>6106</v>
      </c>
      <c r="G795" s="22" t="s">
        <v>179</v>
      </c>
      <c r="H795" s="22" t="s">
        <v>3932</v>
      </c>
      <c r="I795" s="5" t="s">
        <v>67</v>
      </c>
      <c r="J795" s="5" t="s">
        <v>5660</v>
      </c>
      <c r="K795" s="5" t="s">
        <v>2315</v>
      </c>
      <c r="L795" s="22"/>
      <c r="M795" s="8" t="str">
        <f t="shared" si="120"/>
        <v>Ok</v>
      </c>
      <c r="N795" s="9" t="b">
        <f t="shared" si="121"/>
        <v>0</v>
      </c>
      <c r="O795" s="9" t="b">
        <f t="shared" si="122"/>
        <v>0</v>
      </c>
      <c r="P795" s="8" t="str">
        <f t="shared" si="123"/>
        <v>FALSE</v>
      </c>
      <c r="Q795" s="8" t="str">
        <f t="shared" si="124"/>
        <v>FALSE</v>
      </c>
      <c r="R795" s="9" t="b">
        <f t="shared" si="125"/>
        <v>1</v>
      </c>
      <c r="S795" s="8" t="b">
        <f t="shared" si="126"/>
        <v>0</v>
      </c>
      <c r="T795" s="10" t="b">
        <f t="shared" si="127"/>
        <v>0</v>
      </c>
      <c r="U795" s="8" t="str">
        <f t="shared" si="128"/>
        <v>FALSE</v>
      </c>
      <c r="V795" s="11" t="str">
        <f t="shared" si="129"/>
        <v>FALSE</v>
      </c>
    </row>
    <row r="796" spans="1:22" ht="15.75">
      <c r="A796" s="21">
        <v>794</v>
      </c>
      <c r="B796" s="5" t="s">
        <v>2316</v>
      </c>
      <c r="C796" s="23" t="s">
        <v>3642</v>
      </c>
      <c r="D796" s="23" t="s">
        <v>59</v>
      </c>
      <c r="E796" s="5" t="s">
        <v>2317</v>
      </c>
      <c r="F796" s="71" t="s">
        <v>6106</v>
      </c>
      <c r="G796" s="22" t="s">
        <v>179</v>
      </c>
      <c r="H796" s="5" t="s">
        <v>36</v>
      </c>
      <c r="I796" s="5" t="s">
        <v>42</v>
      </c>
      <c r="J796" s="5" t="s">
        <v>5472</v>
      </c>
      <c r="K796" s="5" t="s">
        <v>2318</v>
      </c>
      <c r="L796" s="22"/>
      <c r="M796" s="8" t="str">
        <f t="shared" si="120"/>
        <v>Ok</v>
      </c>
      <c r="N796" s="9" t="b">
        <f t="shared" si="121"/>
        <v>1</v>
      </c>
      <c r="O796" s="9" t="b">
        <f t="shared" si="122"/>
        <v>1</v>
      </c>
      <c r="P796" s="8" t="str">
        <f t="shared" si="123"/>
        <v>FALSE</v>
      </c>
      <c r="Q796" s="8" t="str">
        <f t="shared" si="124"/>
        <v>FALSE</v>
      </c>
      <c r="R796" s="9" t="b">
        <f t="shared" si="125"/>
        <v>1</v>
      </c>
      <c r="S796" s="8" t="b">
        <f t="shared" si="126"/>
        <v>1</v>
      </c>
      <c r="T796" s="10" t="b">
        <f t="shared" si="127"/>
        <v>1</v>
      </c>
      <c r="U796" s="8" t="str">
        <f t="shared" si="128"/>
        <v>FALSE</v>
      </c>
      <c r="V796" s="11" t="str">
        <f t="shared" si="129"/>
        <v>FALSE</v>
      </c>
    </row>
    <row r="797" spans="1:22" ht="15.75">
      <c r="A797" s="21">
        <v>795</v>
      </c>
      <c r="B797" s="5" t="s">
        <v>2319</v>
      </c>
      <c r="C797" s="23" t="s">
        <v>3102</v>
      </c>
      <c r="D797" s="23" t="s">
        <v>77</v>
      </c>
      <c r="E797" s="5" t="s">
        <v>2320</v>
      </c>
      <c r="F797" s="71" t="s">
        <v>6106</v>
      </c>
      <c r="G797" s="22" t="s">
        <v>179</v>
      </c>
      <c r="H797" s="22" t="s">
        <v>179</v>
      </c>
      <c r="I797" s="5" t="s">
        <v>50</v>
      </c>
      <c r="J797" s="5" t="s">
        <v>4818</v>
      </c>
      <c r="K797" s="5" t="s">
        <v>2321</v>
      </c>
      <c r="L797" s="22"/>
      <c r="M797" s="8" t="str">
        <f t="shared" si="120"/>
        <v>Ok</v>
      </c>
      <c r="N797" s="9" t="b">
        <f t="shared" si="121"/>
        <v>0</v>
      </c>
      <c r="O797" s="9" t="b">
        <f t="shared" si="122"/>
        <v>0</v>
      </c>
      <c r="P797" s="8" t="str">
        <f t="shared" si="123"/>
        <v>FALSE</v>
      </c>
      <c r="Q797" s="8" t="str">
        <f t="shared" si="124"/>
        <v>FALSE</v>
      </c>
      <c r="R797" s="9" t="b">
        <f t="shared" si="125"/>
        <v>1</v>
      </c>
      <c r="S797" s="8" t="b">
        <f t="shared" si="126"/>
        <v>1</v>
      </c>
      <c r="T797" s="10" t="b">
        <f t="shared" si="127"/>
        <v>0</v>
      </c>
      <c r="U797" s="8" t="str">
        <f t="shared" si="128"/>
        <v>TRUE</v>
      </c>
      <c r="V797" s="11" t="str">
        <f t="shared" si="129"/>
        <v>TRUE</v>
      </c>
    </row>
    <row r="798" spans="1:22" ht="15.75">
      <c r="A798" s="21">
        <v>796</v>
      </c>
      <c r="B798" s="5" t="s">
        <v>2322</v>
      </c>
      <c r="C798" s="23" t="s">
        <v>3316</v>
      </c>
      <c r="D798" s="23" t="s">
        <v>77</v>
      </c>
      <c r="E798" s="5" t="s">
        <v>2323</v>
      </c>
      <c r="F798" s="71" t="s">
        <v>6106</v>
      </c>
      <c r="G798" s="22" t="s">
        <v>179</v>
      </c>
      <c r="H798" s="5" t="s">
        <v>3932</v>
      </c>
      <c r="I798" s="5" t="s">
        <v>50</v>
      </c>
      <c r="J798" s="5" t="s">
        <v>5033</v>
      </c>
      <c r="K798" s="5" t="s">
        <v>2324</v>
      </c>
      <c r="L798" s="22"/>
      <c r="M798" s="8" t="str">
        <f t="shared" si="120"/>
        <v>Ok</v>
      </c>
      <c r="N798" s="9" t="b">
        <f t="shared" si="121"/>
        <v>1</v>
      </c>
      <c r="O798" s="9" t="b">
        <f t="shared" si="122"/>
        <v>0</v>
      </c>
      <c r="P798" s="8" t="str">
        <f t="shared" si="123"/>
        <v>FALSE</v>
      </c>
      <c r="Q798" s="8" t="str">
        <f t="shared" si="124"/>
        <v>FALSE</v>
      </c>
      <c r="R798" s="9" t="b">
        <f t="shared" si="125"/>
        <v>1</v>
      </c>
      <c r="S798" s="8" t="b">
        <f t="shared" si="126"/>
        <v>0</v>
      </c>
      <c r="T798" s="10" t="b">
        <f t="shared" si="127"/>
        <v>0</v>
      </c>
      <c r="U798" s="8" t="str">
        <f t="shared" si="128"/>
        <v>TRUE</v>
      </c>
      <c r="V798" s="11" t="str">
        <f t="shared" si="129"/>
        <v>TRUE</v>
      </c>
    </row>
    <row r="799" spans="1:22" ht="15.75">
      <c r="A799" s="21">
        <v>797</v>
      </c>
      <c r="B799" s="5" t="s">
        <v>2325</v>
      </c>
      <c r="C799" s="23" t="s">
        <v>3519</v>
      </c>
      <c r="D799" s="23" t="s">
        <v>77</v>
      </c>
      <c r="E799" s="5" t="s">
        <v>2326</v>
      </c>
      <c r="F799" s="71" t="s">
        <v>6106</v>
      </c>
      <c r="G799" s="22" t="s">
        <v>160</v>
      </c>
      <c r="H799" s="5" t="s">
        <v>3932</v>
      </c>
      <c r="I799" s="5" t="s">
        <v>14</v>
      </c>
      <c r="J799" s="5" t="s">
        <v>5414</v>
      </c>
      <c r="K799" s="5">
        <v>835867825</v>
      </c>
      <c r="L799" s="22"/>
      <c r="M799" s="8" t="str">
        <f t="shared" si="120"/>
        <v>Ok</v>
      </c>
      <c r="N799" s="9" t="b">
        <f t="shared" si="121"/>
        <v>1</v>
      </c>
      <c r="O799" s="9" t="b">
        <f t="shared" si="122"/>
        <v>0</v>
      </c>
      <c r="P799" s="8" t="str">
        <f t="shared" si="123"/>
        <v>FALSE</v>
      </c>
      <c r="Q799" s="8" t="str">
        <f t="shared" si="124"/>
        <v>FALSE</v>
      </c>
      <c r="R799" s="9" t="b">
        <f t="shared" si="125"/>
        <v>0</v>
      </c>
      <c r="S799" s="8" t="b">
        <f t="shared" si="126"/>
        <v>0</v>
      </c>
      <c r="T799" s="10" t="b">
        <f t="shared" si="127"/>
        <v>1</v>
      </c>
      <c r="U799" s="8" t="str">
        <f t="shared" si="128"/>
        <v>TRUE</v>
      </c>
      <c r="V799" s="11" t="str">
        <f t="shared" si="129"/>
        <v>FALSE</v>
      </c>
    </row>
    <row r="800" spans="1:22" ht="15.75">
      <c r="A800" s="21">
        <v>798</v>
      </c>
      <c r="B800" s="5" t="s">
        <v>2327</v>
      </c>
      <c r="C800" s="23" t="s">
        <v>3263</v>
      </c>
      <c r="D800" s="23" t="s">
        <v>77</v>
      </c>
      <c r="E800" s="5" t="s">
        <v>2328</v>
      </c>
      <c r="F800" s="71" t="s">
        <v>6106</v>
      </c>
      <c r="G800" s="22" t="s">
        <v>179</v>
      </c>
      <c r="H800" s="5" t="s">
        <v>3932</v>
      </c>
      <c r="I800" s="5" t="s">
        <v>56</v>
      </c>
      <c r="J800" s="5" t="s">
        <v>5557</v>
      </c>
      <c r="K800" s="5" t="s">
        <v>2329</v>
      </c>
      <c r="L800" s="22"/>
      <c r="M800" s="8" t="str">
        <f t="shared" si="120"/>
        <v>Ok</v>
      </c>
      <c r="N800" s="9" t="b">
        <f t="shared" si="121"/>
        <v>1</v>
      </c>
      <c r="O800" s="9" t="b">
        <f t="shared" si="122"/>
        <v>0</v>
      </c>
      <c r="P800" s="8" t="str">
        <f t="shared" si="123"/>
        <v>FALSE</v>
      </c>
      <c r="Q800" s="8" t="str">
        <f t="shared" si="124"/>
        <v>FALSE</v>
      </c>
      <c r="R800" s="9" t="b">
        <f t="shared" si="125"/>
        <v>1</v>
      </c>
      <c r="S800" s="8" t="b">
        <f t="shared" si="126"/>
        <v>0</v>
      </c>
      <c r="T800" s="10" t="b">
        <f t="shared" si="127"/>
        <v>1</v>
      </c>
      <c r="U800" s="8" t="str">
        <f t="shared" si="128"/>
        <v>FALSE</v>
      </c>
      <c r="V800" s="11" t="str">
        <f t="shared" si="129"/>
        <v>TRUE</v>
      </c>
    </row>
    <row r="801" spans="1:22" ht="15.75">
      <c r="A801" s="21">
        <v>799</v>
      </c>
      <c r="B801" s="5" t="s">
        <v>2330</v>
      </c>
      <c r="C801" s="23" t="s">
        <v>3413</v>
      </c>
      <c r="D801" s="23" t="s">
        <v>17</v>
      </c>
      <c r="E801" s="5" t="s">
        <v>2331</v>
      </c>
      <c r="F801" s="71" t="s">
        <v>6106</v>
      </c>
      <c r="G801" s="22" t="s">
        <v>3933</v>
      </c>
      <c r="H801" s="5" t="s">
        <v>3932</v>
      </c>
      <c r="I801" s="5" t="s">
        <v>14</v>
      </c>
      <c r="J801" s="5" t="s">
        <v>5766</v>
      </c>
      <c r="K801" s="5" t="s">
        <v>2332</v>
      </c>
      <c r="L801" s="22"/>
      <c r="M801" s="8" t="str">
        <f t="shared" si="120"/>
        <v>Ok</v>
      </c>
      <c r="N801" s="9" t="b">
        <f t="shared" si="121"/>
        <v>1</v>
      </c>
      <c r="O801" s="9" t="b">
        <f t="shared" si="122"/>
        <v>1</v>
      </c>
      <c r="P801" s="8" t="str">
        <f t="shared" si="123"/>
        <v>FALSE</v>
      </c>
      <c r="Q801" s="8" t="str">
        <f t="shared" si="124"/>
        <v>FALSE</v>
      </c>
      <c r="R801" s="9" t="b">
        <f t="shared" si="125"/>
        <v>0</v>
      </c>
      <c r="S801" s="8" t="b">
        <f t="shared" si="126"/>
        <v>0</v>
      </c>
      <c r="T801" s="10" t="b">
        <f t="shared" si="127"/>
        <v>1</v>
      </c>
      <c r="U801" s="8" t="str">
        <f t="shared" si="128"/>
        <v>FALSE</v>
      </c>
      <c r="V801" s="11" t="str">
        <f t="shared" si="129"/>
        <v>TRUE</v>
      </c>
    </row>
    <row r="802" spans="1:22" ht="15.75">
      <c r="A802" s="21">
        <v>800</v>
      </c>
      <c r="B802" s="5" t="s">
        <v>2333</v>
      </c>
      <c r="C802" s="23" t="s">
        <v>3520</v>
      </c>
      <c r="D802" s="23" t="s">
        <v>77</v>
      </c>
      <c r="E802" s="5" t="s">
        <v>2334</v>
      </c>
      <c r="F802" s="71" t="s">
        <v>6106</v>
      </c>
      <c r="G802" s="22" t="s">
        <v>160</v>
      </c>
      <c r="H802" s="5" t="s">
        <v>3932</v>
      </c>
      <c r="I802" s="5" t="s">
        <v>67</v>
      </c>
      <c r="J802" s="5" t="s">
        <v>5417</v>
      </c>
      <c r="K802" s="5" t="s">
        <v>2335</v>
      </c>
      <c r="L802" s="22"/>
      <c r="M802" s="8" t="str">
        <f t="shared" si="120"/>
        <v>Ok</v>
      </c>
      <c r="N802" s="9" t="b">
        <f t="shared" si="121"/>
        <v>1</v>
      </c>
      <c r="O802" s="9" t="b">
        <f t="shared" si="122"/>
        <v>0</v>
      </c>
      <c r="P802" s="8" t="str">
        <f t="shared" si="123"/>
        <v>FALSE</v>
      </c>
      <c r="Q802" s="8" t="str">
        <f t="shared" si="124"/>
        <v>FALSE</v>
      </c>
      <c r="R802" s="9" t="b">
        <f t="shared" si="125"/>
        <v>0</v>
      </c>
      <c r="S802" s="8" t="b">
        <f t="shared" si="126"/>
        <v>0</v>
      </c>
      <c r="T802" s="10" t="b">
        <f t="shared" si="127"/>
        <v>0</v>
      </c>
      <c r="U802" s="8" t="str">
        <f t="shared" si="128"/>
        <v>TRUE</v>
      </c>
      <c r="V802" s="11" t="str">
        <f t="shared" si="129"/>
        <v>TRUE</v>
      </c>
    </row>
    <row r="803" spans="1:22" ht="15.75">
      <c r="A803" s="21">
        <v>801</v>
      </c>
      <c r="B803" s="5" t="s">
        <v>2336</v>
      </c>
      <c r="C803" s="23" t="s">
        <v>3804</v>
      </c>
      <c r="D803" s="23" t="s">
        <v>59</v>
      </c>
      <c r="E803" s="5" t="s">
        <v>2337</v>
      </c>
      <c r="F803" s="71" t="s">
        <v>6106</v>
      </c>
      <c r="G803" s="22" t="s">
        <v>24</v>
      </c>
      <c r="H803" s="5" t="s">
        <v>25</v>
      </c>
      <c r="I803" s="5" t="s">
        <v>42</v>
      </c>
      <c r="J803" s="5" t="s">
        <v>4836</v>
      </c>
      <c r="K803" s="5" t="s">
        <v>2338</v>
      </c>
      <c r="L803" s="22"/>
      <c r="M803" s="8" t="str">
        <f t="shared" si="120"/>
        <v>Ok</v>
      </c>
      <c r="N803" s="9" t="b">
        <f t="shared" si="121"/>
        <v>0</v>
      </c>
      <c r="O803" s="9" t="b">
        <f t="shared" si="122"/>
        <v>1</v>
      </c>
      <c r="P803" s="8" t="str">
        <f t="shared" si="123"/>
        <v>FALSE</v>
      </c>
      <c r="Q803" s="8" t="str">
        <f t="shared" si="124"/>
        <v>FALSE</v>
      </c>
      <c r="R803" s="9" t="b">
        <f t="shared" si="125"/>
        <v>0</v>
      </c>
      <c r="S803" s="8" t="b">
        <f t="shared" si="126"/>
        <v>0</v>
      </c>
      <c r="T803" s="10" t="b">
        <f t="shared" si="127"/>
        <v>1</v>
      </c>
      <c r="U803" s="8" t="str">
        <f t="shared" si="128"/>
        <v>TRUE</v>
      </c>
      <c r="V803" s="11" t="str">
        <f t="shared" si="129"/>
        <v>TRUE</v>
      </c>
    </row>
    <row r="804" spans="1:22" ht="15.75">
      <c r="A804" s="21">
        <v>802</v>
      </c>
      <c r="B804" s="5" t="s">
        <v>2339</v>
      </c>
      <c r="C804" s="23" t="s">
        <v>3805</v>
      </c>
      <c r="D804" s="23" t="s">
        <v>59</v>
      </c>
      <c r="E804" s="5" t="s">
        <v>2340</v>
      </c>
      <c r="F804" s="71" t="s">
        <v>6106</v>
      </c>
      <c r="G804" s="22" t="s">
        <v>24</v>
      </c>
      <c r="H804" s="5" t="s">
        <v>25</v>
      </c>
      <c r="I804" s="5" t="s">
        <v>14</v>
      </c>
      <c r="J804" s="5" t="s">
        <v>5168</v>
      </c>
      <c r="K804" s="5" t="s">
        <v>2341</v>
      </c>
      <c r="L804" s="22"/>
      <c r="M804" s="8" t="str">
        <f t="shared" si="120"/>
        <v>Ok</v>
      </c>
      <c r="N804" s="9" t="b">
        <f t="shared" si="121"/>
        <v>0</v>
      </c>
      <c r="O804" s="9" t="b">
        <f t="shared" si="122"/>
        <v>1</v>
      </c>
      <c r="P804" s="8" t="str">
        <f t="shared" si="123"/>
        <v>FALSE</v>
      </c>
      <c r="Q804" s="8" t="str">
        <f t="shared" si="124"/>
        <v>FALSE</v>
      </c>
      <c r="R804" s="9" t="b">
        <f t="shared" si="125"/>
        <v>0</v>
      </c>
      <c r="S804" s="8" t="b">
        <f t="shared" si="126"/>
        <v>0</v>
      </c>
      <c r="T804" s="10" t="b">
        <f t="shared" si="127"/>
        <v>1</v>
      </c>
      <c r="U804" s="8" t="str">
        <f t="shared" si="128"/>
        <v>TRUE</v>
      </c>
      <c r="V804" s="11" t="str">
        <f t="shared" si="129"/>
        <v>FALSE</v>
      </c>
    </row>
    <row r="805" spans="1:22" ht="15.75">
      <c r="A805" s="21">
        <v>803</v>
      </c>
      <c r="B805" s="5" t="s">
        <v>2342</v>
      </c>
      <c r="C805" s="23" t="s">
        <v>3264</v>
      </c>
      <c r="D805" s="23" t="s">
        <v>77</v>
      </c>
      <c r="E805" s="5" t="s">
        <v>1182</v>
      </c>
      <c r="F805" s="71" t="s">
        <v>6106</v>
      </c>
      <c r="G805" s="22" t="s">
        <v>179</v>
      </c>
      <c r="H805" s="5" t="s">
        <v>3932</v>
      </c>
      <c r="I805" s="5" t="s">
        <v>42</v>
      </c>
      <c r="J805" s="5" t="s">
        <v>4816</v>
      </c>
      <c r="K805" s="5" t="s">
        <v>2343</v>
      </c>
      <c r="L805" s="22"/>
      <c r="M805" s="8" t="str">
        <f t="shared" si="120"/>
        <v>Ok</v>
      </c>
      <c r="N805" s="9" t="b">
        <f t="shared" si="121"/>
        <v>1</v>
      </c>
      <c r="O805" s="9" t="b">
        <f t="shared" si="122"/>
        <v>0</v>
      </c>
      <c r="P805" s="8" t="str">
        <f t="shared" si="123"/>
        <v>FALSE</v>
      </c>
      <c r="Q805" s="8" t="str">
        <f t="shared" si="124"/>
        <v>FALSE</v>
      </c>
      <c r="R805" s="9" t="b">
        <f t="shared" si="125"/>
        <v>1</v>
      </c>
      <c r="S805" s="8" t="b">
        <f t="shared" si="126"/>
        <v>0</v>
      </c>
      <c r="T805" s="10" t="b">
        <f t="shared" si="127"/>
        <v>1</v>
      </c>
      <c r="U805" s="8" t="str">
        <f t="shared" si="128"/>
        <v>TRUE</v>
      </c>
      <c r="V805" s="11" t="str">
        <f t="shared" si="129"/>
        <v>TRUE</v>
      </c>
    </row>
    <row r="806" spans="1:22" ht="15.75">
      <c r="A806" s="21">
        <v>804</v>
      </c>
      <c r="B806" s="5" t="s">
        <v>2344</v>
      </c>
      <c r="C806" s="23" t="s">
        <v>3265</v>
      </c>
      <c r="D806" s="23" t="s">
        <v>77</v>
      </c>
      <c r="E806" s="5" t="s">
        <v>2345</v>
      </c>
      <c r="F806" s="71" t="s">
        <v>6106</v>
      </c>
      <c r="G806" s="22" t="s">
        <v>179</v>
      </c>
      <c r="H806" s="5" t="s">
        <v>3932</v>
      </c>
      <c r="I806" s="5" t="s">
        <v>14</v>
      </c>
      <c r="J806" s="5" t="s">
        <v>4874</v>
      </c>
      <c r="K806" s="5" t="s">
        <v>2346</v>
      </c>
      <c r="L806" s="22"/>
      <c r="M806" s="8" t="str">
        <f t="shared" si="120"/>
        <v>Ok</v>
      </c>
      <c r="N806" s="9" t="b">
        <f t="shared" si="121"/>
        <v>1</v>
      </c>
      <c r="O806" s="9" t="b">
        <f t="shared" si="122"/>
        <v>0</v>
      </c>
      <c r="P806" s="8" t="str">
        <f t="shared" si="123"/>
        <v>FALSE</v>
      </c>
      <c r="Q806" s="8" t="str">
        <f t="shared" si="124"/>
        <v>FALSE</v>
      </c>
      <c r="R806" s="9" t="b">
        <f t="shared" si="125"/>
        <v>1</v>
      </c>
      <c r="S806" s="8" t="b">
        <f t="shared" si="126"/>
        <v>0</v>
      </c>
      <c r="T806" s="10" t="b">
        <f t="shared" si="127"/>
        <v>1</v>
      </c>
      <c r="U806" s="8" t="str">
        <f t="shared" si="128"/>
        <v>TRUE</v>
      </c>
      <c r="V806" s="11" t="str">
        <f t="shared" si="129"/>
        <v>TRUE</v>
      </c>
    </row>
    <row r="807" spans="1:22" ht="15.75">
      <c r="A807" s="21">
        <v>805</v>
      </c>
      <c r="B807" s="5" t="s">
        <v>2347</v>
      </c>
      <c r="C807" s="23" t="s">
        <v>3738</v>
      </c>
      <c r="D807" s="23" t="s">
        <v>59</v>
      </c>
      <c r="E807" s="5" t="s">
        <v>2348</v>
      </c>
      <c r="F807" s="71" t="s">
        <v>6106</v>
      </c>
      <c r="G807" s="22" t="s">
        <v>3934</v>
      </c>
      <c r="H807" s="5" t="s">
        <v>13</v>
      </c>
      <c r="I807" s="5" t="s">
        <v>50</v>
      </c>
      <c r="J807" s="5" t="s">
        <v>5315</v>
      </c>
      <c r="K807" s="5" t="s">
        <v>2349</v>
      </c>
      <c r="L807" s="22"/>
      <c r="M807" s="8" t="str">
        <f t="shared" si="120"/>
        <v>Ok</v>
      </c>
      <c r="N807" s="9" t="b">
        <f t="shared" si="121"/>
        <v>0</v>
      </c>
      <c r="O807" s="9" t="b">
        <f t="shared" si="122"/>
        <v>1</v>
      </c>
      <c r="P807" s="8" t="str">
        <f t="shared" si="123"/>
        <v>FALSE</v>
      </c>
      <c r="Q807" s="8" t="str">
        <f t="shared" si="124"/>
        <v>FALSE</v>
      </c>
      <c r="R807" s="9" t="b">
        <f t="shared" si="125"/>
        <v>0</v>
      </c>
      <c r="S807" s="8" t="b">
        <f t="shared" si="126"/>
        <v>0</v>
      </c>
      <c r="T807" s="10" t="b">
        <f t="shared" si="127"/>
        <v>0</v>
      </c>
      <c r="U807" s="8" t="str">
        <f t="shared" si="128"/>
        <v>TRUE</v>
      </c>
      <c r="V807" s="11" t="str">
        <f t="shared" si="129"/>
        <v>TRUE</v>
      </c>
    </row>
    <row r="808" spans="1:22" ht="15.75">
      <c r="A808" s="21">
        <v>806</v>
      </c>
      <c r="B808" s="5" t="s">
        <v>3962</v>
      </c>
      <c r="C808" s="23" t="s">
        <v>3103</v>
      </c>
      <c r="D808" s="23" t="s">
        <v>77</v>
      </c>
      <c r="E808" s="5" t="s">
        <v>2350</v>
      </c>
      <c r="F808" s="71" t="s">
        <v>6106</v>
      </c>
      <c r="G808" s="22" t="s">
        <v>179</v>
      </c>
      <c r="H808" s="22" t="s">
        <v>179</v>
      </c>
      <c r="I808" s="5" t="s">
        <v>50</v>
      </c>
      <c r="J808" s="5" t="s">
        <v>5216</v>
      </c>
      <c r="K808" s="5" t="s">
        <v>2351</v>
      </c>
      <c r="L808" s="22"/>
      <c r="M808" s="8" t="str">
        <f t="shared" si="120"/>
        <v>Ok</v>
      </c>
      <c r="N808" s="9" t="b">
        <f t="shared" si="121"/>
        <v>0</v>
      </c>
      <c r="O808" s="9" t="b">
        <f t="shared" si="122"/>
        <v>0</v>
      </c>
      <c r="P808" s="8" t="str">
        <f t="shared" si="123"/>
        <v>FALSE</v>
      </c>
      <c r="Q808" s="8" t="str">
        <f t="shared" si="124"/>
        <v>FALSE</v>
      </c>
      <c r="R808" s="9" t="b">
        <f t="shared" si="125"/>
        <v>1</v>
      </c>
      <c r="S808" s="8" t="b">
        <f t="shared" si="126"/>
        <v>1</v>
      </c>
      <c r="T808" s="10" t="b">
        <f t="shared" si="127"/>
        <v>0</v>
      </c>
      <c r="U808" s="8" t="str">
        <f t="shared" si="128"/>
        <v>TRUE</v>
      </c>
      <c r="V808" s="11" t="str">
        <f t="shared" si="129"/>
        <v>TRUE</v>
      </c>
    </row>
    <row r="809" spans="1:22" ht="15.75">
      <c r="A809" s="21">
        <v>807</v>
      </c>
      <c r="B809" s="5" t="s">
        <v>2352</v>
      </c>
      <c r="C809" s="23" t="s">
        <v>3266</v>
      </c>
      <c r="D809" s="23" t="s">
        <v>77</v>
      </c>
      <c r="E809" s="5" t="s">
        <v>2353</v>
      </c>
      <c r="F809" s="71" t="s">
        <v>6106</v>
      </c>
      <c r="G809" s="22" t="s">
        <v>179</v>
      </c>
      <c r="H809" s="5" t="s">
        <v>3932</v>
      </c>
      <c r="I809" s="5" t="s">
        <v>50</v>
      </c>
      <c r="J809" s="5" t="s">
        <v>5060</v>
      </c>
      <c r="K809" s="5" t="s">
        <v>2354</v>
      </c>
      <c r="L809" s="22"/>
      <c r="M809" s="8" t="str">
        <f t="shared" si="120"/>
        <v>Ok</v>
      </c>
      <c r="N809" s="9" t="b">
        <f t="shared" si="121"/>
        <v>1</v>
      </c>
      <c r="O809" s="9" t="b">
        <f t="shared" si="122"/>
        <v>0</v>
      </c>
      <c r="P809" s="8" t="str">
        <f t="shared" si="123"/>
        <v>FALSE</v>
      </c>
      <c r="Q809" s="8" t="str">
        <f t="shared" si="124"/>
        <v>FALSE</v>
      </c>
      <c r="R809" s="9" t="b">
        <f t="shared" si="125"/>
        <v>1</v>
      </c>
      <c r="S809" s="8" t="b">
        <f t="shared" si="126"/>
        <v>0</v>
      </c>
      <c r="T809" s="10" t="b">
        <f t="shared" si="127"/>
        <v>0</v>
      </c>
      <c r="U809" s="8" t="str">
        <f t="shared" si="128"/>
        <v>TRUE</v>
      </c>
      <c r="V809" s="11" t="str">
        <f t="shared" si="129"/>
        <v>TRUE</v>
      </c>
    </row>
    <row r="810" spans="1:22" ht="15.75">
      <c r="A810" s="21">
        <v>808</v>
      </c>
      <c r="B810" s="5" t="s">
        <v>2355</v>
      </c>
      <c r="C810" s="23" t="s">
        <v>3521</v>
      </c>
      <c r="D810" s="23" t="s">
        <v>77</v>
      </c>
      <c r="E810" s="5" t="s">
        <v>2356</v>
      </c>
      <c r="F810" s="71" t="s">
        <v>6106</v>
      </c>
      <c r="G810" s="22" t="s">
        <v>160</v>
      </c>
      <c r="H810" s="5" t="s">
        <v>3932</v>
      </c>
      <c r="I810" s="5" t="s">
        <v>21</v>
      </c>
      <c r="J810" s="5" t="s">
        <v>5428</v>
      </c>
      <c r="K810" s="5" t="s">
        <v>2357</v>
      </c>
      <c r="L810" s="22"/>
      <c r="M810" s="8" t="str">
        <f t="shared" si="120"/>
        <v>Ok</v>
      </c>
      <c r="N810" s="9" t="b">
        <f t="shared" si="121"/>
        <v>1</v>
      </c>
      <c r="O810" s="9" t="b">
        <f t="shared" si="122"/>
        <v>0</v>
      </c>
      <c r="P810" s="8" t="str">
        <f t="shared" si="123"/>
        <v>FALSE</v>
      </c>
      <c r="Q810" s="8" t="str">
        <f t="shared" si="124"/>
        <v>FALSE</v>
      </c>
      <c r="R810" s="9" t="b">
        <f t="shared" si="125"/>
        <v>0</v>
      </c>
      <c r="S810" s="8" t="b">
        <f t="shared" si="126"/>
        <v>0</v>
      </c>
      <c r="T810" s="10" t="b">
        <f t="shared" si="127"/>
        <v>0</v>
      </c>
      <c r="U810" s="8" t="str">
        <f t="shared" si="128"/>
        <v>TRUE</v>
      </c>
      <c r="V810" s="11" t="str">
        <f t="shared" si="129"/>
        <v>TRUE</v>
      </c>
    </row>
    <row r="811" spans="1:22" ht="15.75">
      <c r="A811" s="21">
        <v>809</v>
      </c>
      <c r="B811" s="5" t="s">
        <v>2358</v>
      </c>
      <c r="C811" s="23" t="s">
        <v>3175</v>
      </c>
      <c r="D811" s="23" t="s">
        <v>77</v>
      </c>
      <c r="E811" s="5" t="s">
        <v>2359</v>
      </c>
      <c r="F811" s="71" t="s">
        <v>6106</v>
      </c>
      <c r="G811" s="22" t="s">
        <v>179</v>
      </c>
      <c r="H811" s="5" t="s">
        <v>3932</v>
      </c>
      <c r="I811" s="5" t="s">
        <v>21</v>
      </c>
      <c r="J811" s="5" t="s">
        <v>5466</v>
      </c>
      <c r="K811" s="5" t="s">
        <v>2360</v>
      </c>
      <c r="L811" s="22"/>
      <c r="M811" s="8" t="str">
        <f t="shared" si="120"/>
        <v>Ok</v>
      </c>
      <c r="N811" s="9" t="b">
        <f t="shared" si="121"/>
        <v>0</v>
      </c>
      <c r="O811" s="9" t="b">
        <f t="shared" si="122"/>
        <v>0</v>
      </c>
      <c r="P811" s="8" t="str">
        <f t="shared" si="123"/>
        <v>FALSE</v>
      </c>
      <c r="Q811" s="8" t="str">
        <f t="shared" si="124"/>
        <v>FALSE</v>
      </c>
      <c r="R811" s="9" t="b">
        <f t="shared" si="125"/>
        <v>1</v>
      </c>
      <c r="S811" s="8" t="b">
        <f t="shared" si="126"/>
        <v>0</v>
      </c>
      <c r="T811" s="10" t="b">
        <f t="shared" si="127"/>
        <v>0</v>
      </c>
      <c r="U811" s="8" t="str">
        <f t="shared" si="128"/>
        <v>FALSE</v>
      </c>
      <c r="V811" s="11" t="str">
        <f t="shared" si="129"/>
        <v>TRUE</v>
      </c>
    </row>
    <row r="812" spans="1:22" ht="15.75">
      <c r="A812" s="21">
        <v>810</v>
      </c>
      <c r="B812" s="5" t="s">
        <v>2361</v>
      </c>
      <c r="C812" s="23" t="s">
        <v>2963</v>
      </c>
      <c r="D812" s="23" t="s">
        <v>17</v>
      </c>
      <c r="E812" s="5" t="s">
        <v>2362</v>
      </c>
      <c r="F812" s="71" t="s">
        <v>6106</v>
      </c>
      <c r="G812" s="22" t="s">
        <v>119</v>
      </c>
      <c r="H812" s="5" t="s">
        <v>120</v>
      </c>
      <c r="I812" s="5" t="s">
        <v>14</v>
      </c>
      <c r="J812" s="5" t="s">
        <v>5520</v>
      </c>
      <c r="K812" s="5" t="s">
        <v>2363</v>
      </c>
      <c r="L812" s="22"/>
      <c r="M812" s="8" t="str">
        <f t="shared" si="120"/>
        <v>Ok</v>
      </c>
      <c r="N812" s="9" t="b">
        <f t="shared" si="121"/>
        <v>0</v>
      </c>
      <c r="O812" s="9" t="b">
        <f t="shared" si="122"/>
        <v>1</v>
      </c>
      <c r="P812" s="8" t="str">
        <f t="shared" si="123"/>
        <v>FALSE</v>
      </c>
      <c r="Q812" s="8" t="str">
        <f t="shared" si="124"/>
        <v>FALSE</v>
      </c>
      <c r="R812" s="9" t="b">
        <f t="shared" si="125"/>
        <v>0</v>
      </c>
      <c r="S812" s="8" t="b">
        <f t="shared" si="126"/>
        <v>1</v>
      </c>
      <c r="T812" s="10" t="b">
        <f t="shared" si="127"/>
        <v>1</v>
      </c>
      <c r="U812" s="8" t="str">
        <f t="shared" si="128"/>
        <v>FALSE</v>
      </c>
      <c r="V812" s="11" t="str">
        <f t="shared" si="129"/>
        <v>TRUE</v>
      </c>
    </row>
    <row r="813" spans="1:22" ht="15.75">
      <c r="A813" s="21">
        <v>811</v>
      </c>
      <c r="B813" s="5" t="s">
        <v>2364</v>
      </c>
      <c r="C813" s="23" t="s">
        <v>3522</v>
      </c>
      <c r="D813" s="23" t="s">
        <v>77</v>
      </c>
      <c r="E813" s="5" t="s">
        <v>1320</v>
      </c>
      <c r="F813" s="71" t="s">
        <v>6106</v>
      </c>
      <c r="G813" s="22" t="s">
        <v>160</v>
      </c>
      <c r="H813" s="5" t="s">
        <v>3932</v>
      </c>
      <c r="I813" s="5" t="s">
        <v>56</v>
      </c>
      <c r="J813" s="5" t="s">
        <v>4947</v>
      </c>
      <c r="K813" s="5" t="s">
        <v>2365</v>
      </c>
      <c r="L813" s="22"/>
      <c r="M813" s="8" t="str">
        <f t="shared" si="120"/>
        <v>Ok</v>
      </c>
      <c r="N813" s="9" t="b">
        <f t="shared" si="121"/>
        <v>1</v>
      </c>
      <c r="O813" s="9" t="b">
        <f t="shared" si="122"/>
        <v>0</v>
      </c>
      <c r="P813" s="8" t="str">
        <f t="shared" si="123"/>
        <v>FALSE</v>
      </c>
      <c r="Q813" s="8" t="str">
        <f t="shared" si="124"/>
        <v>FALSE</v>
      </c>
      <c r="R813" s="9" t="b">
        <f t="shared" si="125"/>
        <v>0</v>
      </c>
      <c r="S813" s="8" t="b">
        <f t="shared" si="126"/>
        <v>0</v>
      </c>
      <c r="T813" s="10" t="b">
        <f t="shared" si="127"/>
        <v>1</v>
      </c>
      <c r="U813" s="8" t="str">
        <f t="shared" si="128"/>
        <v>TRUE</v>
      </c>
      <c r="V813" s="11" t="str">
        <f t="shared" si="129"/>
        <v>TRUE</v>
      </c>
    </row>
    <row r="814" spans="1:22" ht="15.75">
      <c r="A814" s="21">
        <v>812</v>
      </c>
      <c r="B814" s="5" t="s">
        <v>2366</v>
      </c>
      <c r="C814" s="23" t="s">
        <v>3054</v>
      </c>
      <c r="D814" s="23" t="s">
        <v>34</v>
      </c>
      <c r="E814" s="5" t="s">
        <v>2367</v>
      </c>
      <c r="F814" s="71" t="s">
        <v>6106</v>
      </c>
      <c r="G814" s="22" t="s">
        <v>40</v>
      </c>
      <c r="H814" s="5" t="s">
        <v>71</v>
      </c>
      <c r="I814" s="5" t="s">
        <v>50</v>
      </c>
      <c r="J814" s="5" t="s">
        <v>5462</v>
      </c>
      <c r="K814" s="5" t="s">
        <v>2368</v>
      </c>
      <c r="L814" s="22"/>
      <c r="M814" s="8" t="str">
        <f t="shared" si="120"/>
        <v>Ok</v>
      </c>
      <c r="N814" s="9" t="b">
        <f t="shared" si="121"/>
        <v>0</v>
      </c>
      <c r="O814" s="9" t="b">
        <f t="shared" si="122"/>
        <v>0</v>
      </c>
      <c r="P814" s="8" t="str">
        <f t="shared" si="123"/>
        <v>FALSE</v>
      </c>
      <c r="Q814" s="8" t="str">
        <f t="shared" si="124"/>
        <v>FALSE</v>
      </c>
      <c r="R814" s="9" t="b">
        <f t="shared" si="125"/>
        <v>1</v>
      </c>
      <c r="S814" s="8" t="b">
        <f t="shared" si="126"/>
        <v>1</v>
      </c>
      <c r="T814" s="10" t="b">
        <f t="shared" si="127"/>
        <v>0</v>
      </c>
      <c r="U814" s="8" t="str">
        <f t="shared" si="128"/>
        <v>FALSE</v>
      </c>
      <c r="V814" s="11" t="str">
        <f t="shared" si="129"/>
        <v>TRUE</v>
      </c>
    </row>
    <row r="815" spans="1:22" ht="15.75">
      <c r="A815" s="21">
        <v>813</v>
      </c>
      <c r="B815" s="5" t="s">
        <v>2369</v>
      </c>
      <c r="C815" s="23" t="s">
        <v>3643</v>
      </c>
      <c r="D815" s="23" t="s">
        <v>59</v>
      </c>
      <c r="E815" s="5" t="s">
        <v>2370</v>
      </c>
      <c r="F815" s="71" t="s">
        <v>6106</v>
      </c>
      <c r="G815" s="22" t="s">
        <v>160</v>
      </c>
      <c r="H815" s="5" t="s">
        <v>36</v>
      </c>
      <c r="I815" s="5" t="s">
        <v>21</v>
      </c>
      <c r="J815" s="5" t="s">
        <v>5260</v>
      </c>
      <c r="K815" s="5" t="s">
        <v>2371</v>
      </c>
      <c r="L815" s="22"/>
      <c r="M815" s="8" t="str">
        <f t="shared" si="120"/>
        <v>Ok</v>
      </c>
      <c r="N815" s="9" t="b">
        <f t="shared" si="121"/>
        <v>1</v>
      </c>
      <c r="O815" s="9" t="b">
        <f t="shared" si="122"/>
        <v>1</v>
      </c>
      <c r="P815" s="8" t="str">
        <f t="shared" si="123"/>
        <v>FALSE</v>
      </c>
      <c r="Q815" s="8" t="str">
        <f t="shared" si="124"/>
        <v>FALSE</v>
      </c>
      <c r="R815" s="9" t="b">
        <f t="shared" si="125"/>
        <v>0</v>
      </c>
      <c r="S815" s="8" t="b">
        <f t="shared" si="126"/>
        <v>1</v>
      </c>
      <c r="T815" s="10" t="b">
        <f t="shared" si="127"/>
        <v>0</v>
      </c>
      <c r="U815" s="8" t="str">
        <f t="shared" si="128"/>
        <v>TRUE</v>
      </c>
      <c r="V815" s="11" t="str">
        <f t="shared" si="129"/>
        <v>TRUE</v>
      </c>
    </row>
    <row r="816" spans="1:22" ht="15.75">
      <c r="A816" s="21">
        <v>814</v>
      </c>
      <c r="B816" s="5" t="s">
        <v>2372</v>
      </c>
      <c r="C816" s="23" t="s">
        <v>3644</v>
      </c>
      <c r="D816" s="23" t="s">
        <v>59</v>
      </c>
      <c r="E816" s="5" t="s">
        <v>2373</v>
      </c>
      <c r="F816" s="71" t="s">
        <v>6106</v>
      </c>
      <c r="G816" s="22" t="s">
        <v>160</v>
      </c>
      <c r="H816" s="5" t="s">
        <v>36</v>
      </c>
      <c r="I816" s="5" t="s">
        <v>21</v>
      </c>
      <c r="J816" s="5" t="s">
        <v>5642</v>
      </c>
      <c r="K816" s="5" t="s">
        <v>2374</v>
      </c>
      <c r="L816" s="22"/>
      <c r="M816" s="8" t="str">
        <f t="shared" si="120"/>
        <v>Ok</v>
      </c>
      <c r="N816" s="9" t="b">
        <f t="shared" si="121"/>
        <v>1</v>
      </c>
      <c r="O816" s="9" t="b">
        <f t="shared" si="122"/>
        <v>1</v>
      </c>
      <c r="P816" s="8" t="str">
        <f t="shared" si="123"/>
        <v>FALSE</v>
      </c>
      <c r="Q816" s="8" t="str">
        <f t="shared" si="124"/>
        <v>FALSE</v>
      </c>
      <c r="R816" s="9" t="b">
        <f t="shared" si="125"/>
        <v>0</v>
      </c>
      <c r="S816" s="8" t="b">
        <f t="shared" si="126"/>
        <v>1</v>
      </c>
      <c r="T816" s="10" t="b">
        <f t="shared" si="127"/>
        <v>0</v>
      </c>
      <c r="U816" s="8" t="str">
        <f t="shared" si="128"/>
        <v>FALSE</v>
      </c>
      <c r="V816" s="11" t="str">
        <f t="shared" si="129"/>
        <v>TRUE</v>
      </c>
    </row>
    <row r="817" spans="1:22" ht="15.75">
      <c r="A817" s="21">
        <v>815</v>
      </c>
      <c r="B817" s="5" t="s">
        <v>2375</v>
      </c>
      <c r="C817" s="23" t="s">
        <v>3414</v>
      </c>
      <c r="D817" s="23" t="s">
        <v>17</v>
      </c>
      <c r="E817" s="5" t="s">
        <v>2376</v>
      </c>
      <c r="F817" s="71" t="s">
        <v>6106</v>
      </c>
      <c r="G817" s="22" t="s">
        <v>3933</v>
      </c>
      <c r="H817" s="5" t="s">
        <v>3932</v>
      </c>
      <c r="I817" s="5" t="s">
        <v>50</v>
      </c>
      <c r="J817" s="5" t="s">
        <v>5577</v>
      </c>
      <c r="K817" s="5" t="s">
        <v>2377</v>
      </c>
      <c r="L817" s="22"/>
      <c r="M817" s="8" t="str">
        <f t="shared" si="120"/>
        <v>Ok</v>
      </c>
      <c r="N817" s="9" t="b">
        <f t="shared" si="121"/>
        <v>1</v>
      </c>
      <c r="O817" s="9" t="b">
        <f t="shared" si="122"/>
        <v>1</v>
      </c>
      <c r="P817" s="8" t="str">
        <f t="shared" si="123"/>
        <v>FALSE</v>
      </c>
      <c r="Q817" s="8" t="str">
        <f t="shared" si="124"/>
        <v>FALSE</v>
      </c>
      <c r="R817" s="9" t="b">
        <f t="shared" si="125"/>
        <v>0</v>
      </c>
      <c r="S817" s="8" t="b">
        <f t="shared" si="126"/>
        <v>0</v>
      </c>
      <c r="T817" s="10" t="b">
        <f t="shared" si="127"/>
        <v>0</v>
      </c>
      <c r="U817" s="8" t="str">
        <f t="shared" si="128"/>
        <v>FALSE</v>
      </c>
      <c r="V817" s="11" t="str">
        <f t="shared" si="129"/>
        <v>TRUE</v>
      </c>
    </row>
    <row r="818" spans="1:22" ht="15.75">
      <c r="A818" s="21">
        <v>816</v>
      </c>
      <c r="B818" s="5" t="s">
        <v>2378</v>
      </c>
      <c r="C818" s="23" t="s">
        <v>3739</v>
      </c>
      <c r="D818" s="23" t="s">
        <v>59</v>
      </c>
      <c r="E818" s="5" t="s">
        <v>2379</v>
      </c>
      <c r="F818" s="71" t="s">
        <v>6106</v>
      </c>
      <c r="G818" s="22" t="s">
        <v>3934</v>
      </c>
      <c r="H818" s="5" t="s">
        <v>13</v>
      </c>
      <c r="I818" s="5" t="s">
        <v>26</v>
      </c>
      <c r="J818" s="5" t="s">
        <v>5166</v>
      </c>
      <c r="K818" s="5">
        <v>828116760</v>
      </c>
      <c r="L818" s="22"/>
      <c r="M818" s="8" t="str">
        <f t="shared" si="120"/>
        <v>Ok</v>
      </c>
      <c r="N818" s="9" t="b">
        <f t="shared" si="121"/>
        <v>0</v>
      </c>
      <c r="O818" s="9" t="b">
        <f t="shared" si="122"/>
        <v>1</v>
      </c>
      <c r="P818" s="8" t="str">
        <f t="shared" si="123"/>
        <v>FALSE</v>
      </c>
      <c r="Q818" s="8" t="str">
        <f t="shared" si="124"/>
        <v>FALSE</v>
      </c>
      <c r="R818" s="9" t="b">
        <f t="shared" si="125"/>
        <v>0</v>
      </c>
      <c r="S818" s="8" t="b">
        <f t="shared" si="126"/>
        <v>0</v>
      </c>
      <c r="T818" s="10" t="b">
        <f t="shared" si="127"/>
        <v>0</v>
      </c>
      <c r="U818" s="8" t="str">
        <f t="shared" si="128"/>
        <v>TRUE</v>
      </c>
      <c r="V818" s="11" t="str">
        <f t="shared" si="129"/>
        <v>FALSE</v>
      </c>
    </row>
    <row r="819" spans="1:22" ht="15.75">
      <c r="A819" s="21">
        <v>817</v>
      </c>
      <c r="B819" s="5" t="s">
        <v>2380</v>
      </c>
      <c r="C819" s="23" t="s">
        <v>3317</v>
      </c>
      <c r="D819" s="23" t="s">
        <v>34</v>
      </c>
      <c r="E819" s="5" t="s">
        <v>2381</v>
      </c>
      <c r="F819" s="71" t="s">
        <v>6106</v>
      </c>
      <c r="G819" s="22" t="s">
        <v>179</v>
      </c>
      <c r="H819" s="5" t="s">
        <v>3932</v>
      </c>
      <c r="I819" s="5" t="s">
        <v>50</v>
      </c>
      <c r="J819" s="5" t="s">
        <v>5355</v>
      </c>
      <c r="K819" s="5" t="s">
        <v>2382</v>
      </c>
      <c r="L819" s="22"/>
      <c r="M819" s="8" t="str">
        <f t="shared" si="120"/>
        <v>Ok</v>
      </c>
      <c r="N819" s="9" t="b">
        <f t="shared" si="121"/>
        <v>1</v>
      </c>
      <c r="O819" s="9" t="b">
        <f t="shared" si="122"/>
        <v>0</v>
      </c>
      <c r="P819" s="8" t="str">
        <f t="shared" si="123"/>
        <v>FALSE</v>
      </c>
      <c r="Q819" s="8" t="str">
        <f t="shared" si="124"/>
        <v>FALSE</v>
      </c>
      <c r="R819" s="9" t="b">
        <f t="shared" si="125"/>
        <v>1</v>
      </c>
      <c r="S819" s="8" t="b">
        <f t="shared" si="126"/>
        <v>0</v>
      </c>
      <c r="T819" s="10" t="b">
        <f t="shared" si="127"/>
        <v>0</v>
      </c>
      <c r="U819" s="8" t="str">
        <f t="shared" si="128"/>
        <v>TRUE</v>
      </c>
      <c r="V819" s="11" t="str">
        <f t="shared" si="129"/>
        <v>TRUE</v>
      </c>
    </row>
    <row r="820" spans="1:22" ht="15.75">
      <c r="A820" s="21">
        <v>818</v>
      </c>
      <c r="B820" s="5" t="s">
        <v>2383</v>
      </c>
      <c r="C820" s="23" t="s">
        <v>3740</v>
      </c>
      <c r="D820" s="23" t="s">
        <v>59</v>
      </c>
      <c r="E820" s="5" t="s">
        <v>864</v>
      </c>
      <c r="F820" s="71" t="s">
        <v>6106</v>
      </c>
      <c r="G820" s="22" t="s">
        <v>3934</v>
      </c>
      <c r="H820" s="5" t="s">
        <v>13</v>
      </c>
      <c r="I820" s="5" t="s">
        <v>21</v>
      </c>
      <c r="J820" s="5" t="s">
        <v>5681</v>
      </c>
      <c r="K820" s="5" t="s">
        <v>2384</v>
      </c>
      <c r="L820" s="22"/>
      <c r="M820" s="8" t="str">
        <f t="shared" si="120"/>
        <v>Ok</v>
      </c>
      <c r="N820" s="9" t="b">
        <f t="shared" si="121"/>
        <v>0</v>
      </c>
      <c r="O820" s="9" t="b">
        <f t="shared" si="122"/>
        <v>1</v>
      </c>
      <c r="P820" s="8" t="str">
        <f t="shared" si="123"/>
        <v>FALSE</v>
      </c>
      <c r="Q820" s="8" t="str">
        <f t="shared" si="124"/>
        <v>FALSE</v>
      </c>
      <c r="R820" s="9" t="b">
        <f t="shared" si="125"/>
        <v>0</v>
      </c>
      <c r="S820" s="8" t="b">
        <f t="shared" si="126"/>
        <v>0</v>
      </c>
      <c r="T820" s="10" t="b">
        <f t="shared" si="127"/>
        <v>0</v>
      </c>
      <c r="U820" s="8" t="str">
        <f t="shared" si="128"/>
        <v>FALSE</v>
      </c>
      <c r="V820" s="11" t="str">
        <f t="shared" si="129"/>
        <v>TRUE</v>
      </c>
    </row>
    <row r="821" spans="1:22" ht="15.75">
      <c r="A821" s="21">
        <v>819</v>
      </c>
      <c r="B821" s="5" t="s">
        <v>3963</v>
      </c>
      <c r="C821" s="23" t="s">
        <v>3523</v>
      </c>
      <c r="D821" s="23" t="s">
        <v>17</v>
      </c>
      <c r="E821" s="5" t="s">
        <v>2385</v>
      </c>
      <c r="F821" s="71" t="s">
        <v>6106</v>
      </c>
      <c r="G821" s="22" t="s">
        <v>160</v>
      </c>
      <c r="H821" s="5" t="s">
        <v>3932</v>
      </c>
      <c r="I821" s="5" t="s">
        <v>26</v>
      </c>
      <c r="J821" s="5" t="s">
        <v>5150</v>
      </c>
      <c r="K821" s="5" t="s">
        <v>2386</v>
      </c>
      <c r="L821" s="22"/>
      <c r="M821" s="8" t="str">
        <f t="shared" si="120"/>
        <v>Ok</v>
      </c>
      <c r="N821" s="9" t="b">
        <f t="shared" si="121"/>
        <v>1</v>
      </c>
      <c r="O821" s="9" t="b">
        <f t="shared" si="122"/>
        <v>1</v>
      </c>
      <c r="P821" s="8" t="str">
        <f t="shared" si="123"/>
        <v>FALSE</v>
      </c>
      <c r="Q821" s="8" t="str">
        <f t="shared" si="124"/>
        <v>FALSE</v>
      </c>
      <c r="R821" s="9" t="b">
        <f t="shared" si="125"/>
        <v>0</v>
      </c>
      <c r="S821" s="8" t="b">
        <f t="shared" si="126"/>
        <v>0</v>
      </c>
      <c r="T821" s="10" t="b">
        <f t="shared" si="127"/>
        <v>0</v>
      </c>
      <c r="U821" s="8" t="str">
        <f t="shared" si="128"/>
        <v>TRUE</v>
      </c>
      <c r="V821" s="11" t="str">
        <f t="shared" si="129"/>
        <v>TRUE</v>
      </c>
    </row>
    <row r="822" spans="1:22" ht="15.75">
      <c r="A822" s="21">
        <v>820</v>
      </c>
      <c r="B822" s="5" t="s">
        <v>2387</v>
      </c>
      <c r="C822" s="23" t="s">
        <v>3806</v>
      </c>
      <c r="D822" s="23" t="s">
        <v>59</v>
      </c>
      <c r="E822" s="5" t="s">
        <v>2388</v>
      </c>
      <c r="F822" s="71" t="s">
        <v>6106</v>
      </c>
      <c r="G822" s="22" t="s">
        <v>24</v>
      </c>
      <c r="H822" s="5" t="s">
        <v>25</v>
      </c>
      <c r="I822" s="5" t="s">
        <v>50</v>
      </c>
      <c r="J822" s="5" t="s">
        <v>5041</v>
      </c>
      <c r="K822" s="5" t="s">
        <v>2389</v>
      </c>
      <c r="L822" s="22"/>
      <c r="M822" s="8" t="str">
        <f t="shared" si="120"/>
        <v>Ok</v>
      </c>
      <c r="N822" s="9" t="b">
        <f t="shared" si="121"/>
        <v>0</v>
      </c>
      <c r="O822" s="9" t="b">
        <f t="shared" si="122"/>
        <v>1</v>
      </c>
      <c r="P822" s="8" t="str">
        <f t="shared" si="123"/>
        <v>FALSE</v>
      </c>
      <c r="Q822" s="8" t="str">
        <f t="shared" si="124"/>
        <v>FALSE</v>
      </c>
      <c r="R822" s="9" t="b">
        <f t="shared" si="125"/>
        <v>0</v>
      </c>
      <c r="S822" s="8" t="b">
        <f t="shared" si="126"/>
        <v>0</v>
      </c>
      <c r="T822" s="10" t="b">
        <f t="shared" si="127"/>
        <v>0</v>
      </c>
      <c r="U822" s="8" t="str">
        <f t="shared" si="128"/>
        <v>TRUE</v>
      </c>
      <c r="V822" s="11" t="str">
        <f t="shared" si="129"/>
        <v>TRUE</v>
      </c>
    </row>
    <row r="823" spans="1:22" ht="15.75">
      <c r="A823" s="21">
        <v>821</v>
      </c>
      <c r="B823" s="5" t="s">
        <v>2390</v>
      </c>
      <c r="C823" s="23" t="s">
        <v>3104</v>
      </c>
      <c r="D823" s="23" t="s">
        <v>77</v>
      </c>
      <c r="E823" s="5" t="s">
        <v>2391</v>
      </c>
      <c r="F823" s="71" t="s">
        <v>6106</v>
      </c>
      <c r="G823" s="22" t="s">
        <v>179</v>
      </c>
      <c r="H823" s="22" t="s">
        <v>179</v>
      </c>
      <c r="I823" s="5" t="s">
        <v>50</v>
      </c>
      <c r="J823" s="5" t="s">
        <v>4932</v>
      </c>
      <c r="K823" s="5" t="s">
        <v>2392</v>
      </c>
      <c r="L823" s="22"/>
      <c r="M823" s="8" t="str">
        <f t="shared" si="120"/>
        <v>Ok</v>
      </c>
      <c r="N823" s="9" t="b">
        <f t="shared" si="121"/>
        <v>0</v>
      </c>
      <c r="O823" s="9" t="b">
        <f t="shared" si="122"/>
        <v>0</v>
      </c>
      <c r="P823" s="8" t="str">
        <f t="shared" si="123"/>
        <v>FALSE</v>
      </c>
      <c r="Q823" s="8" t="str">
        <f t="shared" si="124"/>
        <v>FALSE</v>
      </c>
      <c r="R823" s="9" t="b">
        <f t="shared" si="125"/>
        <v>1</v>
      </c>
      <c r="S823" s="8" t="b">
        <f t="shared" si="126"/>
        <v>1</v>
      </c>
      <c r="T823" s="10" t="b">
        <f t="shared" si="127"/>
        <v>0</v>
      </c>
      <c r="U823" s="8" t="str">
        <f t="shared" si="128"/>
        <v>TRUE</v>
      </c>
      <c r="V823" s="11" t="str">
        <f t="shared" si="129"/>
        <v>TRUE</v>
      </c>
    </row>
    <row r="824" spans="1:22" ht="15.75">
      <c r="A824" s="21">
        <v>822</v>
      </c>
      <c r="B824" s="5" t="s">
        <v>2393</v>
      </c>
      <c r="C824" s="23" t="s">
        <v>3851</v>
      </c>
      <c r="D824" s="23" t="s">
        <v>59</v>
      </c>
      <c r="E824" s="5" t="s">
        <v>2394</v>
      </c>
      <c r="F824" s="71" t="s">
        <v>6106</v>
      </c>
      <c r="G824" s="22" t="s">
        <v>144</v>
      </c>
      <c r="H824" s="5" t="s">
        <v>25</v>
      </c>
      <c r="I824" s="5" t="s">
        <v>14</v>
      </c>
      <c r="J824" s="5" t="s">
        <v>5246</v>
      </c>
      <c r="K824" s="5" t="s">
        <v>2395</v>
      </c>
      <c r="L824" s="22"/>
      <c r="M824" s="8" t="str">
        <f t="shared" si="120"/>
        <v>Ok</v>
      </c>
      <c r="N824" s="9" t="b">
        <f t="shared" si="121"/>
        <v>0</v>
      </c>
      <c r="O824" s="9" t="b">
        <f t="shared" si="122"/>
        <v>1</v>
      </c>
      <c r="P824" s="8" t="str">
        <f t="shared" si="123"/>
        <v>FALSE</v>
      </c>
      <c r="Q824" s="8" t="str">
        <f t="shared" si="124"/>
        <v>FALSE</v>
      </c>
      <c r="R824" s="9" t="b">
        <f t="shared" si="125"/>
        <v>1</v>
      </c>
      <c r="S824" s="8" t="b">
        <f t="shared" si="126"/>
        <v>0</v>
      </c>
      <c r="T824" s="10" t="b">
        <f t="shared" si="127"/>
        <v>1</v>
      </c>
      <c r="U824" s="8" t="str">
        <f t="shared" si="128"/>
        <v>TRUE</v>
      </c>
      <c r="V824" s="11" t="str">
        <f t="shared" si="129"/>
        <v>TRUE</v>
      </c>
    </row>
    <row r="825" spans="1:22" ht="15.75">
      <c r="A825" s="21">
        <v>823</v>
      </c>
      <c r="B825" s="5" t="s">
        <v>2396</v>
      </c>
      <c r="C825" s="23" t="s">
        <v>3852</v>
      </c>
      <c r="D825" s="23" t="s">
        <v>59</v>
      </c>
      <c r="E825" s="5" t="s">
        <v>2397</v>
      </c>
      <c r="F825" s="71" t="s">
        <v>6106</v>
      </c>
      <c r="G825" s="22" t="s">
        <v>144</v>
      </c>
      <c r="H825" s="5" t="s">
        <v>25</v>
      </c>
      <c r="I825" s="5" t="s">
        <v>42</v>
      </c>
      <c r="J825" s="5" t="s">
        <v>5258</v>
      </c>
      <c r="K825" s="5" t="s">
        <v>2398</v>
      </c>
      <c r="L825" s="22"/>
      <c r="M825" s="8" t="str">
        <f t="shared" si="120"/>
        <v>Ok</v>
      </c>
      <c r="N825" s="9" t="b">
        <f t="shared" si="121"/>
        <v>0</v>
      </c>
      <c r="O825" s="9" t="b">
        <f t="shared" si="122"/>
        <v>1</v>
      </c>
      <c r="P825" s="8" t="str">
        <f t="shared" si="123"/>
        <v>FALSE</v>
      </c>
      <c r="Q825" s="8" t="str">
        <f t="shared" si="124"/>
        <v>FALSE</v>
      </c>
      <c r="R825" s="9" t="b">
        <f t="shared" si="125"/>
        <v>1</v>
      </c>
      <c r="S825" s="8" t="b">
        <f t="shared" si="126"/>
        <v>0</v>
      </c>
      <c r="T825" s="10" t="b">
        <f t="shared" si="127"/>
        <v>1</v>
      </c>
      <c r="U825" s="8" t="str">
        <f t="shared" si="128"/>
        <v>TRUE</v>
      </c>
      <c r="V825" s="11" t="str">
        <f t="shared" si="129"/>
        <v>TRUE</v>
      </c>
    </row>
    <row r="826" spans="1:22" ht="15.75">
      <c r="A826" s="21">
        <v>824</v>
      </c>
      <c r="B826" s="5" t="s">
        <v>2399</v>
      </c>
      <c r="C826" s="23" t="s">
        <v>3415</v>
      </c>
      <c r="D826" s="23" t="s">
        <v>17</v>
      </c>
      <c r="E826" s="5" t="s">
        <v>2400</v>
      </c>
      <c r="F826" s="71" t="s">
        <v>6106</v>
      </c>
      <c r="G826" s="22" t="s">
        <v>3933</v>
      </c>
      <c r="H826" s="5" t="s">
        <v>3932</v>
      </c>
      <c r="I826" s="5" t="s">
        <v>14</v>
      </c>
      <c r="J826" s="5" t="s">
        <v>5502</v>
      </c>
      <c r="K826" s="5" t="s">
        <v>2401</v>
      </c>
      <c r="L826" s="22"/>
      <c r="M826" s="8" t="str">
        <f t="shared" si="120"/>
        <v>Ok</v>
      </c>
      <c r="N826" s="9" t="b">
        <f t="shared" si="121"/>
        <v>1</v>
      </c>
      <c r="O826" s="9" t="b">
        <f t="shared" si="122"/>
        <v>1</v>
      </c>
      <c r="P826" s="8" t="str">
        <f t="shared" si="123"/>
        <v>FALSE</v>
      </c>
      <c r="Q826" s="8" t="str">
        <f t="shared" si="124"/>
        <v>FALSE</v>
      </c>
      <c r="R826" s="9" t="b">
        <f t="shared" si="125"/>
        <v>0</v>
      </c>
      <c r="S826" s="8" t="b">
        <f t="shared" si="126"/>
        <v>0</v>
      </c>
      <c r="T826" s="10" t="b">
        <f t="shared" si="127"/>
        <v>1</v>
      </c>
      <c r="U826" s="8" t="str">
        <f t="shared" si="128"/>
        <v>FALSE</v>
      </c>
      <c r="V826" s="11" t="str">
        <f t="shared" si="129"/>
        <v>TRUE</v>
      </c>
    </row>
    <row r="827" spans="1:22" ht="15.75">
      <c r="A827" s="21">
        <v>825</v>
      </c>
      <c r="B827" s="5" t="s">
        <v>2402</v>
      </c>
      <c r="C827" s="23" t="s">
        <v>3055</v>
      </c>
      <c r="D827" s="23" t="s">
        <v>34</v>
      </c>
      <c r="E827" s="5" t="s">
        <v>2403</v>
      </c>
      <c r="F827" s="71" t="s">
        <v>6106</v>
      </c>
      <c r="G827" s="22" t="s">
        <v>74</v>
      </c>
      <c r="H827" s="5" t="s">
        <v>71</v>
      </c>
      <c r="I827" s="5" t="s">
        <v>42</v>
      </c>
      <c r="J827" s="5" t="s">
        <v>4896</v>
      </c>
      <c r="K827" s="5" t="s">
        <v>2404</v>
      </c>
      <c r="L827" s="22"/>
      <c r="M827" s="8" t="str">
        <f t="shared" si="120"/>
        <v>Ok</v>
      </c>
      <c r="N827" s="9" t="b">
        <f t="shared" si="121"/>
        <v>0</v>
      </c>
      <c r="O827" s="9" t="b">
        <f t="shared" si="122"/>
        <v>0</v>
      </c>
      <c r="P827" s="8" t="str">
        <f t="shared" si="123"/>
        <v>FALSE</v>
      </c>
      <c r="Q827" s="8" t="str">
        <f t="shared" si="124"/>
        <v>FALSE</v>
      </c>
      <c r="R827" s="9" t="b">
        <f t="shared" si="125"/>
        <v>0</v>
      </c>
      <c r="S827" s="8" t="b">
        <f t="shared" si="126"/>
        <v>1</v>
      </c>
      <c r="T827" s="10" t="b">
        <f t="shared" si="127"/>
        <v>1</v>
      </c>
      <c r="U827" s="8" t="str">
        <f t="shared" si="128"/>
        <v>TRUE</v>
      </c>
      <c r="V827" s="11" t="str">
        <f t="shared" si="129"/>
        <v>TRUE</v>
      </c>
    </row>
    <row r="828" spans="1:22" ht="15.75">
      <c r="A828" s="21">
        <v>826</v>
      </c>
      <c r="B828" s="5" t="s">
        <v>2405</v>
      </c>
      <c r="C828" s="23" t="s">
        <v>3807</v>
      </c>
      <c r="D828" s="23" t="s">
        <v>59</v>
      </c>
      <c r="E828" s="5" t="s">
        <v>2406</v>
      </c>
      <c r="F828" s="71" t="s">
        <v>6106</v>
      </c>
      <c r="G828" s="22" t="s">
        <v>24</v>
      </c>
      <c r="H828" s="5" t="s">
        <v>46</v>
      </c>
      <c r="I828" s="5" t="s">
        <v>14</v>
      </c>
      <c r="J828" s="5" t="s">
        <v>5491</v>
      </c>
      <c r="K828" s="5" t="s">
        <v>2407</v>
      </c>
      <c r="L828" s="22"/>
      <c r="M828" s="8" t="str">
        <f t="shared" si="120"/>
        <v>Ok</v>
      </c>
      <c r="N828" s="9" t="b">
        <f t="shared" si="121"/>
        <v>0</v>
      </c>
      <c r="O828" s="9" t="b">
        <f t="shared" si="122"/>
        <v>1</v>
      </c>
      <c r="P828" s="8" t="str">
        <f t="shared" si="123"/>
        <v>FALSE</v>
      </c>
      <c r="Q828" s="8" t="str">
        <f t="shared" si="124"/>
        <v>FALSE</v>
      </c>
      <c r="R828" s="9" t="b">
        <f t="shared" si="125"/>
        <v>0</v>
      </c>
      <c r="S828" s="8" t="b">
        <f t="shared" si="126"/>
        <v>0</v>
      </c>
      <c r="T828" s="10" t="b">
        <f t="shared" si="127"/>
        <v>1</v>
      </c>
      <c r="U828" s="8" t="str">
        <f t="shared" si="128"/>
        <v>FALSE</v>
      </c>
      <c r="V828" s="11" t="str">
        <f t="shared" si="129"/>
        <v>TRUE</v>
      </c>
    </row>
    <row r="829" spans="1:22" ht="15.75">
      <c r="A829" s="21">
        <v>827</v>
      </c>
      <c r="B829" s="5" t="s">
        <v>2408</v>
      </c>
      <c r="C829" s="23" t="s">
        <v>3416</v>
      </c>
      <c r="D829" s="23" t="s">
        <v>17</v>
      </c>
      <c r="E829" s="5" t="s">
        <v>2409</v>
      </c>
      <c r="F829" s="71" t="s">
        <v>6106</v>
      </c>
      <c r="G829" s="22" t="s">
        <v>3933</v>
      </c>
      <c r="H829" s="5" t="s">
        <v>3932</v>
      </c>
      <c r="I829" s="5" t="s">
        <v>67</v>
      </c>
      <c r="J829" s="5" t="s">
        <v>5673</v>
      </c>
      <c r="K829" s="5" t="s">
        <v>2410</v>
      </c>
      <c r="L829" s="22"/>
      <c r="M829" s="8" t="str">
        <f t="shared" si="120"/>
        <v>Ok</v>
      </c>
      <c r="N829" s="9" t="b">
        <f t="shared" si="121"/>
        <v>1</v>
      </c>
      <c r="O829" s="9" t="b">
        <f t="shared" si="122"/>
        <v>1</v>
      </c>
      <c r="P829" s="8" t="str">
        <f t="shared" si="123"/>
        <v>FALSE</v>
      </c>
      <c r="Q829" s="8" t="str">
        <f t="shared" si="124"/>
        <v>FALSE</v>
      </c>
      <c r="R829" s="9" t="b">
        <f t="shared" si="125"/>
        <v>0</v>
      </c>
      <c r="S829" s="8" t="b">
        <f t="shared" si="126"/>
        <v>0</v>
      </c>
      <c r="T829" s="10" t="b">
        <f t="shared" si="127"/>
        <v>0</v>
      </c>
      <c r="U829" s="8" t="str">
        <f t="shared" si="128"/>
        <v>FALSE</v>
      </c>
      <c r="V829" s="11" t="str">
        <f t="shared" si="129"/>
        <v>TRUE</v>
      </c>
    </row>
    <row r="830" spans="1:22" ht="15.75">
      <c r="A830" s="21">
        <v>828</v>
      </c>
      <c r="B830" s="5" t="s">
        <v>2411</v>
      </c>
      <c r="C830" s="23" t="s">
        <v>3176</v>
      </c>
      <c r="D830" s="23" t="s">
        <v>77</v>
      </c>
      <c r="E830" s="5" t="s">
        <v>2412</v>
      </c>
      <c r="F830" s="71" t="s">
        <v>6106</v>
      </c>
      <c r="G830" s="22" t="s">
        <v>179</v>
      </c>
      <c r="H830" s="22" t="s">
        <v>179</v>
      </c>
      <c r="I830" s="5" t="s">
        <v>21</v>
      </c>
      <c r="J830" s="5" t="s">
        <v>5442</v>
      </c>
      <c r="K830" s="5">
        <v>896380633</v>
      </c>
      <c r="L830" s="22"/>
      <c r="M830" s="8" t="str">
        <f t="shared" si="120"/>
        <v>Ok</v>
      </c>
      <c r="N830" s="9" t="b">
        <f t="shared" si="121"/>
        <v>0</v>
      </c>
      <c r="O830" s="9" t="b">
        <f t="shared" si="122"/>
        <v>0</v>
      </c>
      <c r="P830" s="8" t="str">
        <f t="shared" si="123"/>
        <v>FALSE</v>
      </c>
      <c r="Q830" s="8" t="str">
        <f t="shared" si="124"/>
        <v>FALSE</v>
      </c>
      <c r="R830" s="9" t="b">
        <f t="shared" si="125"/>
        <v>1</v>
      </c>
      <c r="S830" s="8" t="b">
        <f t="shared" si="126"/>
        <v>1</v>
      </c>
      <c r="T830" s="10" t="b">
        <f t="shared" si="127"/>
        <v>0</v>
      </c>
      <c r="U830" s="8" t="str">
        <f t="shared" si="128"/>
        <v>TRUE</v>
      </c>
      <c r="V830" s="11" t="str">
        <f t="shared" si="129"/>
        <v>FALSE</v>
      </c>
    </row>
    <row r="831" spans="1:22" ht="15.75">
      <c r="A831" s="21">
        <v>829</v>
      </c>
      <c r="B831" s="5" t="s">
        <v>2413</v>
      </c>
      <c r="C831" s="23" t="s">
        <v>3524</v>
      </c>
      <c r="D831" s="23" t="s">
        <v>77</v>
      </c>
      <c r="E831" s="5" t="s">
        <v>2414</v>
      </c>
      <c r="F831" s="71" t="s">
        <v>6106</v>
      </c>
      <c r="G831" s="22" t="s">
        <v>160</v>
      </c>
      <c r="H831" s="5" t="s">
        <v>3932</v>
      </c>
      <c r="I831" s="5" t="s">
        <v>42</v>
      </c>
      <c r="J831" s="5" t="s">
        <v>5038</v>
      </c>
      <c r="K831" s="5" t="s">
        <v>2415</v>
      </c>
      <c r="L831" s="22"/>
      <c r="M831" s="8" t="str">
        <f t="shared" si="120"/>
        <v>Ok</v>
      </c>
      <c r="N831" s="9" t="b">
        <f t="shared" si="121"/>
        <v>1</v>
      </c>
      <c r="O831" s="9" t="b">
        <f t="shared" si="122"/>
        <v>0</v>
      </c>
      <c r="P831" s="8" t="str">
        <f t="shared" si="123"/>
        <v>FALSE</v>
      </c>
      <c r="Q831" s="8" t="str">
        <f t="shared" si="124"/>
        <v>FALSE</v>
      </c>
      <c r="R831" s="9" t="b">
        <f t="shared" si="125"/>
        <v>0</v>
      </c>
      <c r="S831" s="8" t="b">
        <f t="shared" si="126"/>
        <v>0</v>
      </c>
      <c r="T831" s="10" t="b">
        <f t="shared" si="127"/>
        <v>1</v>
      </c>
      <c r="U831" s="8" t="str">
        <f t="shared" si="128"/>
        <v>TRUE</v>
      </c>
      <c r="V831" s="11" t="str">
        <f t="shared" si="129"/>
        <v>TRUE</v>
      </c>
    </row>
    <row r="832" spans="1:22" ht="15.75">
      <c r="A832" s="21">
        <v>830</v>
      </c>
      <c r="B832" s="5" t="s">
        <v>2416</v>
      </c>
      <c r="C832" s="23" t="s">
        <v>3808</v>
      </c>
      <c r="D832" s="23" t="s">
        <v>59</v>
      </c>
      <c r="E832" s="5" t="s">
        <v>2417</v>
      </c>
      <c r="F832" s="71" t="s">
        <v>6106</v>
      </c>
      <c r="G832" s="22" t="s">
        <v>24</v>
      </c>
      <c r="H832" s="5" t="s">
        <v>46</v>
      </c>
      <c r="I832" s="5" t="s">
        <v>21</v>
      </c>
      <c r="J832" s="5" t="s">
        <v>5054</v>
      </c>
      <c r="K832" s="5" t="s">
        <v>2418</v>
      </c>
      <c r="L832" s="22"/>
      <c r="M832" s="8" t="str">
        <f t="shared" si="120"/>
        <v>Ok</v>
      </c>
      <c r="N832" s="9" t="b">
        <f t="shared" si="121"/>
        <v>0</v>
      </c>
      <c r="O832" s="9" t="b">
        <f t="shared" si="122"/>
        <v>1</v>
      </c>
      <c r="P832" s="8" t="str">
        <f t="shared" si="123"/>
        <v>FALSE</v>
      </c>
      <c r="Q832" s="8" t="str">
        <f t="shared" si="124"/>
        <v>FALSE</v>
      </c>
      <c r="R832" s="9" t="b">
        <f t="shared" si="125"/>
        <v>0</v>
      </c>
      <c r="S832" s="8" t="b">
        <f t="shared" si="126"/>
        <v>0</v>
      </c>
      <c r="T832" s="10" t="b">
        <f t="shared" si="127"/>
        <v>0</v>
      </c>
      <c r="U832" s="8" t="str">
        <f t="shared" si="128"/>
        <v>TRUE</v>
      </c>
      <c r="V832" s="11" t="str">
        <f t="shared" si="129"/>
        <v>TRUE</v>
      </c>
    </row>
    <row r="833" spans="1:22" ht="15.75">
      <c r="A833" s="21">
        <v>831</v>
      </c>
      <c r="B833" s="5" t="s">
        <v>2419</v>
      </c>
      <c r="C833" s="23" t="s">
        <v>3056</v>
      </c>
      <c r="D833" s="23" t="s">
        <v>34</v>
      </c>
      <c r="E833" s="5" t="s">
        <v>2420</v>
      </c>
      <c r="F833" s="71" t="s">
        <v>6106</v>
      </c>
      <c r="G833" s="22" t="s">
        <v>179</v>
      </c>
      <c r="H833" s="5" t="s">
        <v>3932</v>
      </c>
      <c r="I833" s="5" t="s">
        <v>67</v>
      </c>
      <c r="J833" s="5" t="s">
        <v>4965</v>
      </c>
      <c r="K833" s="5" t="s">
        <v>2421</v>
      </c>
      <c r="L833" s="22"/>
      <c r="M833" s="8" t="str">
        <f t="shared" si="120"/>
        <v>Ok</v>
      </c>
      <c r="N833" s="9" t="b">
        <f t="shared" si="121"/>
        <v>0</v>
      </c>
      <c r="O833" s="9" t="b">
        <f t="shared" si="122"/>
        <v>0</v>
      </c>
      <c r="P833" s="8" t="str">
        <f t="shared" si="123"/>
        <v>FALSE</v>
      </c>
      <c r="Q833" s="8" t="str">
        <f t="shared" si="124"/>
        <v>FALSE</v>
      </c>
      <c r="R833" s="9" t="b">
        <f t="shared" si="125"/>
        <v>1</v>
      </c>
      <c r="S833" s="8" t="b">
        <f t="shared" si="126"/>
        <v>0</v>
      </c>
      <c r="T833" s="10" t="b">
        <f t="shared" si="127"/>
        <v>0</v>
      </c>
      <c r="U833" s="8" t="str">
        <f t="shared" si="128"/>
        <v>TRUE</v>
      </c>
      <c r="V833" s="11" t="str">
        <f t="shared" si="129"/>
        <v>TRUE</v>
      </c>
    </row>
    <row r="834" spans="1:22" ht="15.75">
      <c r="A834" s="21">
        <v>832</v>
      </c>
      <c r="B834" s="5" t="s">
        <v>2422</v>
      </c>
      <c r="C834" s="23" t="s">
        <v>3572</v>
      </c>
      <c r="D834" s="23" t="s">
        <v>59</v>
      </c>
      <c r="E834" s="5" t="s">
        <v>2423</v>
      </c>
      <c r="F834" s="71" t="s">
        <v>6106</v>
      </c>
      <c r="G834" s="22" t="s">
        <v>12</v>
      </c>
      <c r="H834" s="5" t="s">
        <v>36</v>
      </c>
      <c r="I834" s="5" t="s">
        <v>42</v>
      </c>
      <c r="J834" s="5" t="s">
        <v>5528</v>
      </c>
      <c r="K834" s="5" t="s">
        <v>2424</v>
      </c>
      <c r="L834" s="22"/>
      <c r="M834" s="8" t="str">
        <f t="shared" si="120"/>
        <v>Ok</v>
      </c>
      <c r="N834" s="9" t="b">
        <f t="shared" si="121"/>
        <v>1</v>
      </c>
      <c r="O834" s="9" t="b">
        <f t="shared" si="122"/>
        <v>1</v>
      </c>
      <c r="P834" s="8" t="str">
        <f t="shared" si="123"/>
        <v>FALSE</v>
      </c>
      <c r="Q834" s="8" t="str">
        <f t="shared" si="124"/>
        <v>FALSE</v>
      </c>
      <c r="R834" s="9" t="b">
        <f t="shared" si="125"/>
        <v>1</v>
      </c>
      <c r="S834" s="8" t="b">
        <f t="shared" si="126"/>
        <v>1</v>
      </c>
      <c r="T834" s="10" t="b">
        <f t="shared" si="127"/>
        <v>1</v>
      </c>
      <c r="U834" s="8" t="str">
        <f t="shared" si="128"/>
        <v>FALSE</v>
      </c>
      <c r="V834" s="11" t="str">
        <f t="shared" si="129"/>
        <v>TRUE</v>
      </c>
    </row>
    <row r="835" spans="1:22" ht="15.75">
      <c r="A835" s="21">
        <v>833</v>
      </c>
      <c r="B835" s="5" t="s">
        <v>2425</v>
      </c>
      <c r="C835" s="23" t="s">
        <v>3057</v>
      </c>
      <c r="D835" s="23" t="s">
        <v>34</v>
      </c>
      <c r="E835" s="5" t="s">
        <v>2426</v>
      </c>
      <c r="F835" s="71" t="s">
        <v>6106</v>
      </c>
      <c r="G835" s="22" t="s">
        <v>179</v>
      </c>
      <c r="H835" s="5" t="s">
        <v>3932</v>
      </c>
      <c r="I835" s="5" t="s">
        <v>67</v>
      </c>
      <c r="J835" s="5" t="s">
        <v>5254</v>
      </c>
      <c r="K835" s="5" t="s">
        <v>2427</v>
      </c>
      <c r="L835" s="22"/>
      <c r="M835" s="8" t="str">
        <f t="shared" ref="M835:M898" si="130">IF(COUNTIF($B$3:$B$1002,B835)&gt;1,"Duplicate","Ok")</f>
        <v>Ok</v>
      </c>
      <c r="N835" s="9" t="b">
        <f t="shared" ref="N835:N898" si="131">EXACT(C835,PROPER(C835))</f>
        <v>0</v>
      </c>
      <c r="O835" s="9" t="b">
        <f t="shared" ref="O835:O898" si="132">EXACT(D835,PROPER(D835))</f>
        <v>0</v>
      </c>
      <c r="P835" s="8" t="str">
        <f t="shared" ref="P835:P898" si="133">IF(ISNUMBER(E835),"TRUE","FALSE")</f>
        <v>FALSE</v>
      </c>
      <c r="Q835" s="8" t="str">
        <f t="shared" ref="Q835:Q898" si="134">IF(ISNUMBER(F835),"TRUE","FALSE")</f>
        <v>FALSE</v>
      </c>
      <c r="R835" s="9" t="b">
        <f t="shared" ref="R835:R898" si="135">EXACT(G835,PROPER(G835))</f>
        <v>1</v>
      </c>
      <c r="S835" s="8" t="b">
        <f t="shared" ref="S835:S898" si="136">EXACT(H835,PROPER(H835))</f>
        <v>0</v>
      </c>
      <c r="T835" s="10" t="b">
        <f t="shared" ref="T835:T898" si="137">EXACT(I835,PROPER(I835))</f>
        <v>0</v>
      </c>
      <c r="U835" s="8" t="str">
        <f t="shared" ref="U835:U898" si="138">IF(RIGHT(J835,10)="@email.com","TRUE","FALSE")</f>
        <v>TRUE</v>
      </c>
      <c r="V835" s="11" t="str">
        <f t="shared" ref="V835:V898" si="139">IF(LEFT(K835,2)="08","TRUE","FALSE")</f>
        <v>FALSE</v>
      </c>
    </row>
    <row r="836" spans="1:22" ht="15.75">
      <c r="A836" s="21">
        <v>834</v>
      </c>
      <c r="B836" s="5" t="s">
        <v>2428</v>
      </c>
      <c r="C836" s="23" t="s">
        <v>3853</v>
      </c>
      <c r="D836" s="23" t="s">
        <v>17</v>
      </c>
      <c r="E836" s="5" t="s">
        <v>2429</v>
      </c>
      <c r="F836" s="71" t="s">
        <v>6106</v>
      </c>
      <c r="G836" s="22" t="s">
        <v>144</v>
      </c>
      <c r="H836" s="5" t="s">
        <v>25</v>
      </c>
      <c r="I836" s="5" t="s">
        <v>56</v>
      </c>
      <c r="J836" s="5" t="s">
        <v>5745</v>
      </c>
      <c r="K836" s="5" t="s">
        <v>2430</v>
      </c>
      <c r="L836" s="22"/>
      <c r="M836" s="8" t="str">
        <f t="shared" si="130"/>
        <v>Ok</v>
      </c>
      <c r="N836" s="9" t="b">
        <f t="shared" si="131"/>
        <v>0</v>
      </c>
      <c r="O836" s="9" t="b">
        <f t="shared" si="132"/>
        <v>1</v>
      </c>
      <c r="P836" s="8" t="str">
        <f t="shared" si="133"/>
        <v>FALSE</v>
      </c>
      <c r="Q836" s="8" t="str">
        <f t="shared" si="134"/>
        <v>FALSE</v>
      </c>
      <c r="R836" s="9" t="b">
        <f t="shared" si="135"/>
        <v>1</v>
      </c>
      <c r="S836" s="8" t="b">
        <f t="shared" si="136"/>
        <v>0</v>
      </c>
      <c r="T836" s="10" t="b">
        <f t="shared" si="137"/>
        <v>1</v>
      </c>
      <c r="U836" s="8" t="str">
        <f t="shared" si="138"/>
        <v>FALSE</v>
      </c>
      <c r="V836" s="11" t="str">
        <f t="shared" si="139"/>
        <v>FALSE</v>
      </c>
    </row>
    <row r="837" spans="1:22" ht="15.75">
      <c r="A837" s="21">
        <v>835</v>
      </c>
      <c r="B837" s="5" t="s">
        <v>2431</v>
      </c>
      <c r="C837" s="23" t="s">
        <v>3741</v>
      </c>
      <c r="D837" s="23" t="s">
        <v>59</v>
      </c>
      <c r="E837" s="5" t="s">
        <v>2432</v>
      </c>
      <c r="F837" s="71" t="s">
        <v>6106</v>
      </c>
      <c r="G837" s="22" t="s">
        <v>3934</v>
      </c>
      <c r="H837" s="5" t="s">
        <v>13</v>
      </c>
      <c r="I837" s="5" t="s">
        <v>56</v>
      </c>
      <c r="J837" s="5" t="s">
        <v>5048</v>
      </c>
      <c r="K837" s="5" t="s">
        <v>2433</v>
      </c>
      <c r="L837" s="22"/>
      <c r="M837" s="8" t="str">
        <f t="shared" si="130"/>
        <v>Ok</v>
      </c>
      <c r="N837" s="9" t="b">
        <f t="shared" si="131"/>
        <v>0</v>
      </c>
      <c r="O837" s="9" t="b">
        <f t="shared" si="132"/>
        <v>1</v>
      </c>
      <c r="P837" s="8" t="str">
        <f t="shared" si="133"/>
        <v>FALSE</v>
      </c>
      <c r="Q837" s="8" t="str">
        <f t="shared" si="134"/>
        <v>FALSE</v>
      </c>
      <c r="R837" s="9" t="b">
        <f t="shared" si="135"/>
        <v>0</v>
      </c>
      <c r="S837" s="8" t="b">
        <f t="shared" si="136"/>
        <v>0</v>
      </c>
      <c r="T837" s="10" t="b">
        <f t="shared" si="137"/>
        <v>1</v>
      </c>
      <c r="U837" s="8" t="str">
        <f t="shared" si="138"/>
        <v>TRUE</v>
      </c>
      <c r="V837" s="11" t="str">
        <f t="shared" si="139"/>
        <v>TRUE</v>
      </c>
    </row>
    <row r="838" spans="1:22" ht="15.75">
      <c r="A838" s="21">
        <v>836</v>
      </c>
      <c r="B838" s="5" t="s">
        <v>2434</v>
      </c>
      <c r="C838" s="23" t="s">
        <v>3742</v>
      </c>
      <c r="D838" s="23" t="s">
        <v>59</v>
      </c>
      <c r="E838" s="5" t="s">
        <v>2435</v>
      </c>
      <c r="F838" s="71" t="s">
        <v>6106</v>
      </c>
      <c r="G838" s="22" t="s">
        <v>3934</v>
      </c>
      <c r="H838" s="5" t="s">
        <v>13</v>
      </c>
      <c r="I838" s="5" t="s">
        <v>14</v>
      </c>
      <c r="J838" s="5" t="s">
        <v>5645</v>
      </c>
      <c r="K838" s="5" t="s">
        <v>2436</v>
      </c>
      <c r="L838" s="22"/>
      <c r="M838" s="8" t="str">
        <f t="shared" si="130"/>
        <v>Ok</v>
      </c>
      <c r="N838" s="9" t="b">
        <f t="shared" si="131"/>
        <v>0</v>
      </c>
      <c r="O838" s="9" t="b">
        <f t="shared" si="132"/>
        <v>1</v>
      </c>
      <c r="P838" s="8" t="str">
        <f t="shared" si="133"/>
        <v>FALSE</v>
      </c>
      <c r="Q838" s="8" t="str">
        <f t="shared" si="134"/>
        <v>FALSE</v>
      </c>
      <c r="R838" s="9" t="b">
        <f t="shared" si="135"/>
        <v>0</v>
      </c>
      <c r="S838" s="8" t="b">
        <f t="shared" si="136"/>
        <v>0</v>
      </c>
      <c r="T838" s="10" t="b">
        <f t="shared" si="137"/>
        <v>1</v>
      </c>
      <c r="U838" s="8" t="str">
        <f t="shared" si="138"/>
        <v>FALSE</v>
      </c>
      <c r="V838" s="11" t="str">
        <f t="shared" si="139"/>
        <v>TRUE</v>
      </c>
    </row>
    <row r="839" spans="1:22" ht="15.75">
      <c r="A839" s="21">
        <v>837</v>
      </c>
      <c r="B839" s="5" t="s">
        <v>2437</v>
      </c>
      <c r="C839" s="23" t="s">
        <v>3318</v>
      </c>
      <c r="D839" s="23" t="s">
        <v>77</v>
      </c>
      <c r="E839" s="5" t="s">
        <v>1544</v>
      </c>
      <c r="F839" s="71" t="s">
        <v>6106</v>
      </c>
      <c r="G839" s="22" t="s">
        <v>179</v>
      </c>
      <c r="H839" s="5" t="s">
        <v>3932</v>
      </c>
      <c r="I839" s="5" t="s">
        <v>21</v>
      </c>
      <c r="J839" s="5" t="s">
        <v>4863</v>
      </c>
      <c r="K839" s="5" t="s">
        <v>2438</v>
      </c>
      <c r="L839" s="22"/>
      <c r="M839" s="8" t="str">
        <f t="shared" si="130"/>
        <v>Ok</v>
      </c>
      <c r="N839" s="9" t="b">
        <f t="shared" si="131"/>
        <v>1</v>
      </c>
      <c r="O839" s="9" t="b">
        <f t="shared" si="132"/>
        <v>0</v>
      </c>
      <c r="P839" s="8" t="str">
        <f t="shared" si="133"/>
        <v>FALSE</v>
      </c>
      <c r="Q839" s="8" t="str">
        <f t="shared" si="134"/>
        <v>FALSE</v>
      </c>
      <c r="R839" s="9" t="b">
        <f t="shared" si="135"/>
        <v>1</v>
      </c>
      <c r="S839" s="8" t="b">
        <f t="shared" si="136"/>
        <v>0</v>
      </c>
      <c r="T839" s="10" t="b">
        <f t="shared" si="137"/>
        <v>0</v>
      </c>
      <c r="U839" s="8" t="str">
        <f t="shared" si="138"/>
        <v>TRUE</v>
      </c>
      <c r="V839" s="11" t="str">
        <f t="shared" si="139"/>
        <v>TRUE</v>
      </c>
    </row>
    <row r="840" spans="1:22" ht="15.75">
      <c r="A840" s="21">
        <v>838</v>
      </c>
      <c r="B840" s="5" t="s">
        <v>2439</v>
      </c>
      <c r="C840" s="23" t="s">
        <v>3525</v>
      </c>
      <c r="D840" s="23" t="s">
        <v>77</v>
      </c>
      <c r="E840" s="5" t="s">
        <v>2440</v>
      </c>
      <c r="F840" s="71" t="s">
        <v>6106</v>
      </c>
      <c r="G840" s="22" t="s">
        <v>160</v>
      </c>
      <c r="H840" s="5" t="s">
        <v>3932</v>
      </c>
      <c r="I840" s="5" t="s">
        <v>26</v>
      </c>
      <c r="J840" s="5" t="s">
        <v>4854</v>
      </c>
      <c r="K840" s="5" t="s">
        <v>2441</v>
      </c>
      <c r="L840" s="22"/>
      <c r="M840" s="8" t="str">
        <f t="shared" si="130"/>
        <v>Ok</v>
      </c>
      <c r="N840" s="9" t="b">
        <f t="shared" si="131"/>
        <v>1</v>
      </c>
      <c r="O840" s="9" t="b">
        <f t="shared" si="132"/>
        <v>0</v>
      </c>
      <c r="P840" s="8" t="str">
        <f t="shared" si="133"/>
        <v>FALSE</v>
      </c>
      <c r="Q840" s="8" t="str">
        <f t="shared" si="134"/>
        <v>FALSE</v>
      </c>
      <c r="R840" s="9" t="b">
        <f t="shared" si="135"/>
        <v>0</v>
      </c>
      <c r="S840" s="8" t="b">
        <f t="shared" si="136"/>
        <v>0</v>
      </c>
      <c r="T840" s="10" t="b">
        <f t="shared" si="137"/>
        <v>0</v>
      </c>
      <c r="U840" s="8" t="str">
        <f t="shared" si="138"/>
        <v>TRUE</v>
      </c>
      <c r="V840" s="11" t="str">
        <f t="shared" si="139"/>
        <v>TRUE</v>
      </c>
    </row>
    <row r="841" spans="1:22" ht="15.75">
      <c r="A841" s="21">
        <v>839</v>
      </c>
      <c r="B841" s="5" t="s">
        <v>2442</v>
      </c>
      <c r="C841" s="23" t="s">
        <v>3267</v>
      </c>
      <c r="D841" s="23" t="s">
        <v>77</v>
      </c>
      <c r="E841" s="5" t="s">
        <v>2443</v>
      </c>
      <c r="F841" s="71" t="s">
        <v>6106</v>
      </c>
      <c r="G841" s="22" t="s">
        <v>179</v>
      </c>
      <c r="H841" s="5" t="s">
        <v>3932</v>
      </c>
      <c r="I841" s="5" t="s">
        <v>21</v>
      </c>
      <c r="J841" s="5" t="s">
        <v>5416</v>
      </c>
      <c r="K841" s="5" t="s">
        <v>2444</v>
      </c>
      <c r="L841" s="22"/>
      <c r="M841" s="8" t="str">
        <f t="shared" si="130"/>
        <v>Ok</v>
      </c>
      <c r="N841" s="9" t="b">
        <f t="shared" si="131"/>
        <v>1</v>
      </c>
      <c r="O841" s="9" t="b">
        <f t="shared" si="132"/>
        <v>0</v>
      </c>
      <c r="P841" s="8" t="str">
        <f t="shared" si="133"/>
        <v>FALSE</v>
      </c>
      <c r="Q841" s="8" t="str">
        <f t="shared" si="134"/>
        <v>FALSE</v>
      </c>
      <c r="R841" s="9" t="b">
        <f t="shared" si="135"/>
        <v>1</v>
      </c>
      <c r="S841" s="8" t="b">
        <f t="shared" si="136"/>
        <v>0</v>
      </c>
      <c r="T841" s="10" t="b">
        <f t="shared" si="137"/>
        <v>0</v>
      </c>
      <c r="U841" s="8" t="str">
        <f t="shared" si="138"/>
        <v>TRUE</v>
      </c>
      <c r="V841" s="11" t="str">
        <f t="shared" si="139"/>
        <v>TRUE</v>
      </c>
    </row>
    <row r="842" spans="1:22" ht="15.75">
      <c r="A842" s="21">
        <v>840</v>
      </c>
      <c r="B842" s="5" t="s">
        <v>2445</v>
      </c>
      <c r="C842" s="23" t="s">
        <v>3526</v>
      </c>
      <c r="D842" s="23" t="s">
        <v>77</v>
      </c>
      <c r="E842" s="5" t="s">
        <v>2446</v>
      </c>
      <c r="F842" s="71" t="s">
        <v>6106</v>
      </c>
      <c r="G842" s="22" t="s">
        <v>160</v>
      </c>
      <c r="H842" s="5" t="s">
        <v>3932</v>
      </c>
      <c r="I842" s="5" t="s">
        <v>42</v>
      </c>
      <c r="J842" s="5" t="s">
        <v>5652</v>
      </c>
      <c r="K842" s="5" t="s">
        <v>2447</v>
      </c>
      <c r="L842" s="22"/>
      <c r="M842" s="8" t="str">
        <f t="shared" si="130"/>
        <v>Ok</v>
      </c>
      <c r="N842" s="9" t="b">
        <f t="shared" si="131"/>
        <v>1</v>
      </c>
      <c r="O842" s="9" t="b">
        <f t="shared" si="132"/>
        <v>0</v>
      </c>
      <c r="P842" s="8" t="str">
        <f t="shared" si="133"/>
        <v>FALSE</v>
      </c>
      <c r="Q842" s="8" t="str">
        <f t="shared" si="134"/>
        <v>FALSE</v>
      </c>
      <c r="R842" s="9" t="b">
        <f t="shared" si="135"/>
        <v>0</v>
      </c>
      <c r="S842" s="8" t="b">
        <f t="shared" si="136"/>
        <v>0</v>
      </c>
      <c r="T842" s="10" t="b">
        <f t="shared" si="137"/>
        <v>1</v>
      </c>
      <c r="U842" s="8" t="str">
        <f t="shared" si="138"/>
        <v>FALSE</v>
      </c>
      <c r="V842" s="11" t="str">
        <f t="shared" si="139"/>
        <v>TRUE</v>
      </c>
    </row>
    <row r="843" spans="1:22" ht="15.75">
      <c r="A843" s="21">
        <v>841</v>
      </c>
      <c r="B843" s="5" t="s">
        <v>2448</v>
      </c>
      <c r="C843" s="23" t="s">
        <v>3177</v>
      </c>
      <c r="D843" s="23" t="s">
        <v>77</v>
      </c>
      <c r="E843" s="5" t="s">
        <v>2449</v>
      </c>
      <c r="F843" s="71" t="s">
        <v>6106</v>
      </c>
      <c r="G843" s="22" t="s">
        <v>66</v>
      </c>
      <c r="H843" s="5" t="s">
        <v>130</v>
      </c>
      <c r="I843" s="5" t="s">
        <v>26</v>
      </c>
      <c r="J843" s="5" t="s">
        <v>5063</v>
      </c>
      <c r="K843" s="5" t="s">
        <v>2450</v>
      </c>
      <c r="L843" s="22"/>
      <c r="M843" s="8" t="str">
        <f t="shared" si="130"/>
        <v>Ok</v>
      </c>
      <c r="N843" s="9" t="b">
        <f t="shared" si="131"/>
        <v>0</v>
      </c>
      <c r="O843" s="9" t="b">
        <f t="shared" si="132"/>
        <v>0</v>
      </c>
      <c r="P843" s="8" t="str">
        <f t="shared" si="133"/>
        <v>FALSE</v>
      </c>
      <c r="Q843" s="8" t="str">
        <f t="shared" si="134"/>
        <v>FALSE</v>
      </c>
      <c r="R843" s="9" t="b">
        <f t="shared" si="135"/>
        <v>0</v>
      </c>
      <c r="S843" s="8" t="b">
        <f t="shared" si="136"/>
        <v>0</v>
      </c>
      <c r="T843" s="10" t="b">
        <f t="shared" si="137"/>
        <v>0</v>
      </c>
      <c r="U843" s="8" t="str">
        <f t="shared" si="138"/>
        <v>TRUE</v>
      </c>
      <c r="V843" s="11" t="str">
        <f t="shared" si="139"/>
        <v>TRUE</v>
      </c>
    </row>
    <row r="844" spans="1:22" ht="15.75">
      <c r="A844" s="21">
        <v>842</v>
      </c>
      <c r="B844" s="5" t="s">
        <v>2451</v>
      </c>
      <c r="C844" s="23" t="s">
        <v>3417</v>
      </c>
      <c r="D844" s="23" t="s">
        <v>17</v>
      </c>
      <c r="E844" s="5" t="s">
        <v>2452</v>
      </c>
      <c r="F844" s="71" t="s">
        <v>6106</v>
      </c>
      <c r="G844" s="22" t="s">
        <v>3933</v>
      </c>
      <c r="H844" s="5" t="s">
        <v>3932</v>
      </c>
      <c r="I844" s="5" t="s">
        <v>50</v>
      </c>
      <c r="J844" s="5" t="s">
        <v>5206</v>
      </c>
      <c r="K844" s="5" t="s">
        <v>2453</v>
      </c>
      <c r="L844" s="22"/>
      <c r="M844" s="8" t="str">
        <f t="shared" si="130"/>
        <v>Ok</v>
      </c>
      <c r="N844" s="9" t="b">
        <f t="shared" si="131"/>
        <v>1</v>
      </c>
      <c r="O844" s="9" t="b">
        <f t="shared" si="132"/>
        <v>1</v>
      </c>
      <c r="P844" s="8" t="str">
        <f t="shared" si="133"/>
        <v>FALSE</v>
      </c>
      <c r="Q844" s="8" t="str">
        <f t="shared" si="134"/>
        <v>FALSE</v>
      </c>
      <c r="R844" s="9" t="b">
        <f t="shared" si="135"/>
        <v>0</v>
      </c>
      <c r="S844" s="8" t="b">
        <f t="shared" si="136"/>
        <v>0</v>
      </c>
      <c r="T844" s="10" t="b">
        <f t="shared" si="137"/>
        <v>0</v>
      </c>
      <c r="U844" s="8" t="str">
        <f t="shared" si="138"/>
        <v>TRUE</v>
      </c>
      <c r="V844" s="11" t="str">
        <f t="shared" si="139"/>
        <v>FALSE</v>
      </c>
    </row>
    <row r="845" spans="1:22" ht="15.75">
      <c r="A845" s="21">
        <v>843</v>
      </c>
      <c r="B845" s="5" t="s">
        <v>2454</v>
      </c>
      <c r="C845" s="23" t="s">
        <v>3319</v>
      </c>
      <c r="D845" s="23" t="s">
        <v>77</v>
      </c>
      <c r="E845" s="5" t="s">
        <v>2455</v>
      </c>
      <c r="F845" s="71" t="s">
        <v>6106</v>
      </c>
      <c r="G845" s="22" t="s">
        <v>179</v>
      </c>
      <c r="H845" s="5" t="s">
        <v>3932</v>
      </c>
      <c r="I845" s="5" t="s">
        <v>42</v>
      </c>
      <c r="J845" s="5" t="s">
        <v>5131</v>
      </c>
      <c r="K845" s="5" t="s">
        <v>2456</v>
      </c>
      <c r="L845" s="22"/>
      <c r="M845" s="8" t="str">
        <f t="shared" si="130"/>
        <v>Ok</v>
      </c>
      <c r="N845" s="9" t="b">
        <f t="shared" si="131"/>
        <v>1</v>
      </c>
      <c r="O845" s="9" t="b">
        <f t="shared" si="132"/>
        <v>0</v>
      </c>
      <c r="P845" s="8" t="str">
        <f t="shared" si="133"/>
        <v>FALSE</v>
      </c>
      <c r="Q845" s="8" t="str">
        <f t="shared" si="134"/>
        <v>FALSE</v>
      </c>
      <c r="R845" s="9" t="b">
        <f t="shared" si="135"/>
        <v>1</v>
      </c>
      <c r="S845" s="8" t="b">
        <f t="shared" si="136"/>
        <v>0</v>
      </c>
      <c r="T845" s="10" t="b">
        <f t="shared" si="137"/>
        <v>1</v>
      </c>
      <c r="U845" s="8" t="str">
        <f t="shared" si="138"/>
        <v>TRUE</v>
      </c>
      <c r="V845" s="11" t="str">
        <f t="shared" si="139"/>
        <v>TRUE</v>
      </c>
    </row>
    <row r="846" spans="1:22" ht="15.75">
      <c r="A846" s="21">
        <v>844</v>
      </c>
      <c r="B846" s="5" t="s">
        <v>2457</v>
      </c>
      <c r="C846" s="23" t="s">
        <v>3058</v>
      </c>
      <c r="D846" s="23" t="s">
        <v>34</v>
      </c>
      <c r="E846" s="5" t="s">
        <v>2458</v>
      </c>
      <c r="F846" s="71" t="s">
        <v>6106</v>
      </c>
      <c r="G846" s="22" t="s">
        <v>40</v>
      </c>
      <c r="H846" s="5" t="s">
        <v>71</v>
      </c>
      <c r="I846" s="5" t="s">
        <v>14</v>
      </c>
      <c r="J846" s="5" t="s">
        <v>4946</v>
      </c>
      <c r="K846" s="5" t="s">
        <v>2459</v>
      </c>
      <c r="L846" s="22"/>
      <c r="M846" s="8" t="str">
        <f t="shared" si="130"/>
        <v>Ok</v>
      </c>
      <c r="N846" s="9" t="b">
        <f t="shared" si="131"/>
        <v>0</v>
      </c>
      <c r="O846" s="9" t="b">
        <f t="shared" si="132"/>
        <v>0</v>
      </c>
      <c r="P846" s="8" t="str">
        <f t="shared" si="133"/>
        <v>FALSE</v>
      </c>
      <c r="Q846" s="8" t="str">
        <f t="shared" si="134"/>
        <v>FALSE</v>
      </c>
      <c r="R846" s="9" t="b">
        <f t="shared" si="135"/>
        <v>1</v>
      </c>
      <c r="S846" s="8" t="b">
        <f t="shared" si="136"/>
        <v>1</v>
      </c>
      <c r="T846" s="10" t="b">
        <f t="shared" si="137"/>
        <v>1</v>
      </c>
      <c r="U846" s="8" t="str">
        <f t="shared" si="138"/>
        <v>TRUE</v>
      </c>
      <c r="V846" s="11" t="str">
        <f t="shared" si="139"/>
        <v>TRUE</v>
      </c>
    </row>
    <row r="847" spans="1:22" ht="15.75">
      <c r="A847" s="21">
        <v>845</v>
      </c>
      <c r="B847" s="5" t="s">
        <v>2460</v>
      </c>
      <c r="C847" s="23" t="s">
        <v>3320</v>
      </c>
      <c r="D847" s="23" t="s">
        <v>77</v>
      </c>
      <c r="E847" s="5" t="s">
        <v>811</v>
      </c>
      <c r="F847" s="71" t="s">
        <v>6106</v>
      </c>
      <c r="G847" s="22" t="s">
        <v>61</v>
      </c>
      <c r="H847" s="5" t="s">
        <v>98</v>
      </c>
      <c r="I847" s="5" t="s">
        <v>56</v>
      </c>
      <c r="J847" s="5" t="s">
        <v>4859</v>
      </c>
      <c r="K847" s="5" t="s">
        <v>2461</v>
      </c>
      <c r="L847" s="22"/>
      <c r="M847" s="8" t="str">
        <f t="shared" si="130"/>
        <v>Ok</v>
      </c>
      <c r="N847" s="9" t="b">
        <f t="shared" si="131"/>
        <v>1</v>
      </c>
      <c r="O847" s="9" t="b">
        <f t="shared" si="132"/>
        <v>0</v>
      </c>
      <c r="P847" s="8" t="str">
        <f t="shared" si="133"/>
        <v>FALSE</v>
      </c>
      <c r="Q847" s="8" t="str">
        <f t="shared" si="134"/>
        <v>FALSE</v>
      </c>
      <c r="R847" s="9" t="b">
        <f t="shared" si="135"/>
        <v>1</v>
      </c>
      <c r="S847" s="8" t="b">
        <f t="shared" si="136"/>
        <v>0</v>
      </c>
      <c r="T847" s="10" t="b">
        <f t="shared" si="137"/>
        <v>1</v>
      </c>
      <c r="U847" s="8" t="str">
        <f t="shared" si="138"/>
        <v>TRUE</v>
      </c>
      <c r="V847" s="11" t="str">
        <f t="shared" si="139"/>
        <v>TRUE</v>
      </c>
    </row>
    <row r="848" spans="1:22" ht="15.75">
      <c r="A848" s="21">
        <v>846</v>
      </c>
      <c r="B848" s="5" t="s">
        <v>2462</v>
      </c>
      <c r="C848" s="23" t="s">
        <v>2974</v>
      </c>
      <c r="D848" s="23" t="s">
        <v>17</v>
      </c>
      <c r="E848" s="5" t="s">
        <v>2463</v>
      </c>
      <c r="F848" s="71" t="s">
        <v>6106</v>
      </c>
      <c r="G848" s="22" t="s">
        <v>85</v>
      </c>
      <c r="H848" s="5" t="s">
        <v>86</v>
      </c>
      <c r="I848" s="5" t="s">
        <v>26</v>
      </c>
      <c r="J848" s="5" t="s">
        <v>5686</v>
      </c>
      <c r="K848" s="5" t="s">
        <v>2464</v>
      </c>
      <c r="L848" s="22"/>
      <c r="M848" s="8" t="str">
        <f t="shared" si="130"/>
        <v>Ok</v>
      </c>
      <c r="N848" s="9" t="b">
        <f t="shared" si="131"/>
        <v>0</v>
      </c>
      <c r="O848" s="9" t="b">
        <f t="shared" si="132"/>
        <v>1</v>
      </c>
      <c r="P848" s="8" t="str">
        <f t="shared" si="133"/>
        <v>FALSE</v>
      </c>
      <c r="Q848" s="8" t="str">
        <f t="shared" si="134"/>
        <v>FALSE</v>
      </c>
      <c r="R848" s="9" t="b">
        <f t="shared" si="135"/>
        <v>1</v>
      </c>
      <c r="S848" s="8" t="b">
        <f t="shared" si="136"/>
        <v>0</v>
      </c>
      <c r="T848" s="10" t="b">
        <f t="shared" si="137"/>
        <v>0</v>
      </c>
      <c r="U848" s="8" t="str">
        <f t="shared" si="138"/>
        <v>FALSE</v>
      </c>
      <c r="V848" s="11" t="str">
        <f t="shared" si="139"/>
        <v>TRUE</v>
      </c>
    </row>
    <row r="849" spans="1:22" ht="15.75">
      <c r="A849" s="21">
        <v>847</v>
      </c>
      <c r="B849" s="5" t="s">
        <v>2465</v>
      </c>
      <c r="C849" s="23" t="s">
        <v>3268</v>
      </c>
      <c r="D849" s="23" t="s">
        <v>77</v>
      </c>
      <c r="E849" s="5" t="s">
        <v>2466</v>
      </c>
      <c r="F849" s="71" t="s">
        <v>6106</v>
      </c>
      <c r="G849" s="22" t="s">
        <v>179</v>
      </c>
      <c r="H849" s="5" t="s">
        <v>3932</v>
      </c>
      <c r="I849" s="5" t="s">
        <v>56</v>
      </c>
      <c r="J849" s="5" t="s">
        <v>4894</v>
      </c>
      <c r="K849" s="5" t="s">
        <v>2467</v>
      </c>
      <c r="L849" s="22"/>
      <c r="M849" s="8" t="str">
        <f t="shared" si="130"/>
        <v>Ok</v>
      </c>
      <c r="N849" s="9" t="b">
        <f t="shared" si="131"/>
        <v>1</v>
      </c>
      <c r="O849" s="9" t="b">
        <f t="shared" si="132"/>
        <v>0</v>
      </c>
      <c r="P849" s="8" t="str">
        <f t="shared" si="133"/>
        <v>FALSE</v>
      </c>
      <c r="Q849" s="8" t="str">
        <f t="shared" si="134"/>
        <v>FALSE</v>
      </c>
      <c r="R849" s="9" t="b">
        <f t="shared" si="135"/>
        <v>1</v>
      </c>
      <c r="S849" s="8" t="b">
        <f t="shared" si="136"/>
        <v>0</v>
      </c>
      <c r="T849" s="10" t="b">
        <f t="shared" si="137"/>
        <v>1</v>
      </c>
      <c r="U849" s="8" t="str">
        <f t="shared" si="138"/>
        <v>TRUE</v>
      </c>
      <c r="V849" s="11" t="str">
        <f t="shared" si="139"/>
        <v>TRUE</v>
      </c>
    </row>
    <row r="850" spans="1:22" ht="15.75">
      <c r="A850" s="21">
        <v>848</v>
      </c>
      <c r="B850" s="5" t="s">
        <v>2468</v>
      </c>
      <c r="C850" s="23" t="s">
        <v>3269</v>
      </c>
      <c r="D850" s="23" t="s">
        <v>77</v>
      </c>
      <c r="E850" s="5" t="s">
        <v>595</v>
      </c>
      <c r="F850" s="71" t="s">
        <v>6106</v>
      </c>
      <c r="G850" s="22" t="s">
        <v>179</v>
      </c>
      <c r="H850" s="5" t="s">
        <v>3932</v>
      </c>
      <c r="I850" s="5" t="s">
        <v>67</v>
      </c>
      <c r="J850" s="5" t="s">
        <v>5290</v>
      </c>
      <c r="K850" s="5" t="s">
        <v>2469</v>
      </c>
      <c r="L850" s="22"/>
      <c r="M850" s="8" t="str">
        <f t="shared" si="130"/>
        <v>Ok</v>
      </c>
      <c r="N850" s="9" t="b">
        <f t="shared" si="131"/>
        <v>1</v>
      </c>
      <c r="O850" s="9" t="b">
        <f t="shared" si="132"/>
        <v>0</v>
      </c>
      <c r="P850" s="8" t="str">
        <f t="shared" si="133"/>
        <v>FALSE</v>
      </c>
      <c r="Q850" s="8" t="str">
        <f t="shared" si="134"/>
        <v>FALSE</v>
      </c>
      <c r="R850" s="9" t="b">
        <f t="shared" si="135"/>
        <v>1</v>
      </c>
      <c r="S850" s="8" t="b">
        <f t="shared" si="136"/>
        <v>0</v>
      </c>
      <c r="T850" s="10" t="b">
        <f t="shared" si="137"/>
        <v>0</v>
      </c>
      <c r="U850" s="8" t="str">
        <f t="shared" si="138"/>
        <v>TRUE</v>
      </c>
      <c r="V850" s="11" t="str">
        <f t="shared" si="139"/>
        <v>TRUE</v>
      </c>
    </row>
    <row r="851" spans="1:22" ht="15.75">
      <c r="A851" s="21">
        <v>849</v>
      </c>
      <c r="B851" s="5" t="s">
        <v>2470</v>
      </c>
      <c r="C851" s="23" t="s">
        <v>3573</v>
      </c>
      <c r="D851" s="23" t="s">
        <v>59</v>
      </c>
      <c r="E851" s="5" t="s">
        <v>2471</v>
      </c>
      <c r="F851" s="71" t="s">
        <v>6107</v>
      </c>
      <c r="G851" s="22" t="s">
        <v>12</v>
      </c>
      <c r="H851" s="5" t="s">
        <v>13</v>
      </c>
      <c r="I851" s="5" t="s">
        <v>42</v>
      </c>
      <c r="J851" s="5" t="s">
        <v>5446</v>
      </c>
      <c r="K851" s="5" t="s">
        <v>2472</v>
      </c>
      <c r="L851" s="22"/>
      <c r="M851" s="8" t="str">
        <f t="shared" si="130"/>
        <v>Ok</v>
      </c>
      <c r="N851" s="9" t="b">
        <f t="shared" si="131"/>
        <v>1</v>
      </c>
      <c r="O851" s="9" t="b">
        <f t="shared" si="132"/>
        <v>1</v>
      </c>
      <c r="P851" s="8" t="str">
        <f t="shared" si="133"/>
        <v>FALSE</v>
      </c>
      <c r="Q851" s="8" t="str">
        <f t="shared" si="134"/>
        <v>FALSE</v>
      </c>
      <c r="R851" s="9" t="b">
        <f t="shared" si="135"/>
        <v>1</v>
      </c>
      <c r="S851" s="8" t="b">
        <f t="shared" si="136"/>
        <v>0</v>
      </c>
      <c r="T851" s="10" t="b">
        <f t="shared" si="137"/>
        <v>1</v>
      </c>
      <c r="U851" s="8" t="str">
        <f t="shared" si="138"/>
        <v>TRUE</v>
      </c>
      <c r="V851" s="11" t="str">
        <f t="shared" si="139"/>
        <v>TRUE</v>
      </c>
    </row>
    <row r="852" spans="1:22" ht="15.75">
      <c r="A852" s="21">
        <v>850</v>
      </c>
      <c r="B852" s="5" t="s">
        <v>2473</v>
      </c>
      <c r="C852" s="23" t="s">
        <v>2962</v>
      </c>
      <c r="D852" s="23" t="s">
        <v>17</v>
      </c>
      <c r="E852" s="5" t="s">
        <v>2474</v>
      </c>
      <c r="F852" s="71" t="s">
        <v>6107</v>
      </c>
      <c r="G852" s="22" t="s">
        <v>119</v>
      </c>
      <c r="H852" s="5" t="s">
        <v>120</v>
      </c>
      <c r="I852" s="5" t="s">
        <v>42</v>
      </c>
      <c r="J852" s="5" t="s">
        <v>5691</v>
      </c>
      <c r="K852" s="5" t="s">
        <v>2475</v>
      </c>
      <c r="L852" s="22"/>
      <c r="M852" s="8" t="str">
        <f t="shared" si="130"/>
        <v>Ok</v>
      </c>
      <c r="N852" s="9" t="b">
        <f t="shared" si="131"/>
        <v>0</v>
      </c>
      <c r="O852" s="9" t="b">
        <f t="shared" si="132"/>
        <v>1</v>
      </c>
      <c r="P852" s="8" t="str">
        <f t="shared" si="133"/>
        <v>FALSE</v>
      </c>
      <c r="Q852" s="8" t="str">
        <f t="shared" si="134"/>
        <v>FALSE</v>
      </c>
      <c r="R852" s="9" t="b">
        <f t="shared" si="135"/>
        <v>0</v>
      </c>
      <c r="S852" s="8" t="b">
        <f t="shared" si="136"/>
        <v>1</v>
      </c>
      <c r="T852" s="10" t="b">
        <f t="shared" si="137"/>
        <v>1</v>
      </c>
      <c r="U852" s="8" t="str">
        <f t="shared" si="138"/>
        <v>FALSE</v>
      </c>
      <c r="V852" s="11" t="str">
        <f t="shared" si="139"/>
        <v>TRUE</v>
      </c>
    </row>
    <row r="853" spans="1:22" ht="15.75">
      <c r="A853" s="21">
        <v>851</v>
      </c>
      <c r="B853" s="5" t="s">
        <v>2476</v>
      </c>
      <c r="C853" s="23" t="s">
        <v>3527</v>
      </c>
      <c r="D853" s="23" t="s">
        <v>77</v>
      </c>
      <c r="E853" s="5" t="s">
        <v>2477</v>
      </c>
      <c r="F853" s="71" t="s">
        <v>6107</v>
      </c>
      <c r="G853" s="22" t="s">
        <v>160</v>
      </c>
      <c r="H853" s="5" t="s">
        <v>3932</v>
      </c>
      <c r="I853" s="5" t="s">
        <v>56</v>
      </c>
      <c r="J853" s="5" t="s">
        <v>5655</v>
      </c>
      <c r="K853" s="5" t="s">
        <v>2478</v>
      </c>
      <c r="L853" s="22"/>
      <c r="M853" s="8" t="str">
        <f t="shared" si="130"/>
        <v>Ok</v>
      </c>
      <c r="N853" s="9" t="b">
        <f t="shared" si="131"/>
        <v>1</v>
      </c>
      <c r="O853" s="9" t="b">
        <f t="shared" si="132"/>
        <v>0</v>
      </c>
      <c r="P853" s="8" t="str">
        <f t="shared" si="133"/>
        <v>FALSE</v>
      </c>
      <c r="Q853" s="8" t="str">
        <f t="shared" si="134"/>
        <v>FALSE</v>
      </c>
      <c r="R853" s="9" t="b">
        <f t="shared" si="135"/>
        <v>0</v>
      </c>
      <c r="S853" s="8" t="b">
        <f t="shared" si="136"/>
        <v>0</v>
      </c>
      <c r="T853" s="10" t="b">
        <f t="shared" si="137"/>
        <v>1</v>
      </c>
      <c r="U853" s="8" t="str">
        <f t="shared" si="138"/>
        <v>FALSE</v>
      </c>
      <c r="V853" s="11" t="str">
        <f t="shared" si="139"/>
        <v>TRUE</v>
      </c>
    </row>
    <row r="854" spans="1:22" ht="15.75">
      <c r="A854" s="21">
        <v>852</v>
      </c>
      <c r="B854" s="5" t="s">
        <v>2479</v>
      </c>
      <c r="C854" s="23" t="s">
        <v>3178</v>
      </c>
      <c r="D854" s="23" t="s">
        <v>77</v>
      </c>
      <c r="E854" s="5" t="s">
        <v>2480</v>
      </c>
      <c r="F854" s="71" t="s">
        <v>6107</v>
      </c>
      <c r="G854" s="22" t="s">
        <v>179</v>
      </c>
      <c r="H854" s="22" t="s">
        <v>179</v>
      </c>
      <c r="I854" s="5" t="s">
        <v>50</v>
      </c>
      <c r="J854" s="5" t="s">
        <v>5232</v>
      </c>
      <c r="K854" s="5" t="s">
        <v>2481</v>
      </c>
      <c r="L854" s="22"/>
      <c r="M854" s="8" t="str">
        <f t="shared" si="130"/>
        <v>Ok</v>
      </c>
      <c r="N854" s="9" t="b">
        <f t="shared" si="131"/>
        <v>0</v>
      </c>
      <c r="O854" s="9" t="b">
        <f t="shared" si="132"/>
        <v>0</v>
      </c>
      <c r="P854" s="8" t="str">
        <f t="shared" si="133"/>
        <v>FALSE</v>
      </c>
      <c r="Q854" s="8" t="str">
        <f t="shared" si="134"/>
        <v>FALSE</v>
      </c>
      <c r="R854" s="9" t="b">
        <f t="shared" si="135"/>
        <v>1</v>
      </c>
      <c r="S854" s="8" t="b">
        <f t="shared" si="136"/>
        <v>1</v>
      </c>
      <c r="T854" s="10" t="b">
        <f t="shared" si="137"/>
        <v>0</v>
      </c>
      <c r="U854" s="8" t="str">
        <f t="shared" si="138"/>
        <v>TRUE</v>
      </c>
      <c r="V854" s="11" t="str">
        <f t="shared" si="139"/>
        <v>TRUE</v>
      </c>
    </row>
    <row r="855" spans="1:22" ht="15.75">
      <c r="A855" s="21">
        <v>853</v>
      </c>
      <c r="B855" s="5" t="s">
        <v>2482</v>
      </c>
      <c r="C855" s="23" t="s">
        <v>3179</v>
      </c>
      <c r="D855" s="23" t="s">
        <v>77</v>
      </c>
      <c r="E855" s="5" t="s">
        <v>1975</v>
      </c>
      <c r="F855" s="71" t="s">
        <v>6107</v>
      </c>
      <c r="G855" s="22" t="s">
        <v>179</v>
      </c>
      <c r="H855" s="22" t="s">
        <v>179</v>
      </c>
      <c r="I855" s="5" t="s">
        <v>21</v>
      </c>
      <c r="J855" s="5" t="s">
        <v>5061</v>
      </c>
      <c r="K855" s="5" t="s">
        <v>2483</v>
      </c>
      <c r="L855" s="22"/>
      <c r="M855" s="8" t="str">
        <f t="shared" si="130"/>
        <v>Ok</v>
      </c>
      <c r="N855" s="9" t="b">
        <f t="shared" si="131"/>
        <v>1</v>
      </c>
      <c r="O855" s="9" t="b">
        <f t="shared" si="132"/>
        <v>0</v>
      </c>
      <c r="P855" s="8" t="str">
        <f t="shared" si="133"/>
        <v>FALSE</v>
      </c>
      <c r="Q855" s="8" t="str">
        <f t="shared" si="134"/>
        <v>FALSE</v>
      </c>
      <c r="R855" s="9" t="b">
        <f t="shared" si="135"/>
        <v>1</v>
      </c>
      <c r="S855" s="8" t="b">
        <f t="shared" si="136"/>
        <v>1</v>
      </c>
      <c r="T855" s="10" t="b">
        <f t="shared" si="137"/>
        <v>0</v>
      </c>
      <c r="U855" s="8" t="str">
        <f t="shared" si="138"/>
        <v>TRUE</v>
      </c>
      <c r="V855" s="11" t="str">
        <f t="shared" si="139"/>
        <v>TRUE</v>
      </c>
    </row>
    <row r="856" spans="1:22" ht="15.75">
      <c r="A856" s="21">
        <v>854</v>
      </c>
      <c r="B856" s="5" t="s">
        <v>2484</v>
      </c>
      <c r="C856" s="23" t="s">
        <v>3270</v>
      </c>
      <c r="D856" s="23" t="s">
        <v>77</v>
      </c>
      <c r="E856" s="5" t="s">
        <v>2485</v>
      </c>
      <c r="F856" s="71" t="s">
        <v>6107</v>
      </c>
      <c r="G856" s="22" t="s">
        <v>179</v>
      </c>
      <c r="H856" s="5" t="s">
        <v>3932</v>
      </c>
      <c r="I856" s="5" t="s">
        <v>21</v>
      </c>
      <c r="J856" s="5" t="s">
        <v>5473</v>
      </c>
      <c r="K856" s="5" t="s">
        <v>2486</v>
      </c>
      <c r="L856" s="22"/>
      <c r="M856" s="8" t="str">
        <f t="shared" si="130"/>
        <v>Ok</v>
      </c>
      <c r="N856" s="9" t="b">
        <f t="shared" si="131"/>
        <v>1</v>
      </c>
      <c r="O856" s="9" t="b">
        <f t="shared" si="132"/>
        <v>0</v>
      </c>
      <c r="P856" s="8" t="str">
        <f t="shared" si="133"/>
        <v>FALSE</v>
      </c>
      <c r="Q856" s="8" t="str">
        <f t="shared" si="134"/>
        <v>FALSE</v>
      </c>
      <c r="R856" s="9" t="b">
        <f t="shared" si="135"/>
        <v>1</v>
      </c>
      <c r="S856" s="8" t="b">
        <f t="shared" si="136"/>
        <v>0</v>
      </c>
      <c r="T856" s="10" t="b">
        <f t="shared" si="137"/>
        <v>0</v>
      </c>
      <c r="U856" s="8" t="str">
        <f t="shared" si="138"/>
        <v>FALSE</v>
      </c>
      <c r="V856" s="11" t="str">
        <f t="shared" si="139"/>
        <v>TRUE</v>
      </c>
    </row>
    <row r="857" spans="1:22" ht="15.75">
      <c r="A857" s="21">
        <v>855</v>
      </c>
      <c r="B857" s="5" t="s">
        <v>2487</v>
      </c>
      <c r="C857" s="23" t="s">
        <v>3854</v>
      </c>
      <c r="D857" s="23" t="s">
        <v>59</v>
      </c>
      <c r="E857" s="5" t="s">
        <v>2488</v>
      </c>
      <c r="F857" s="71" t="s">
        <v>6107</v>
      </c>
      <c r="G857" s="22" t="s">
        <v>144</v>
      </c>
      <c r="H857" s="5" t="s">
        <v>25</v>
      </c>
      <c r="I857" s="5" t="s">
        <v>56</v>
      </c>
      <c r="J857" s="5" t="s">
        <v>5717</v>
      </c>
      <c r="K857" s="5" t="s">
        <v>2489</v>
      </c>
      <c r="L857" s="22"/>
      <c r="M857" s="8" t="str">
        <f t="shared" si="130"/>
        <v>Ok</v>
      </c>
      <c r="N857" s="9" t="b">
        <f t="shared" si="131"/>
        <v>0</v>
      </c>
      <c r="O857" s="9" t="b">
        <f t="shared" si="132"/>
        <v>1</v>
      </c>
      <c r="P857" s="8" t="str">
        <f t="shared" si="133"/>
        <v>FALSE</v>
      </c>
      <c r="Q857" s="8" t="str">
        <f t="shared" si="134"/>
        <v>FALSE</v>
      </c>
      <c r="R857" s="9" t="b">
        <f t="shared" si="135"/>
        <v>1</v>
      </c>
      <c r="S857" s="8" t="b">
        <f t="shared" si="136"/>
        <v>0</v>
      </c>
      <c r="T857" s="10" t="b">
        <f t="shared" si="137"/>
        <v>1</v>
      </c>
      <c r="U857" s="8" t="str">
        <f t="shared" si="138"/>
        <v>FALSE</v>
      </c>
      <c r="V857" s="11" t="str">
        <f t="shared" si="139"/>
        <v>FALSE</v>
      </c>
    </row>
    <row r="858" spans="1:22" ht="15.75">
      <c r="A858" s="21">
        <v>856</v>
      </c>
      <c r="B858" s="5" t="s">
        <v>2490</v>
      </c>
      <c r="C858" s="23" t="s">
        <v>3528</v>
      </c>
      <c r="D858" s="23" t="s">
        <v>77</v>
      </c>
      <c r="E858" s="5" t="s">
        <v>2491</v>
      </c>
      <c r="F858" s="71" t="s">
        <v>6107</v>
      </c>
      <c r="G858" s="22" t="s">
        <v>160</v>
      </c>
      <c r="H858" s="5" t="s">
        <v>3932</v>
      </c>
      <c r="I858" s="5" t="s">
        <v>26</v>
      </c>
      <c r="J858" s="5" t="s">
        <v>5299</v>
      </c>
      <c r="K858" s="5" t="s">
        <v>2492</v>
      </c>
      <c r="L858" s="22"/>
      <c r="M858" s="8" t="str">
        <f t="shared" si="130"/>
        <v>Ok</v>
      </c>
      <c r="N858" s="9" t="b">
        <f t="shared" si="131"/>
        <v>1</v>
      </c>
      <c r="O858" s="9" t="b">
        <f t="shared" si="132"/>
        <v>0</v>
      </c>
      <c r="P858" s="8" t="str">
        <f t="shared" si="133"/>
        <v>FALSE</v>
      </c>
      <c r="Q858" s="8" t="str">
        <f t="shared" si="134"/>
        <v>FALSE</v>
      </c>
      <c r="R858" s="9" t="b">
        <f t="shared" si="135"/>
        <v>0</v>
      </c>
      <c r="S858" s="8" t="b">
        <f t="shared" si="136"/>
        <v>0</v>
      </c>
      <c r="T858" s="10" t="b">
        <f t="shared" si="137"/>
        <v>0</v>
      </c>
      <c r="U858" s="8" t="str">
        <f t="shared" si="138"/>
        <v>TRUE</v>
      </c>
      <c r="V858" s="11" t="str">
        <f t="shared" si="139"/>
        <v>TRUE</v>
      </c>
    </row>
    <row r="859" spans="1:22" ht="15.75">
      <c r="A859" s="21">
        <v>857</v>
      </c>
      <c r="B859" s="5" t="s">
        <v>2493</v>
      </c>
      <c r="C859" s="23" t="s">
        <v>3418</v>
      </c>
      <c r="D859" s="23" t="s">
        <v>17</v>
      </c>
      <c r="E859" s="5" t="s">
        <v>2494</v>
      </c>
      <c r="F859" s="71" t="s">
        <v>6107</v>
      </c>
      <c r="G859" s="22" t="s">
        <v>3933</v>
      </c>
      <c r="H859" s="5" t="s">
        <v>3932</v>
      </c>
      <c r="I859" s="5" t="s">
        <v>67</v>
      </c>
      <c r="J859" s="5" t="s">
        <v>5229</v>
      </c>
      <c r="K859" s="5" t="s">
        <v>2495</v>
      </c>
      <c r="L859" s="22"/>
      <c r="M859" s="8" t="str">
        <f t="shared" si="130"/>
        <v>Ok</v>
      </c>
      <c r="N859" s="9" t="b">
        <f t="shared" si="131"/>
        <v>1</v>
      </c>
      <c r="O859" s="9" t="b">
        <f t="shared" si="132"/>
        <v>1</v>
      </c>
      <c r="P859" s="8" t="str">
        <f t="shared" si="133"/>
        <v>FALSE</v>
      </c>
      <c r="Q859" s="8" t="str">
        <f t="shared" si="134"/>
        <v>FALSE</v>
      </c>
      <c r="R859" s="9" t="b">
        <f t="shared" si="135"/>
        <v>0</v>
      </c>
      <c r="S859" s="8" t="b">
        <f t="shared" si="136"/>
        <v>0</v>
      </c>
      <c r="T859" s="10" t="b">
        <f t="shared" si="137"/>
        <v>0</v>
      </c>
      <c r="U859" s="8" t="str">
        <f t="shared" si="138"/>
        <v>TRUE</v>
      </c>
      <c r="V859" s="11" t="str">
        <f t="shared" si="139"/>
        <v>TRUE</v>
      </c>
    </row>
    <row r="860" spans="1:22" ht="15.75">
      <c r="A860" s="21">
        <v>858</v>
      </c>
      <c r="B860" s="5" t="s">
        <v>2496</v>
      </c>
      <c r="C860" s="23" t="s">
        <v>3743</v>
      </c>
      <c r="D860" s="23" t="s">
        <v>59</v>
      </c>
      <c r="E860" s="5" t="s">
        <v>2356</v>
      </c>
      <c r="F860" s="71" t="s">
        <v>6107</v>
      </c>
      <c r="G860" s="22" t="s">
        <v>3934</v>
      </c>
      <c r="H860" s="5" t="s">
        <v>13</v>
      </c>
      <c r="I860" s="5" t="s">
        <v>50</v>
      </c>
      <c r="J860" s="5" t="s">
        <v>5032</v>
      </c>
      <c r="K860" s="5" t="s">
        <v>2497</v>
      </c>
      <c r="L860" s="22"/>
      <c r="M860" s="8" t="str">
        <f t="shared" si="130"/>
        <v>Ok</v>
      </c>
      <c r="N860" s="9" t="b">
        <f t="shared" si="131"/>
        <v>0</v>
      </c>
      <c r="O860" s="9" t="b">
        <f t="shared" si="132"/>
        <v>1</v>
      </c>
      <c r="P860" s="8" t="str">
        <f t="shared" si="133"/>
        <v>FALSE</v>
      </c>
      <c r="Q860" s="8" t="str">
        <f t="shared" si="134"/>
        <v>FALSE</v>
      </c>
      <c r="R860" s="9" t="b">
        <f t="shared" si="135"/>
        <v>0</v>
      </c>
      <c r="S860" s="8" t="b">
        <f t="shared" si="136"/>
        <v>0</v>
      </c>
      <c r="T860" s="10" t="b">
        <f t="shared" si="137"/>
        <v>0</v>
      </c>
      <c r="U860" s="8" t="str">
        <f t="shared" si="138"/>
        <v>TRUE</v>
      </c>
      <c r="V860" s="11" t="str">
        <f t="shared" si="139"/>
        <v>TRUE</v>
      </c>
    </row>
    <row r="861" spans="1:22" ht="15.75">
      <c r="A861" s="21">
        <v>859</v>
      </c>
      <c r="B861" s="5" t="s">
        <v>2498</v>
      </c>
      <c r="C861" s="23" t="s">
        <v>3529</v>
      </c>
      <c r="D861" s="23" t="s">
        <v>77</v>
      </c>
      <c r="E861" s="5" t="s">
        <v>2499</v>
      </c>
      <c r="F861" s="71" t="s">
        <v>6107</v>
      </c>
      <c r="G861" s="22" t="s">
        <v>160</v>
      </c>
      <c r="H861" s="5" t="s">
        <v>3932</v>
      </c>
      <c r="I861" s="5" t="s">
        <v>56</v>
      </c>
      <c r="J861" s="5" t="s">
        <v>5143</v>
      </c>
      <c r="K861" s="5" t="s">
        <v>2500</v>
      </c>
      <c r="L861" s="22"/>
      <c r="M861" s="8" t="str">
        <f t="shared" si="130"/>
        <v>Ok</v>
      </c>
      <c r="N861" s="9" t="b">
        <f t="shared" si="131"/>
        <v>1</v>
      </c>
      <c r="O861" s="9" t="b">
        <f t="shared" si="132"/>
        <v>0</v>
      </c>
      <c r="P861" s="8" t="str">
        <f t="shared" si="133"/>
        <v>FALSE</v>
      </c>
      <c r="Q861" s="8" t="str">
        <f t="shared" si="134"/>
        <v>FALSE</v>
      </c>
      <c r="R861" s="9" t="b">
        <f t="shared" si="135"/>
        <v>0</v>
      </c>
      <c r="S861" s="8" t="b">
        <f t="shared" si="136"/>
        <v>0</v>
      </c>
      <c r="T861" s="10" t="b">
        <f t="shared" si="137"/>
        <v>1</v>
      </c>
      <c r="U861" s="8" t="str">
        <f t="shared" si="138"/>
        <v>TRUE</v>
      </c>
      <c r="V861" s="11" t="str">
        <f t="shared" si="139"/>
        <v>TRUE</v>
      </c>
    </row>
    <row r="862" spans="1:22" ht="15.75">
      <c r="A862" s="21">
        <v>860</v>
      </c>
      <c r="B862" s="5" t="s">
        <v>2501</v>
      </c>
      <c r="C862" s="23" t="s">
        <v>3744</v>
      </c>
      <c r="D862" s="23" t="s">
        <v>59</v>
      </c>
      <c r="E862" s="5" t="s">
        <v>2119</v>
      </c>
      <c r="F862" s="71" t="s">
        <v>6107</v>
      </c>
      <c r="G862" s="22" t="s">
        <v>3934</v>
      </c>
      <c r="H862" s="5" t="s">
        <v>13</v>
      </c>
      <c r="I862" s="5" t="s">
        <v>56</v>
      </c>
      <c r="J862" s="5" t="s">
        <v>5398</v>
      </c>
      <c r="K862" s="5" t="s">
        <v>2502</v>
      </c>
      <c r="L862" s="22"/>
      <c r="M862" s="8" t="str">
        <f t="shared" si="130"/>
        <v>Ok</v>
      </c>
      <c r="N862" s="9" t="b">
        <f t="shared" si="131"/>
        <v>0</v>
      </c>
      <c r="O862" s="9" t="b">
        <f t="shared" si="132"/>
        <v>1</v>
      </c>
      <c r="P862" s="8" t="str">
        <f t="shared" si="133"/>
        <v>FALSE</v>
      </c>
      <c r="Q862" s="8" t="str">
        <f t="shared" si="134"/>
        <v>FALSE</v>
      </c>
      <c r="R862" s="9" t="b">
        <f t="shared" si="135"/>
        <v>0</v>
      </c>
      <c r="S862" s="8" t="b">
        <f t="shared" si="136"/>
        <v>0</v>
      </c>
      <c r="T862" s="10" t="b">
        <f t="shared" si="137"/>
        <v>1</v>
      </c>
      <c r="U862" s="8" t="str">
        <f t="shared" si="138"/>
        <v>TRUE</v>
      </c>
      <c r="V862" s="11" t="str">
        <f t="shared" si="139"/>
        <v>TRUE</v>
      </c>
    </row>
    <row r="863" spans="1:22" ht="15.75">
      <c r="A863" s="21">
        <v>861</v>
      </c>
      <c r="B863" s="5" t="s">
        <v>2503</v>
      </c>
      <c r="C863" s="23" t="s">
        <v>2958</v>
      </c>
      <c r="D863" s="23" t="s">
        <v>17</v>
      </c>
      <c r="E863" s="5" t="s">
        <v>2504</v>
      </c>
      <c r="F863" s="71" t="s">
        <v>6107</v>
      </c>
      <c r="G863" s="22" t="s">
        <v>119</v>
      </c>
      <c r="H863" s="5" t="s">
        <v>86</v>
      </c>
      <c r="I863" s="5" t="s">
        <v>42</v>
      </c>
      <c r="J863" s="5" t="s">
        <v>4993</v>
      </c>
      <c r="K863" s="5">
        <v>89756465598</v>
      </c>
      <c r="L863" s="22"/>
      <c r="M863" s="8" t="str">
        <f t="shared" si="130"/>
        <v>Ok</v>
      </c>
      <c r="N863" s="9" t="b">
        <f t="shared" si="131"/>
        <v>0</v>
      </c>
      <c r="O863" s="9" t="b">
        <f t="shared" si="132"/>
        <v>1</v>
      </c>
      <c r="P863" s="8" t="str">
        <f t="shared" si="133"/>
        <v>FALSE</v>
      </c>
      <c r="Q863" s="8" t="str">
        <f t="shared" si="134"/>
        <v>FALSE</v>
      </c>
      <c r="R863" s="9" t="b">
        <f t="shared" si="135"/>
        <v>0</v>
      </c>
      <c r="S863" s="8" t="b">
        <f t="shared" si="136"/>
        <v>0</v>
      </c>
      <c r="T863" s="10" t="b">
        <f t="shared" si="137"/>
        <v>1</v>
      </c>
      <c r="U863" s="8" t="str">
        <f t="shared" si="138"/>
        <v>TRUE</v>
      </c>
      <c r="V863" s="11" t="str">
        <f t="shared" si="139"/>
        <v>FALSE</v>
      </c>
    </row>
    <row r="864" spans="1:22" ht="15.75">
      <c r="A864" s="21">
        <v>862</v>
      </c>
      <c r="B864" s="5" t="s">
        <v>2505</v>
      </c>
      <c r="C864" s="23" t="s">
        <v>3419</v>
      </c>
      <c r="D864" s="23" t="s">
        <v>17</v>
      </c>
      <c r="E864" s="5" t="s">
        <v>2506</v>
      </c>
      <c r="F864" s="71" t="s">
        <v>6107</v>
      </c>
      <c r="G864" s="22" t="s">
        <v>3933</v>
      </c>
      <c r="H864" s="5" t="s">
        <v>3932</v>
      </c>
      <c r="I864" s="5" t="s">
        <v>56</v>
      </c>
      <c r="J864" s="5" t="s">
        <v>4842</v>
      </c>
      <c r="K864" s="5" t="s">
        <v>2507</v>
      </c>
      <c r="L864" s="22"/>
      <c r="M864" s="8" t="str">
        <f t="shared" si="130"/>
        <v>Ok</v>
      </c>
      <c r="N864" s="9" t="b">
        <f t="shared" si="131"/>
        <v>1</v>
      </c>
      <c r="O864" s="9" t="b">
        <f t="shared" si="132"/>
        <v>1</v>
      </c>
      <c r="P864" s="8" t="str">
        <f t="shared" si="133"/>
        <v>FALSE</v>
      </c>
      <c r="Q864" s="8" t="str">
        <f t="shared" si="134"/>
        <v>FALSE</v>
      </c>
      <c r="R864" s="9" t="b">
        <f t="shared" si="135"/>
        <v>0</v>
      </c>
      <c r="S864" s="8" t="b">
        <f t="shared" si="136"/>
        <v>0</v>
      </c>
      <c r="T864" s="10" t="b">
        <f t="shared" si="137"/>
        <v>1</v>
      </c>
      <c r="U864" s="8" t="str">
        <f t="shared" si="138"/>
        <v>TRUE</v>
      </c>
      <c r="V864" s="11" t="str">
        <f t="shared" si="139"/>
        <v>TRUE</v>
      </c>
    </row>
    <row r="865" spans="1:22" ht="15.75">
      <c r="A865" s="21">
        <v>863</v>
      </c>
      <c r="B865" s="5" t="s">
        <v>2508</v>
      </c>
      <c r="C865" s="23" t="s">
        <v>2957</v>
      </c>
      <c r="D865" s="23" t="s">
        <v>17</v>
      </c>
      <c r="E865" s="5" t="s">
        <v>2509</v>
      </c>
      <c r="F865" s="71" t="s">
        <v>6107</v>
      </c>
      <c r="G865" s="22" t="s">
        <v>119</v>
      </c>
      <c r="H865" s="5" t="s">
        <v>86</v>
      </c>
      <c r="I865" s="5" t="s">
        <v>21</v>
      </c>
      <c r="J865" s="5" t="s">
        <v>5169</v>
      </c>
      <c r="K865" s="5" t="s">
        <v>2510</v>
      </c>
      <c r="L865" s="22"/>
      <c r="M865" s="8" t="str">
        <f t="shared" si="130"/>
        <v>Ok</v>
      </c>
      <c r="N865" s="9" t="b">
        <f t="shared" si="131"/>
        <v>0</v>
      </c>
      <c r="O865" s="9" t="b">
        <f t="shared" si="132"/>
        <v>1</v>
      </c>
      <c r="P865" s="8" t="str">
        <f t="shared" si="133"/>
        <v>FALSE</v>
      </c>
      <c r="Q865" s="8" t="str">
        <f t="shared" si="134"/>
        <v>FALSE</v>
      </c>
      <c r="R865" s="9" t="b">
        <f t="shared" si="135"/>
        <v>0</v>
      </c>
      <c r="S865" s="8" t="b">
        <f t="shared" si="136"/>
        <v>0</v>
      </c>
      <c r="T865" s="10" t="b">
        <f t="shared" si="137"/>
        <v>0</v>
      </c>
      <c r="U865" s="8" t="str">
        <f t="shared" si="138"/>
        <v>TRUE</v>
      </c>
      <c r="V865" s="11" t="str">
        <f t="shared" si="139"/>
        <v>TRUE</v>
      </c>
    </row>
    <row r="866" spans="1:22" ht="15.75">
      <c r="A866" s="21">
        <v>864</v>
      </c>
      <c r="B866" s="5" t="s">
        <v>2511</v>
      </c>
      <c r="C866" s="23" t="s">
        <v>2947</v>
      </c>
      <c r="D866" s="23" t="s">
        <v>17</v>
      </c>
      <c r="E866" s="5" t="s">
        <v>2512</v>
      </c>
      <c r="F866" s="71" t="s">
        <v>6107</v>
      </c>
      <c r="G866" s="22" t="s">
        <v>119</v>
      </c>
      <c r="H866" s="5" t="s">
        <v>120</v>
      </c>
      <c r="I866" s="5" t="s">
        <v>42</v>
      </c>
      <c r="J866" s="5" t="s">
        <v>5379</v>
      </c>
      <c r="K866" s="5" t="s">
        <v>2513</v>
      </c>
      <c r="L866" s="22"/>
      <c r="M866" s="8" t="str">
        <f t="shared" si="130"/>
        <v>Ok</v>
      </c>
      <c r="N866" s="9" t="b">
        <f t="shared" si="131"/>
        <v>0</v>
      </c>
      <c r="O866" s="9" t="b">
        <f t="shared" si="132"/>
        <v>1</v>
      </c>
      <c r="P866" s="8" t="str">
        <f t="shared" si="133"/>
        <v>FALSE</v>
      </c>
      <c r="Q866" s="8" t="str">
        <f t="shared" si="134"/>
        <v>FALSE</v>
      </c>
      <c r="R866" s="9" t="b">
        <f t="shared" si="135"/>
        <v>0</v>
      </c>
      <c r="S866" s="8" t="b">
        <f t="shared" si="136"/>
        <v>1</v>
      </c>
      <c r="T866" s="10" t="b">
        <f t="shared" si="137"/>
        <v>1</v>
      </c>
      <c r="U866" s="8" t="str">
        <f t="shared" si="138"/>
        <v>TRUE</v>
      </c>
      <c r="V866" s="11" t="str">
        <f t="shared" si="139"/>
        <v>FALSE</v>
      </c>
    </row>
    <row r="867" spans="1:22" ht="15.75">
      <c r="A867" s="21">
        <v>865</v>
      </c>
      <c r="B867" s="5" t="s">
        <v>2514</v>
      </c>
      <c r="C867" s="23" t="s">
        <v>3645</v>
      </c>
      <c r="D867" s="23" t="s">
        <v>59</v>
      </c>
      <c r="E867" s="5" t="s">
        <v>2515</v>
      </c>
      <c r="F867" s="71" t="s">
        <v>6107</v>
      </c>
      <c r="G867" s="22" t="s">
        <v>179</v>
      </c>
      <c r="H867" s="5" t="s">
        <v>36</v>
      </c>
      <c r="I867" s="5" t="s">
        <v>26</v>
      </c>
      <c r="J867" s="5" t="s">
        <v>5064</v>
      </c>
      <c r="K867" s="5" t="s">
        <v>2516</v>
      </c>
      <c r="L867" s="22"/>
      <c r="M867" s="8" t="str">
        <f t="shared" si="130"/>
        <v>Ok</v>
      </c>
      <c r="N867" s="9" t="b">
        <f t="shared" si="131"/>
        <v>1</v>
      </c>
      <c r="O867" s="9" t="b">
        <f t="shared" si="132"/>
        <v>1</v>
      </c>
      <c r="P867" s="8" t="str">
        <f t="shared" si="133"/>
        <v>FALSE</v>
      </c>
      <c r="Q867" s="8" t="str">
        <f t="shared" si="134"/>
        <v>FALSE</v>
      </c>
      <c r="R867" s="9" t="b">
        <f t="shared" si="135"/>
        <v>1</v>
      </c>
      <c r="S867" s="8" t="b">
        <f t="shared" si="136"/>
        <v>1</v>
      </c>
      <c r="T867" s="10" t="b">
        <f t="shared" si="137"/>
        <v>0</v>
      </c>
      <c r="U867" s="8" t="str">
        <f t="shared" si="138"/>
        <v>TRUE</v>
      </c>
      <c r="V867" s="11" t="str">
        <f t="shared" si="139"/>
        <v>TRUE</v>
      </c>
    </row>
    <row r="868" spans="1:22" ht="15.75">
      <c r="A868" s="21">
        <v>866</v>
      </c>
      <c r="B868" s="5" t="s">
        <v>2517</v>
      </c>
      <c r="C868" s="23" t="s">
        <v>2935</v>
      </c>
      <c r="D868" s="23" t="s">
        <v>17</v>
      </c>
      <c r="E868" s="5" t="s">
        <v>2518</v>
      </c>
      <c r="F868" s="71" t="s">
        <v>6107</v>
      </c>
      <c r="G868" s="22" t="s">
        <v>85</v>
      </c>
      <c r="H868" s="5" t="s">
        <v>120</v>
      </c>
      <c r="I868" s="5" t="s">
        <v>67</v>
      </c>
      <c r="J868" s="5" t="s">
        <v>4847</v>
      </c>
      <c r="K868" s="5" t="s">
        <v>2519</v>
      </c>
      <c r="L868" s="22"/>
      <c r="M868" s="8" t="str">
        <f t="shared" si="130"/>
        <v>Ok</v>
      </c>
      <c r="N868" s="9" t="b">
        <f t="shared" si="131"/>
        <v>0</v>
      </c>
      <c r="O868" s="9" t="b">
        <f t="shared" si="132"/>
        <v>1</v>
      </c>
      <c r="P868" s="8" t="str">
        <f t="shared" si="133"/>
        <v>FALSE</v>
      </c>
      <c r="Q868" s="8" t="str">
        <f t="shared" si="134"/>
        <v>FALSE</v>
      </c>
      <c r="R868" s="9" t="b">
        <f t="shared" si="135"/>
        <v>1</v>
      </c>
      <c r="S868" s="8" t="b">
        <f t="shared" si="136"/>
        <v>1</v>
      </c>
      <c r="T868" s="10" t="b">
        <f t="shared" si="137"/>
        <v>0</v>
      </c>
      <c r="U868" s="8" t="str">
        <f t="shared" si="138"/>
        <v>TRUE</v>
      </c>
      <c r="V868" s="11" t="str">
        <f t="shared" si="139"/>
        <v>TRUE</v>
      </c>
    </row>
    <row r="869" spans="1:22" ht="15.75">
      <c r="A869" s="21">
        <v>867</v>
      </c>
      <c r="B869" s="5" t="s">
        <v>2520</v>
      </c>
      <c r="C869" s="23" t="s">
        <v>3420</v>
      </c>
      <c r="D869" s="23" t="s">
        <v>17</v>
      </c>
      <c r="E869" s="5" t="s">
        <v>2521</v>
      </c>
      <c r="F869" s="71" t="s">
        <v>6107</v>
      </c>
      <c r="G869" s="22" t="s">
        <v>3933</v>
      </c>
      <c r="H869" s="5" t="s">
        <v>3932</v>
      </c>
      <c r="I869" s="5" t="s">
        <v>50</v>
      </c>
      <c r="J869" s="5" t="s">
        <v>4795</v>
      </c>
      <c r="K869" s="5" t="s">
        <v>2522</v>
      </c>
      <c r="L869" s="22"/>
      <c r="M869" s="8" t="str">
        <f t="shared" si="130"/>
        <v>Ok</v>
      </c>
      <c r="N869" s="9" t="b">
        <f t="shared" si="131"/>
        <v>1</v>
      </c>
      <c r="O869" s="9" t="b">
        <f t="shared" si="132"/>
        <v>1</v>
      </c>
      <c r="P869" s="8" t="str">
        <f t="shared" si="133"/>
        <v>FALSE</v>
      </c>
      <c r="Q869" s="8" t="str">
        <f t="shared" si="134"/>
        <v>FALSE</v>
      </c>
      <c r="R869" s="9" t="b">
        <f t="shared" si="135"/>
        <v>0</v>
      </c>
      <c r="S869" s="8" t="b">
        <f t="shared" si="136"/>
        <v>0</v>
      </c>
      <c r="T869" s="10" t="b">
        <f t="shared" si="137"/>
        <v>0</v>
      </c>
      <c r="U869" s="8" t="str">
        <f t="shared" si="138"/>
        <v>TRUE</v>
      </c>
      <c r="V869" s="11" t="str">
        <f t="shared" si="139"/>
        <v>FALSE</v>
      </c>
    </row>
    <row r="870" spans="1:22" ht="15.75">
      <c r="A870" s="21">
        <v>868</v>
      </c>
      <c r="B870" s="5" t="s">
        <v>2523</v>
      </c>
      <c r="C870" s="23" t="s">
        <v>3421</v>
      </c>
      <c r="D870" s="23" t="s">
        <v>17</v>
      </c>
      <c r="E870" s="5" t="s">
        <v>2524</v>
      </c>
      <c r="F870" s="71" t="s">
        <v>6107</v>
      </c>
      <c r="G870" s="22" t="s">
        <v>3933</v>
      </c>
      <c r="H870" s="5" t="s">
        <v>3932</v>
      </c>
      <c r="I870" s="5" t="s">
        <v>50</v>
      </c>
      <c r="J870" s="5" t="s">
        <v>4975</v>
      </c>
      <c r="K870" s="5" t="s">
        <v>2525</v>
      </c>
      <c r="L870" s="22"/>
      <c r="M870" s="8" t="str">
        <f t="shared" si="130"/>
        <v>Ok</v>
      </c>
      <c r="N870" s="9" t="b">
        <f t="shared" si="131"/>
        <v>1</v>
      </c>
      <c r="O870" s="9" t="b">
        <f t="shared" si="132"/>
        <v>1</v>
      </c>
      <c r="P870" s="8" t="str">
        <f t="shared" si="133"/>
        <v>FALSE</v>
      </c>
      <c r="Q870" s="8" t="str">
        <f t="shared" si="134"/>
        <v>FALSE</v>
      </c>
      <c r="R870" s="9" t="b">
        <f t="shared" si="135"/>
        <v>0</v>
      </c>
      <c r="S870" s="8" t="b">
        <f t="shared" si="136"/>
        <v>0</v>
      </c>
      <c r="T870" s="10" t="b">
        <f t="shared" si="137"/>
        <v>0</v>
      </c>
      <c r="U870" s="8" t="str">
        <f t="shared" si="138"/>
        <v>TRUE</v>
      </c>
      <c r="V870" s="11" t="str">
        <f t="shared" si="139"/>
        <v>TRUE</v>
      </c>
    </row>
    <row r="871" spans="1:22" ht="15.75">
      <c r="A871" s="21">
        <v>869</v>
      </c>
      <c r="B871" s="5" t="s">
        <v>2526</v>
      </c>
      <c r="C871" s="23" t="s">
        <v>3321</v>
      </c>
      <c r="D871" s="23" t="s">
        <v>77</v>
      </c>
      <c r="E871" s="5" t="s">
        <v>2527</v>
      </c>
      <c r="F871" s="71" t="s">
        <v>6107</v>
      </c>
      <c r="G871" s="22" t="s">
        <v>179</v>
      </c>
      <c r="H871" s="5" t="s">
        <v>3932</v>
      </c>
      <c r="I871" s="5" t="s">
        <v>42</v>
      </c>
      <c r="J871" s="5" t="s">
        <v>5270</v>
      </c>
      <c r="K871" s="5" t="s">
        <v>2528</v>
      </c>
      <c r="L871" s="22"/>
      <c r="M871" s="8" t="str">
        <f t="shared" si="130"/>
        <v>Ok</v>
      </c>
      <c r="N871" s="9" t="b">
        <f t="shared" si="131"/>
        <v>1</v>
      </c>
      <c r="O871" s="9" t="b">
        <f t="shared" si="132"/>
        <v>0</v>
      </c>
      <c r="P871" s="8" t="str">
        <f t="shared" si="133"/>
        <v>FALSE</v>
      </c>
      <c r="Q871" s="8" t="str">
        <f t="shared" si="134"/>
        <v>FALSE</v>
      </c>
      <c r="R871" s="9" t="b">
        <f t="shared" si="135"/>
        <v>1</v>
      </c>
      <c r="S871" s="8" t="b">
        <f t="shared" si="136"/>
        <v>0</v>
      </c>
      <c r="T871" s="10" t="b">
        <f t="shared" si="137"/>
        <v>1</v>
      </c>
      <c r="U871" s="8" t="str">
        <f t="shared" si="138"/>
        <v>TRUE</v>
      </c>
      <c r="V871" s="11" t="str">
        <f t="shared" si="139"/>
        <v>TRUE</v>
      </c>
    </row>
    <row r="872" spans="1:22" ht="15.75">
      <c r="A872" s="21">
        <v>870</v>
      </c>
      <c r="B872" s="5" t="s">
        <v>2529</v>
      </c>
      <c r="C872" s="23" t="s">
        <v>3271</v>
      </c>
      <c r="D872" s="23" t="s">
        <v>77</v>
      </c>
      <c r="E872" s="5" t="s">
        <v>2530</v>
      </c>
      <c r="F872" s="71" t="s">
        <v>6107</v>
      </c>
      <c r="G872" s="22" t="s">
        <v>179</v>
      </c>
      <c r="H872" s="5" t="s">
        <v>3932</v>
      </c>
      <c r="I872" s="5" t="s">
        <v>67</v>
      </c>
      <c r="J872" s="5" t="s">
        <v>5440</v>
      </c>
      <c r="K872" s="5" t="s">
        <v>2531</v>
      </c>
      <c r="L872" s="22"/>
      <c r="M872" s="8" t="str">
        <f t="shared" si="130"/>
        <v>Ok</v>
      </c>
      <c r="N872" s="9" t="b">
        <f t="shared" si="131"/>
        <v>1</v>
      </c>
      <c r="O872" s="9" t="b">
        <f t="shared" si="132"/>
        <v>0</v>
      </c>
      <c r="P872" s="8" t="str">
        <f t="shared" si="133"/>
        <v>FALSE</v>
      </c>
      <c r="Q872" s="8" t="str">
        <f t="shared" si="134"/>
        <v>FALSE</v>
      </c>
      <c r="R872" s="9" t="b">
        <f t="shared" si="135"/>
        <v>1</v>
      </c>
      <c r="S872" s="8" t="b">
        <f t="shared" si="136"/>
        <v>0</v>
      </c>
      <c r="T872" s="10" t="b">
        <f t="shared" si="137"/>
        <v>0</v>
      </c>
      <c r="U872" s="8" t="str">
        <f t="shared" si="138"/>
        <v>TRUE</v>
      </c>
      <c r="V872" s="11" t="str">
        <f t="shared" si="139"/>
        <v>FALSE</v>
      </c>
    </row>
    <row r="873" spans="1:22" ht="15.75">
      <c r="A873" s="21">
        <v>871</v>
      </c>
      <c r="B873" s="5" t="s">
        <v>2532</v>
      </c>
      <c r="C873" s="23" t="s">
        <v>2967</v>
      </c>
      <c r="D873" s="23" t="s">
        <v>17</v>
      </c>
      <c r="E873" s="5" t="s">
        <v>2449</v>
      </c>
      <c r="F873" s="71" t="s">
        <v>6107</v>
      </c>
      <c r="G873" s="22" t="s">
        <v>85</v>
      </c>
      <c r="H873" s="5" t="s">
        <v>86</v>
      </c>
      <c r="I873" s="5" t="s">
        <v>26</v>
      </c>
      <c r="J873" s="5" t="s">
        <v>4791</v>
      </c>
      <c r="K873" s="5" t="s">
        <v>2533</v>
      </c>
      <c r="L873" s="22"/>
      <c r="M873" s="8" t="str">
        <f t="shared" si="130"/>
        <v>Ok</v>
      </c>
      <c r="N873" s="9" t="b">
        <f t="shared" si="131"/>
        <v>0</v>
      </c>
      <c r="O873" s="9" t="b">
        <f t="shared" si="132"/>
        <v>1</v>
      </c>
      <c r="P873" s="8" t="str">
        <f t="shared" si="133"/>
        <v>FALSE</v>
      </c>
      <c r="Q873" s="8" t="str">
        <f t="shared" si="134"/>
        <v>FALSE</v>
      </c>
      <c r="R873" s="9" t="b">
        <f t="shared" si="135"/>
        <v>1</v>
      </c>
      <c r="S873" s="8" t="b">
        <f t="shared" si="136"/>
        <v>0</v>
      </c>
      <c r="T873" s="10" t="b">
        <f t="shared" si="137"/>
        <v>0</v>
      </c>
      <c r="U873" s="8" t="str">
        <f t="shared" si="138"/>
        <v>TRUE</v>
      </c>
      <c r="V873" s="11" t="str">
        <f t="shared" si="139"/>
        <v>FALSE</v>
      </c>
    </row>
    <row r="874" spans="1:22" ht="15.75">
      <c r="A874" s="21">
        <v>872</v>
      </c>
      <c r="B874" s="5" t="s">
        <v>2534</v>
      </c>
      <c r="C874" s="23" t="s">
        <v>3180</v>
      </c>
      <c r="D874" s="23" t="s">
        <v>77</v>
      </c>
      <c r="E874" s="5" t="s">
        <v>2535</v>
      </c>
      <c r="F874" s="71" t="s">
        <v>6107</v>
      </c>
      <c r="G874" s="22" t="s">
        <v>179</v>
      </c>
      <c r="H874" s="22" t="s">
        <v>179</v>
      </c>
      <c r="I874" s="5" t="s">
        <v>21</v>
      </c>
      <c r="J874" s="5" t="s">
        <v>4935</v>
      </c>
      <c r="K874" s="5" t="s">
        <v>2536</v>
      </c>
      <c r="L874" s="22"/>
      <c r="M874" s="8" t="str">
        <f t="shared" si="130"/>
        <v>Ok</v>
      </c>
      <c r="N874" s="9" t="b">
        <f t="shared" si="131"/>
        <v>1</v>
      </c>
      <c r="O874" s="9" t="b">
        <f t="shared" si="132"/>
        <v>0</v>
      </c>
      <c r="P874" s="8" t="str">
        <f t="shared" si="133"/>
        <v>FALSE</v>
      </c>
      <c r="Q874" s="8" t="str">
        <f t="shared" si="134"/>
        <v>FALSE</v>
      </c>
      <c r="R874" s="9" t="b">
        <f t="shared" si="135"/>
        <v>1</v>
      </c>
      <c r="S874" s="8" t="b">
        <f t="shared" si="136"/>
        <v>1</v>
      </c>
      <c r="T874" s="10" t="b">
        <f t="shared" si="137"/>
        <v>0</v>
      </c>
      <c r="U874" s="8" t="str">
        <f t="shared" si="138"/>
        <v>TRUE</v>
      </c>
      <c r="V874" s="11" t="str">
        <f t="shared" si="139"/>
        <v>TRUE</v>
      </c>
    </row>
    <row r="875" spans="1:22" ht="15.75">
      <c r="A875" s="21">
        <v>873</v>
      </c>
      <c r="B875" s="5" t="s">
        <v>2537</v>
      </c>
      <c r="C875" s="23" t="s">
        <v>2970</v>
      </c>
      <c r="D875" s="23" t="s">
        <v>17</v>
      </c>
      <c r="E875" s="5" t="s">
        <v>2538</v>
      </c>
      <c r="F875" s="71" t="s">
        <v>6107</v>
      </c>
      <c r="G875" s="22" t="s">
        <v>85</v>
      </c>
      <c r="H875" s="5" t="s">
        <v>86</v>
      </c>
      <c r="I875" s="5" t="s">
        <v>14</v>
      </c>
      <c r="J875" s="5" t="s">
        <v>5668</v>
      </c>
      <c r="K875" s="5">
        <v>802841033</v>
      </c>
      <c r="L875" s="22"/>
      <c r="M875" s="8" t="str">
        <f t="shared" si="130"/>
        <v>Ok</v>
      </c>
      <c r="N875" s="9" t="b">
        <f t="shared" si="131"/>
        <v>0</v>
      </c>
      <c r="O875" s="9" t="b">
        <f t="shared" si="132"/>
        <v>1</v>
      </c>
      <c r="P875" s="8" t="str">
        <f t="shared" si="133"/>
        <v>FALSE</v>
      </c>
      <c r="Q875" s="8" t="str">
        <f t="shared" si="134"/>
        <v>FALSE</v>
      </c>
      <c r="R875" s="9" t="b">
        <f t="shared" si="135"/>
        <v>1</v>
      </c>
      <c r="S875" s="8" t="b">
        <f t="shared" si="136"/>
        <v>0</v>
      </c>
      <c r="T875" s="10" t="b">
        <f t="shared" si="137"/>
        <v>1</v>
      </c>
      <c r="U875" s="8" t="str">
        <f t="shared" si="138"/>
        <v>FALSE</v>
      </c>
      <c r="V875" s="11" t="str">
        <f t="shared" si="139"/>
        <v>FALSE</v>
      </c>
    </row>
    <row r="876" spans="1:22" ht="15.75">
      <c r="A876" s="21">
        <v>874</v>
      </c>
      <c r="B876" s="5" t="s">
        <v>2539</v>
      </c>
      <c r="C876" s="23" t="s">
        <v>3181</v>
      </c>
      <c r="D876" s="23" t="s">
        <v>77</v>
      </c>
      <c r="E876" s="5" t="s">
        <v>2540</v>
      </c>
      <c r="F876" s="71" t="s">
        <v>6107</v>
      </c>
      <c r="G876" s="22" t="s">
        <v>179</v>
      </c>
      <c r="H876" s="22" t="s">
        <v>179</v>
      </c>
      <c r="I876" s="5" t="s">
        <v>21</v>
      </c>
      <c r="J876" s="5" t="s">
        <v>5027</v>
      </c>
      <c r="K876" s="5" t="s">
        <v>2541</v>
      </c>
      <c r="L876" s="22"/>
      <c r="M876" s="8" t="str">
        <f t="shared" si="130"/>
        <v>Ok</v>
      </c>
      <c r="N876" s="9" t="b">
        <f t="shared" si="131"/>
        <v>1</v>
      </c>
      <c r="O876" s="9" t="b">
        <f t="shared" si="132"/>
        <v>0</v>
      </c>
      <c r="P876" s="8" t="str">
        <f t="shared" si="133"/>
        <v>FALSE</v>
      </c>
      <c r="Q876" s="8" t="str">
        <f t="shared" si="134"/>
        <v>FALSE</v>
      </c>
      <c r="R876" s="9" t="b">
        <f t="shared" si="135"/>
        <v>1</v>
      </c>
      <c r="S876" s="8" t="b">
        <f t="shared" si="136"/>
        <v>1</v>
      </c>
      <c r="T876" s="10" t="b">
        <f t="shared" si="137"/>
        <v>0</v>
      </c>
      <c r="U876" s="8" t="str">
        <f t="shared" si="138"/>
        <v>TRUE</v>
      </c>
      <c r="V876" s="11" t="str">
        <f t="shared" si="139"/>
        <v>TRUE</v>
      </c>
    </row>
    <row r="877" spans="1:22" ht="15.75">
      <c r="A877" s="21">
        <v>875</v>
      </c>
      <c r="B877" s="5" t="s">
        <v>2542</v>
      </c>
      <c r="C877" s="23" t="s">
        <v>3105</v>
      </c>
      <c r="D877" s="23" t="s">
        <v>77</v>
      </c>
      <c r="E877" s="5" t="s">
        <v>625</v>
      </c>
      <c r="F877" s="71" t="s">
        <v>6107</v>
      </c>
      <c r="G877" s="22" t="s">
        <v>179</v>
      </c>
      <c r="H877" s="22" t="s">
        <v>179</v>
      </c>
      <c r="I877" s="5" t="s">
        <v>21</v>
      </c>
      <c r="J877" s="5" t="s">
        <v>5111</v>
      </c>
      <c r="K877" s="5" t="s">
        <v>2543</v>
      </c>
      <c r="L877" s="22"/>
      <c r="M877" s="8" t="str">
        <f t="shared" si="130"/>
        <v>Ok</v>
      </c>
      <c r="N877" s="9" t="b">
        <f t="shared" si="131"/>
        <v>0</v>
      </c>
      <c r="O877" s="9" t="b">
        <f t="shared" si="132"/>
        <v>0</v>
      </c>
      <c r="P877" s="8" t="str">
        <f t="shared" si="133"/>
        <v>FALSE</v>
      </c>
      <c r="Q877" s="8" t="str">
        <f t="shared" si="134"/>
        <v>FALSE</v>
      </c>
      <c r="R877" s="9" t="b">
        <f t="shared" si="135"/>
        <v>1</v>
      </c>
      <c r="S877" s="8" t="b">
        <f t="shared" si="136"/>
        <v>1</v>
      </c>
      <c r="T877" s="10" t="b">
        <f t="shared" si="137"/>
        <v>0</v>
      </c>
      <c r="U877" s="8" t="str">
        <f t="shared" si="138"/>
        <v>TRUE</v>
      </c>
      <c r="V877" s="11" t="str">
        <f t="shared" si="139"/>
        <v>TRUE</v>
      </c>
    </row>
    <row r="878" spans="1:22" ht="15.75">
      <c r="A878" s="21">
        <v>876</v>
      </c>
      <c r="B878" s="5" t="s">
        <v>2544</v>
      </c>
      <c r="C878" s="23" t="s">
        <v>3646</v>
      </c>
      <c r="D878" s="23" t="s">
        <v>59</v>
      </c>
      <c r="E878" s="5" t="s">
        <v>2545</v>
      </c>
      <c r="F878" s="71" t="s">
        <v>6107</v>
      </c>
      <c r="G878" s="22" t="s">
        <v>179</v>
      </c>
      <c r="H878" s="5" t="s">
        <v>36</v>
      </c>
      <c r="I878" s="5" t="s">
        <v>50</v>
      </c>
      <c r="J878" s="5" t="s">
        <v>5572</v>
      </c>
      <c r="K878" s="5">
        <v>89756465599</v>
      </c>
      <c r="L878" s="22"/>
      <c r="M878" s="8" t="str">
        <f t="shared" si="130"/>
        <v>Ok</v>
      </c>
      <c r="N878" s="9" t="b">
        <f t="shared" si="131"/>
        <v>1</v>
      </c>
      <c r="O878" s="9" t="b">
        <f t="shared" si="132"/>
        <v>1</v>
      </c>
      <c r="P878" s="8" t="str">
        <f t="shared" si="133"/>
        <v>FALSE</v>
      </c>
      <c r="Q878" s="8" t="str">
        <f t="shared" si="134"/>
        <v>FALSE</v>
      </c>
      <c r="R878" s="9" t="b">
        <f t="shared" si="135"/>
        <v>1</v>
      </c>
      <c r="S878" s="8" t="b">
        <f t="shared" si="136"/>
        <v>1</v>
      </c>
      <c r="T878" s="10" t="b">
        <f t="shared" si="137"/>
        <v>0</v>
      </c>
      <c r="U878" s="8" t="str">
        <f t="shared" si="138"/>
        <v>FALSE</v>
      </c>
      <c r="V878" s="11" t="str">
        <f t="shared" si="139"/>
        <v>FALSE</v>
      </c>
    </row>
    <row r="879" spans="1:22" ht="15.75">
      <c r="A879" s="21">
        <v>877</v>
      </c>
      <c r="B879" s="5" t="s">
        <v>2546</v>
      </c>
      <c r="C879" s="23" t="s">
        <v>3059</v>
      </c>
      <c r="D879" s="23" t="s">
        <v>34</v>
      </c>
      <c r="E879" s="5" t="s">
        <v>2547</v>
      </c>
      <c r="F879" s="71" t="s">
        <v>6107</v>
      </c>
      <c r="G879" s="22" t="s">
        <v>179</v>
      </c>
      <c r="H879" s="5" t="s">
        <v>3932</v>
      </c>
      <c r="I879" s="5" t="s">
        <v>67</v>
      </c>
      <c r="J879" s="5" t="s">
        <v>5456</v>
      </c>
      <c r="K879" s="5" t="s">
        <v>2548</v>
      </c>
      <c r="L879" s="22"/>
      <c r="M879" s="8" t="str">
        <f t="shared" si="130"/>
        <v>Ok</v>
      </c>
      <c r="N879" s="9" t="b">
        <f t="shared" si="131"/>
        <v>0</v>
      </c>
      <c r="O879" s="9" t="b">
        <f t="shared" si="132"/>
        <v>0</v>
      </c>
      <c r="P879" s="8" t="str">
        <f t="shared" si="133"/>
        <v>FALSE</v>
      </c>
      <c r="Q879" s="8" t="str">
        <f t="shared" si="134"/>
        <v>FALSE</v>
      </c>
      <c r="R879" s="9" t="b">
        <f t="shared" si="135"/>
        <v>1</v>
      </c>
      <c r="S879" s="8" t="b">
        <f t="shared" si="136"/>
        <v>0</v>
      </c>
      <c r="T879" s="10" t="b">
        <f t="shared" si="137"/>
        <v>0</v>
      </c>
      <c r="U879" s="8" t="str">
        <f t="shared" si="138"/>
        <v>FALSE</v>
      </c>
      <c r="V879" s="11" t="str">
        <f t="shared" si="139"/>
        <v>TRUE</v>
      </c>
    </row>
    <row r="880" spans="1:22" ht="15.75">
      <c r="A880" s="21">
        <v>878</v>
      </c>
      <c r="B880" s="5" t="s">
        <v>2549</v>
      </c>
      <c r="C880" s="23" t="s">
        <v>3745</v>
      </c>
      <c r="D880" s="23" t="s">
        <v>59</v>
      </c>
      <c r="E880" s="5" t="s">
        <v>2550</v>
      </c>
      <c r="F880" s="71" t="s">
        <v>6107</v>
      </c>
      <c r="G880" s="22" t="s">
        <v>3934</v>
      </c>
      <c r="H880" s="5" t="s">
        <v>13</v>
      </c>
      <c r="I880" s="5" t="s">
        <v>42</v>
      </c>
      <c r="J880" s="5" t="s">
        <v>5284</v>
      </c>
      <c r="K880" s="5" t="s">
        <v>2551</v>
      </c>
      <c r="L880" s="22"/>
      <c r="M880" s="8" t="str">
        <f t="shared" si="130"/>
        <v>Ok</v>
      </c>
      <c r="N880" s="9" t="b">
        <f t="shared" si="131"/>
        <v>0</v>
      </c>
      <c r="O880" s="9" t="b">
        <f t="shared" si="132"/>
        <v>1</v>
      </c>
      <c r="P880" s="8" t="str">
        <f t="shared" si="133"/>
        <v>FALSE</v>
      </c>
      <c r="Q880" s="8" t="str">
        <f t="shared" si="134"/>
        <v>FALSE</v>
      </c>
      <c r="R880" s="9" t="b">
        <f t="shared" si="135"/>
        <v>0</v>
      </c>
      <c r="S880" s="8" t="b">
        <f t="shared" si="136"/>
        <v>0</v>
      </c>
      <c r="T880" s="10" t="b">
        <f t="shared" si="137"/>
        <v>1</v>
      </c>
      <c r="U880" s="8" t="str">
        <f t="shared" si="138"/>
        <v>TRUE</v>
      </c>
      <c r="V880" s="11" t="str">
        <f t="shared" si="139"/>
        <v>TRUE</v>
      </c>
    </row>
    <row r="881" spans="1:22" ht="15.75">
      <c r="A881" s="21">
        <v>879</v>
      </c>
      <c r="B881" s="5" t="s">
        <v>2552</v>
      </c>
      <c r="C881" s="23" t="s">
        <v>2949</v>
      </c>
      <c r="D881" s="23" t="s">
        <v>17</v>
      </c>
      <c r="E881" s="5" t="s">
        <v>2553</v>
      </c>
      <c r="F881" s="71" t="s">
        <v>6107</v>
      </c>
      <c r="G881" s="22" t="s">
        <v>85</v>
      </c>
      <c r="H881" s="5" t="s">
        <v>120</v>
      </c>
      <c r="I881" s="5" t="s">
        <v>21</v>
      </c>
      <c r="J881" s="5" t="s">
        <v>5430</v>
      </c>
      <c r="K881" s="5" t="s">
        <v>2554</v>
      </c>
      <c r="L881" s="22"/>
      <c r="M881" s="8" t="str">
        <f t="shared" si="130"/>
        <v>Ok</v>
      </c>
      <c r="N881" s="9" t="b">
        <f t="shared" si="131"/>
        <v>0</v>
      </c>
      <c r="O881" s="9" t="b">
        <f t="shared" si="132"/>
        <v>1</v>
      </c>
      <c r="P881" s="8" t="str">
        <f t="shared" si="133"/>
        <v>FALSE</v>
      </c>
      <c r="Q881" s="8" t="str">
        <f t="shared" si="134"/>
        <v>FALSE</v>
      </c>
      <c r="R881" s="9" t="b">
        <f t="shared" si="135"/>
        <v>1</v>
      </c>
      <c r="S881" s="8" t="b">
        <f t="shared" si="136"/>
        <v>1</v>
      </c>
      <c r="T881" s="10" t="b">
        <f t="shared" si="137"/>
        <v>0</v>
      </c>
      <c r="U881" s="8" t="str">
        <f t="shared" si="138"/>
        <v>TRUE</v>
      </c>
      <c r="V881" s="11" t="str">
        <f t="shared" si="139"/>
        <v>TRUE</v>
      </c>
    </row>
    <row r="882" spans="1:22" ht="15.75">
      <c r="A882" s="21">
        <v>880</v>
      </c>
      <c r="B882" s="5" t="s">
        <v>2555</v>
      </c>
      <c r="C882" s="23" t="s">
        <v>3422</v>
      </c>
      <c r="D882" s="23" t="s">
        <v>17</v>
      </c>
      <c r="E882" s="5" t="s">
        <v>2556</v>
      </c>
      <c r="F882" s="71" t="s">
        <v>6107</v>
      </c>
      <c r="G882" s="22" t="s">
        <v>216</v>
      </c>
      <c r="H882" s="5" t="s">
        <v>94</v>
      </c>
      <c r="I882" s="5" t="s">
        <v>42</v>
      </c>
      <c r="J882" s="5" t="s">
        <v>5574</v>
      </c>
      <c r="K882" s="5" t="s">
        <v>2557</v>
      </c>
      <c r="L882" s="22"/>
      <c r="M882" s="8" t="str">
        <f t="shared" si="130"/>
        <v>Ok</v>
      </c>
      <c r="N882" s="9" t="b">
        <f t="shared" si="131"/>
        <v>1</v>
      </c>
      <c r="O882" s="9" t="b">
        <f t="shared" si="132"/>
        <v>1</v>
      </c>
      <c r="P882" s="8" t="str">
        <f t="shared" si="133"/>
        <v>FALSE</v>
      </c>
      <c r="Q882" s="8" t="str">
        <f t="shared" si="134"/>
        <v>FALSE</v>
      </c>
      <c r="R882" s="9" t="b">
        <f t="shared" si="135"/>
        <v>0</v>
      </c>
      <c r="S882" s="8" t="b">
        <f t="shared" si="136"/>
        <v>0</v>
      </c>
      <c r="T882" s="10" t="b">
        <f t="shared" si="137"/>
        <v>1</v>
      </c>
      <c r="U882" s="8" t="str">
        <f t="shared" si="138"/>
        <v>FALSE</v>
      </c>
      <c r="V882" s="11" t="str">
        <f t="shared" si="139"/>
        <v>TRUE</v>
      </c>
    </row>
    <row r="883" spans="1:22" ht="15.75">
      <c r="A883" s="21">
        <v>881</v>
      </c>
      <c r="B883" s="5" t="s">
        <v>2558</v>
      </c>
      <c r="C883" s="23" t="s">
        <v>3060</v>
      </c>
      <c r="D883" s="23" t="s">
        <v>34</v>
      </c>
      <c r="E883" s="5" t="s">
        <v>2559</v>
      </c>
      <c r="F883" s="71" t="s">
        <v>6107</v>
      </c>
      <c r="G883" s="22" t="s">
        <v>179</v>
      </c>
      <c r="H883" s="5" t="s">
        <v>3932</v>
      </c>
      <c r="I883" s="5" t="s">
        <v>56</v>
      </c>
      <c r="J883" s="5" t="s">
        <v>5511</v>
      </c>
      <c r="K883" s="5" t="s">
        <v>2560</v>
      </c>
      <c r="L883" s="22"/>
      <c r="M883" s="8" t="str">
        <f t="shared" si="130"/>
        <v>Ok</v>
      </c>
      <c r="N883" s="9" t="b">
        <f t="shared" si="131"/>
        <v>0</v>
      </c>
      <c r="O883" s="9" t="b">
        <f t="shared" si="132"/>
        <v>0</v>
      </c>
      <c r="P883" s="8" t="str">
        <f t="shared" si="133"/>
        <v>FALSE</v>
      </c>
      <c r="Q883" s="8" t="str">
        <f t="shared" si="134"/>
        <v>FALSE</v>
      </c>
      <c r="R883" s="9" t="b">
        <f t="shared" si="135"/>
        <v>1</v>
      </c>
      <c r="S883" s="8" t="b">
        <f t="shared" si="136"/>
        <v>0</v>
      </c>
      <c r="T883" s="10" t="b">
        <f t="shared" si="137"/>
        <v>1</v>
      </c>
      <c r="U883" s="8" t="str">
        <f t="shared" si="138"/>
        <v>FALSE</v>
      </c>
      <c r="V883" s="11" t="str">
        <f t="shared" si="139"/>
        <v>TRUE</v>
      </c>
    </row>
    <row r="884" spans="1:22" ht="15.75">
      <c r="A884" s="21">
        <v>882</v>
      </c>
      <c r="B884" s="5" t="s">
        <v>2561</v>
      </c>
      <c r="C884" s="23" t="s">
        <v>3106</v>
      </c>
      <c r="D884" s="23" t="s">
        <v>77</v>
      </c>
      <c r="E884" s="5" t="s">
        <v>2562</v>
      </c>
      <c r="F884" s="71" t="s">
        <v>6107</v>
      </c>
      <c r="G884" s="22" t="s">
        <v>179</v>
      </c>
      <c r="H884" s="22" t="s">
        <v>3932</v>
      </c>
      <c r="I884" s="5" t="s">
        <v>56</v>
      </c>
      <c r="J884" s="5" t="s">
        <v>5052</v>
      </c>
      <c r="K884" s="5" t="s">
        <v>2563</v>
      </c>
      <c r="L884" s="22"/>
      <c r="M884" s="8" t="str">
        <f t="shared" si="130"/>
        <v>Ok</v>
      </c>
      <c r="N884" s="9" t="b">
        <f t="shared" si="131"/>
        <v>0</v>
      </c>
      <c r="O884" s="9" t="b">
        <f t="shared" si="132"/>
        <v>0</v>
      </c>
      <c r="P884" s="8" t="str">
        <f t="shared" si="133"/>
        <v>FALSE</v>
      </c>
      <c r="Q884" s="8" t="str">
        <f t="shared" si="134"/>
        <v>FALSE</v>
      </c>
      <c r="R884" s="9" t="b">
        <f t="shared" si="135"/>
        <v>1</v>
      </c>
      <c r="S884" s="8" t="b">
        <f t="shared" si="136"/>
        <v>0</v>
      </c>
      <c r="T884" s="10" t="b">
        <f t="shared" si="137"/>
        <v>1</v>
      </c>
      <c r="U884" s="8" t="str">
        <f t="shared" si="138"/>
        <v>TRUE</v>
      </c>
      <c r="V884" s="11" t="str">
        <f t="shared" si="139"/>
        <v>TRUE</v>
      </c>
    </row>
    <row r="885" spans="1:22" ht="15.75">
      <c r="A885" s="21">
        <v>883</v>
      </c>
      <c r="B885" s="5" t="s">
        <v>2564</v>
      </c>
      <c r="C885" s="23" t="s">
        <v>3647</v>
      </c>
      <c r="D885" s="23" t="s">
        <v>59</v>
      </c>
      <c r="E885" s="5" t="s">
        <v>2565</v>
      </c>
      <c r="F885" s="71" t="s">
        <v>6107</v>
      </c>
      <c r="G885" s="22" t="s">
        <v>179</v>
      </c>
      <c r="H885" s="5" t="s">
        <v>13</v>
      </c>
      <c r="I885" s="5" t="s">
        <v>14</v>
      </c>
      <c r="J885" s="5" t="s">
        <v>4898</v>
      </c>
      <c r="K885" s="5" t="s">
        <v>2566</v>
      </c>
      <c r="L885" s="22"/>
      <c r="M885" s="8" t="str">
        <f t="shared" si="130"/>
        <v>Ok</v>
      </c>
      <c r="N885" s="9" t="b">
        <f t="shared" si="131"/>
        <v>1</v>
      </c>
      <c r="O885" s="9" t="b">
        <f t="shared" si="132"/>
        <v>1</v>
      </c>
      <c r="P885" s="8" t="str">
        <f t="shared" si="133"/>
        <v>FALSE</v>
      </c>
      <c r="Q885" s="8" t="str">
        <f t="shared" si="134"/>
        <v>FALSE</v>
      </c>
      <c r="R885" s="9" t="b">
        <f t="shared" si="135"/>
        <v>1</v>
      </c>
      <c r="S885" s="8" t="b">
        <f t="shared" si="136"/>
        <v>0</v>
      </c>
      <c r="T885" s="10" t="b">
        <f t="shared" si="137"/>
        <v>1</v>
      </c>
      <c r="U885" s="8" t="str">
        <f t="shared" si="138"/>
        <v>TRUE</v>
      </c>
      <c r="V885" s="11" t="str">
        <f t="shared" si="139"/>
        <v>TRUE</v>
      </c>
    </row>
    <row r="886" spans="1:22" ht="15.75">
      <c r="A886" s="21">
        <v>884</v>
      </c>
      <c r="B886" s="5" t="s">
        <v>3964</v>
      </c>
      <c r="C886" s="23" t="s">
        <v>3182</v>
      </c>
      <c r="D886" s="23" t="s">
        <v>77</v>
      </c>
      <c r="E886" s="5" t="s">
        <v>2567</v>
      </c>
      <c r="F886" s="71" t="s">
        <v>6107</v>
      </c>
      <c r="G886" s="22" t="s">
        <v>179</v>
      </c>
      <c r="H886" s="22" t="s">
        <v>179</v>
      </c>
      <c r="I886" s="5" t="s">
        <v>21</v>
      </c>
      <c r="J886" s="5" t="s">
        <v>5443</v>
      </c>
      <c r="K886" s="5" t="s">
        <v>2568</v>
      </c>
      <c r="L886" s="22"/>
      <c r="M886" s="8" t="str">
        <f t="shared" si="130"/>
        <v>Ok</v>
      </c>
      <c r="N886" s="9" t="b">
        <f t="shared" si="131"/>
        <v>1</v>
      </c>
      <c r="O886" s="9" t="b">
        <f t="shared" si="132"/>
        <v>0</v>
      </c>
      <c r="P886" s="8" t="str">
        <f t="shared" si="133"/>
        <v>FALSE</v>
      </c>
      <c r="Q886" s="8" t="str">
        <f t="shared" si="134"/>
        <v>FALSE</v>
      </c>
      <c r="R886" s="9" t="b">
        <f t="shared" si="135"/>
        <v>1</v>
      </c>
      <c r="S886" s="8" t="b">
        <f t="shared" si="136"/>
        <v>1</v>
      </c>
      <c r="T886" s="10" t="b">
        <f t="shared" si="137"/>
        <v>0</v>
      </c>
      <c r="U886" s="8" t="str">
        <f t="shared" si="138"/>
        <v>TRUE</v>
      </c>
      <c r="V886" s="11" t="str">
        <f t="shared" si="139"/>
        <v>TRUE</v>
      </c>
    </row>
    <row r="887" spans="1:22" ht="15.75">
      <c r="A887" s="21">
        <v>885</v>
      </c>
      <c r="B887" s="5" t="s">
        <v>2569</v>
      </c>
      <c r="C887" s="23" t="s">
        <v>3746</v>
      </c>
      <c r="D887" s="23" t="s">
        <v>59</v>
      </c>
      <c r="E887" s="5" t="s">
        <v>2570</v>
      </c>
      <c r="F887" s="71" t="s">
        <v>6107</v>
      </c>
      <c r="G887" s="22" t="s">
        <v>3934</v>
      </c>
      <c r="H887" s="5" t="s">
        <v>13</v>
      </c>
      <c r="I887" s="5" t="s">
        <v>42</v>
      </c>
      <c r="J887" s="5" t="s">
        <v>5556</v>
      </c>
      <c r="K887" s="5" t="s">
        <v>2571</v>
      </c>
      <c r="L887" s="22"/>
      <c r="M887" s="8" t="str">
        <f t="shared" si="130"/>
        <v>Ok</v>
      </c>
      <c r="N887" s="9" t="b">
        <f t="shared" si="131"/>
        <v>0</v>
      </c>
      <c r="O887" s="9" t="b">
        <f t="shared" si="132"/>
        <v>1</v>
      </c>
      <c r="P887" s="8" t="str">
        <f t="shared" si="133"/>
        <v>FALSE</v>
      </c>
      <c r="Q887" s="8" t="str">
        <f t="shared" si="134"/>
        <v>FALSE</v>
      </c>
      <c r="R887" s="9" t="b">
        <f t="shared" si="135"/>
        <v>0</v>
      </c>
      <c r="S887" s="8" t="b">
        <f t="shared" si="136"/>
        <v>0</v>
      </c>
      <c r="T887" s="10" t="b">
        <f t="shared" si="137"/>
        <v>1</v>
      </c>
      <c r="U887" s="8" t="str">
        <f t="shared" si="138"/>
        <v>FALSE</v>
      </c>
      <c r="V887" s="11" t="str">
        <f t="shared" si="139"/>
        <v>TRUE</v>
      </c>
    </row>
    <row r="888" spans="1:22" ht="15.75">
      <c r="A888" s="21">
        <v>886</v>
      </c>
      <c r="B888" s="5" t="s">
        <v>2572</v>
      </c>
      <c r="C888" s="23" t="s">
        <v>3747</v>
      </c>
      <c r="D888" s="23" t="s">
        <v>59</v>
      </c>
      <c r="E888" s="5" t="s">
        <v>2573</v>
      </c>
      <c r="F888" s="71" t="s">
        <v>6107</v>
      </c>
      <c r="G888" s="22" t="s">
        <v>3934</v>
      </c>
      <c r="H888" s="5" t="s">
        <v>13</v>
      </c>
      <c r="I888" s="5" t="s">
        <v>26</v>
      </c>
      <c r="J888" s="5" t="s">
        <v>5333</v>
      </c>
      <c r="K888" s="5" t="s">
        <v>2574</v>
      </c>
      <c r="L888" s="22"/>
      <c r="M888" s="8" t="str">
        <f t="shared" si="130"/>
        <v>Ok</v>
      </c>
      <c r="N888" s="9" t="b">
        <f t="shared" si="131"/>
        <v>0</v>
      </c>
      <c r="O888" s="9" t="b">
        <f t="shared" si="132"/>
        <v>1</v>
      </c>
      <c r="P888" s="8" t="str">
        <f t="shared" si="133"/>
        <v>FALSE</v>
      </c>
      <c r="Q888" s="8" t="str">
        <f t="shared" si="134"/>
        <v>FALSE</v>
      </c>
      <c r="R888" s="9" t="b">
        <f t="shared" si="135"/>
        <v>0</v>
      </c>
      <c r="S888" s="8" t="b">
        <f t="shared" si="136"/>
        <v>0</v>
      </c>
      <c r="T888" s="10" t="b">
        <f t="shared" si="137"/>
        <v>0</v>
      </c>
      <c r="U888" s="8" t="str">
        <f t="shared" si="138"/>
        <v>TRUE</v>
      </c>
      <c r="V888" s="11" t="str">
        <f t="shared" si="139"/>
        <v>TRUE</v>
      </c>
    </row>
    <row r="889" spans="1:22" ht="15.75">
      <c r="A889" s="21">
        <v>887</v>
      </c>
      <c r="B889" s="5" t="s">
        <v>2575</v>
      </c>
      <c r="C889" s="23" t="s">
        <v>3530</v>
      </c>
      <c r="D889" s="23" t="s">
        <v>77</v>
      </c>
      <c r="E889" s="5" t="s">
        <v>2576</v>
      </c>
      <c r="F889" s="71" t="s">
        <v>6107</v>
      </c>
      <c r="G889" s="22" t="s">
        <v>160</v>
      </c>
      <c r="H889" s="5" t="s">
        <v>3932</v>
      </c>
      <c r="I889" s="5" t="s">
        <v>14</v>
      </c>
      <c r="J889" s="5" t="s">
        <v>5291</v>
      </c>
      <c r="K889" s="5" t="s">
        <v>2577</v>
      </c>
      <c r="L889" s="22"/>
      <c r="M889" s="8" t="str">
        <f t="shared" si="130"/>
        <v>Ok</v>
      </c>
      <c r="N889" s="9" t="b">
        <f t="shared" si="131"/>
        <v>1</v>
      </c>
      <c r="O889" s="9" t="b">
        <f t="shared" si="132"/>
        <v>0</v>
      </c>
      <c r="P889" s="8" t="str">
        <f t="shared" si="133"/>
        <v>FALSE</v>
      </c>
      <c r="Q889" s="8" t="str">
        <f t="shared" si="134"/>
        <v>FALSE</v>
      </c>
      <c r="R889" s="9" t="b">
        <f t="shared" si="135"/>
        <v>0</v>
      </c>
      <c r="S889" s="8" t="b">
        <f t="shared" si="136"/>
        <v>0</v>
      </c>
      <c r="T889" s="10" t="b">
        <f t="shared" si="137"/>
        <v>1</v>
      </c>
      <c r="U889" s="8" t="str">
        <f t="shared" si="138"/>
        <v>TRUE</v>
      </c>
      <c r="V889" s="11" t="str">
        <f t="shared" si="139"/>
        <v>TRUE</v>
      </c>
    </row>
    <row r="890" spans="1:22" ht="15.75">
      <c r="A890" s="21">
        <v>888</v>
      </c>
      <c r="B890" s="5" t="s">
        <v>2578</v>
      </c>
      <c r="C890" s="23" t="s">
        <v>3855</v>
      </c>
      <c r="D890" s="23" t="s">
        <v>59</v>
      </c>
      <c r="E890" s="5" t="s">
        <v>2579</v>
      </c>
      <c r="F890" s="71" t="s">
        <v>6107</v>
      </c>
      <c r="G890" s="22" t="s">
        <v>144</v>
      </c>
      <c r="H890" s="5" t="s">
        <v>46</v>
      </c>
      <c r="I890" s="5" t="s">
        <v>50</v>
      </c>
      <c r="J890" s="5" t="s">
        <v>5328</v>
      </c>
      <c r="K890" s="5" t="s">
        <v>2580</v>
      </c>
      <c r="L890" s="22"/>
      <c r="M890" s="8" t="str">
        <f t="shared" si="130"/>
        <v>Ok</v>
      </c>
      <c r="N890" s="9" t="b">
        <f t="shared" si="131"/>
        <v>0</v>
      </c>
      <c r="O890" s="9" t="b">
        <f t="shared" si="132"/>
        <v>1</v>
      </c>
      <c r="P890" s="8" t="str">
        <f t="shared" si="133"/>
        <v>FALSE</v>
      </c>
      <c r="Q890" s="8" t="str">
        <f t="shared" si="134"/>
        <v>FALSE</v>
      </c>
      <c r="R890" s="9" t="b">
        <f t="shared" si="135"/>
        <v>1</v>
      </c>
      <c r="S890" s="8" t="b">
        <f t="shared" si="136"/>
        <v>0</v>
      </c>
      <c r="T890" s="10" t="b">
        <f t="shared" si="137"/>
        <v>0</v>
      </c>
      <c r="U890" s="8" t="str">
        <f t="shared" si="138"/>
        <v>TRUE</v>
      </c>
      <c r="V890" s="11" t="str">
        <f t="shared" si="139"/>
        <v>TRUE</v>
      </c>
    </row>
    <row r="891" spans="1:22" ht="15.75">
      <c r="A891" s="21">
        <v>889</v>
      </c>
      <c r="B891" s="5" t="s">
        <v>2581</v>
      </c>
      <c r="C891" s="23" t="s">
        <v>2950</v>
      </c>
      <c r="D891" s="23" t="s">
        <v>17</v>
      </c>
      <c r="E891" s="5" t="s">
        <v>2582</v>
      </c>
      <c r="F891" s="71" t="s">
        <v>6107</v>
      </c>
      <c r="G891" s="22" t="s">
        <v>85</v>
      </c>
      <c r="H891" s="5" t="s">
        <v>120</v>
      </c>
      <c r="I891" s="5" t="s">
        <v>42</v>
      </c>
      <c r="J891" s="5" t="s">
        <v>5445</v>
      </c>
      <c r="K891" s="5" t="s">
        <v>2583</v>
      </c>
      <c r="L891" s="22"/>
      <c r="M891" s="8" t="str">
        <f t="shared" si="130"/>
        <v>Ok</v>
      </c>
      <c r="N891" s="9" t="b">
        <f t="shared" si="131"/>
        <v>0</v>
      </c>
      <c r="O891" s="9" t="b">
        <f t="shared" si="132"/>
        <v>1</v>
      </c>
      <c r="P891" s="8" t="str">
        <f t="shared" si="133"/>
        <v>FALSE</v>
      </c>
      <c r="Q891" s="8" t="str">
        <f t="shared" si="134"/>
        <v>FALSE</v>
      </c>
      <c r="R891" s="9" t="b">
        <f t="shared" si="135"/>
        <v>1</v>
      </c>
      <c r="S891" s="8" t="b">
        <f t="shared" si="136"/>
        <v>1</v>
      </c>
      <c r="T891" s="10" t="b">
        <f t="shared" si="137"/>
        <v>1</v>
      </c>
      <c r="U891" s="8" t="str">
        <f t="shared" si="138"/>
        <v>TRUE</v>
      </c>
      <c r="V891" s="11" t="str">
        <f t="shared" si="139"/>
        <v>FALSE</v>
      </c>
    </row>
    <row r="892" spans="1:22" ht="15.75">
      <c r="A892" s="21">
        <v>890</v>
      </c>
      <c r="B892" s="5" t="s">
        <v>2584</v>
      </c>
      <c r="C892" s="23" t="s">
        <v>3061</v>
      </c>
      <c r="D892" s="23" t="s">
        <v>34</v>
      </c>
      <c r="E892" s="5" t="s">
        <v>2585</v>
      </c>
      <c r="F892" s="71" t="s">
        <v>6107</v>
      </c>
      <c r="G892" s="22" t="s">
        <v>74</v>
      </c>
      <c r="H892" s="5" t="s">
        <v>71</v>
      </c>
      <c r="I892" s="5" t="s">
        <v>50</v>
      </c>
      <c r="J892" s="5" t="s">
        <v>5698</v>
      </c>
      <c r="K892" s="5" t="s">
        <v>2586</v>
      </c>
      <c r="L892" s="22"/>
      <c r="M892" s="8" t="str">
        <f t="shared" si="130"/>
        <v>Ok</v>
      </c>
      <c r="N892" s="9" t="b">
        <f t="shared" si="131"/>
        <v>0</v>
      </c>
      <c r="O892" s="9" t="b">
        <f t="shared" si="132"/>
        <v>0</v>
      </c>
      <c r="P892" s="8" t="str">
        <f t="shared" si="133"/>
        <v>FALSE</v>
      </c>
      <c r="Q892" s="8" t="str">
        <f t="shared" si="134"/>
        <v>FALSE</v>
      </c>
      <c r="R892" s="9" t="b">
        <f t="shared" si="135"/>
        <v>0</v>
      </c>
      <c r="S892" s="8" t="b">
        <f t="shared" si="136"/>
        <v>1</v>
      </c>
      <c r="T892" s="10" t="b">
        <f t="shared" si="137"/>
        <v>0</v>
      </c>
      <c r="U892" s="8" t="str">
        <f t="shared" si="138"/>
        <v>FALSE</v>
      </c>
      <c r="V892" s="11" t="str">
        <f t="shared" si="139"/>
        <v>TRUE</v>
      </c>
    </row>
    <row r="893" spans="1:22" ht="15.75">
      <c r="A893" s="21">
        <v>891</v>
      </c>
      <c r="B893" s="5" t="s">
        <v>2587</v>
      </c>
      <c r="C893" s="23" t="s">
        <v>3531</v>
      </c>
      <c r="D893" s="23" t="s">
        <v>77</v>
      </c>
      <c r="E893" s="5" t="s">
        <v>2588</v>
      </c>
      <c r="F893" s="71" t="s">
        <v>6107</v>
      </c>
      <c r="G893" s="22" t="s">
        <v>160</v>
      </c>
      <c r="H893" s="5" t="s">
        <v>3932</v>
      </c>
      <c r="I893" s="5" t="s">
        <v>56</v>
      </c>
      <c r="J893" s="5" t="s">
        <v>5040</v>
      </c>
      <c r="K893" s="5" t="s">
        <v>2589</v>
      </c>
      <c r="L893" s="22"/>
      <c r="M893" s="8" t="str">
        <f t="shared" si="130"/>
        <v>Ok</v>
      </c>
      <c r="N893" s="9" t="b">
        <f t="shared" si="131"/>
        <v>1</v>
      </c>
      <c r="O893" s="9" t="b">
        <f t="shared" si="132"/>
        <v>0</v>
      </c>
      <c r="P893" s="8" t="str">
        <f t="shared" si="133"/>
        <v>FALSE</v>
      </c>
      <c r="Q893" s="8" t="str">
        <f t="shared" si="134"/>
        <v>FALSE</v>
      </c>
      <c r="R893" s="9" t="b">
        <f t="shared" si="135"/>
        <v>0</v>
      </c>
      <c r="S893" s="8" t="b">
        <f t="shared" si="136"/>
        <v>0</v>
      </c>
      <c r="T893" s="10" t="b">
        <f t="shared" si="137"/>
        <v>1</v>
      </c>
      <c r="U893" s="8" t="str">
        <f t="shared" si="138"/>
        <v>TRUE</v>
      </c>
      <c r="V893" s="11" t="str">
        <f t="shared" si="139"/>
        <v>TRUE</v>
      </c>
    </row>
    <row r="894" spans="1:22" ht="15.75">
      <c r="A894" s="21">
        <v>892</v>
      </c>
      <c r="B894" s="5" t="s">
        <v>2590</v>
      </c>
      <c r="C894" s="23" t="s">
        <v>3272</v>
      </c>
      <c r="D894" s="23" t="s">
        <v>77</v>
      </c>
      <c r="E894" s="5" t="s">
        <v>1218</v>
      </c>
      <c r="F894" s="71" t="s">
        <v>6107</v>
      </c>
      <c r="G894" s="22" t="s">
        <v>179</v>
      </c>
      <c r="H894" s="5" t="s">
        <v>3932</v>
      </c>
      <c r="I894" s="5" t="s">
        <v>42</v>
      </c>
      <c r="J894" s="5" t="s">
        <v>5741</v>
      </c>
      <c r="K894" s="5" t="s">
        <v>2591</v>
      </c>
      <c r="L894" s="22"/>
      <c r="M894" s="8" t="str">
        <f t="shared" si="130"/>
        <v>Ok</v>
      </c>
      <c r="N894" s="9" t="b">
        <f t="shared" si="131"/>
        <v>1</v>
      </c>
      <c r="O894" s="9" t="b">
        <f t="shared" si="132"/>
        <v>0</v>
      </c>
      <c r="P894" s="8" t="str">
        <f t="shared" si="133"/>
        <v>FALSE</v>
      </c>
      <c r="Q894" s="8" t="str">
        <f t="shared" si="134"/>
        <v>FALSE</v>
      </c>
      <c r="R894" s="9" t="b">
        <f t="shared" si="135"/>
        <v>1</v>
      </c>
      <c r="S894" s="8" t="b">
        <f t="shared" si="136"/>
        <v>0</v>
      </c>
      <c r="T894" s="10" t="b">
        <f t="shared" si="137"/>
        <v>1</v>
      </c>
      <c r="U894" s="8" t="str">
        <f t="shared" si="138"/>
        <v>FALSE</v>
      </c>
      <c r="V894" s="11" t="str">
        <f t="shared" si="139"/>
        <v>TRUE</v>
      </c>
    </row>
    <row r="895" spans="1:22" ht="15.75">
      <c r="A895" s="21">
        <v>893</v>
      </c>
      <c r="B895" s="5" t="s">
        <v>2592</v>
      </c>
      <c r="C895" s="23" t="s">
        <v>3856</v>
      </c>
      <c r="D895" s="23" t="s">
        <v>59</v>
      </c>
      <c r="E895" s="5" t="s">
        <v>2593</v>
      </c>
      <c r="F895" s="71" t="s">
        <v>6107</v>
      </c>
      <c r="G895" s="22" t="s">
        <v>144</v>
      </c>
      <c r="H895" s="5" t="s">
        <v>25</v>
      </c>
      <c r="I895" s="5" t="s">
        <v>42</v>
      </c>
      <c r="J895" s="5" t="s">
        <v>4817</v>
      </c>
      <c r="K895" s="5" t="s">
        <v>2594</v>
      </c>
      <c r="L895" s="22"/>
      <c r="M895" s="8" t="str">
        <f t="shared" si="130"/>
        <v>Ok</v>
      </c>
      <c r="N895" s="9" t="b">
        <f t="shared" si="131"/>
        <v>0</v>
      </c>
      <c r="O895" s="9" t="b">
        <f t="shared" si="132"/>
        <v>1</v>
      </c>
      <c r="P895" s="8" t="str">
        <f t="shared" si="133"/>
        <v>FALSE</v>
      </c>
      <c r="Q895" s="8" t="str">
        <f t="shared" si="134"/>
        <v>FALSE</v>
      </c>
      <c r="R895" s="9" t="b">
        <f t="shared" si="135"/>
        <v>1</v>
      </c>
      <c r="S895" s="8" t="b">
        <f t="shared" si="136"/>
        <v>0</v>
      </c>
      <c r="T895" s="10" t="b">
        <f t="shared" si="137"/>
        <v>1</v>
      </c>
      <c r="U895" s="8" t="str">
        <f t="shared" si="138"/>
        <v>TRUE</v>
      </c>
      <c r="V895" s="11" t="str">
        <f t="shared" si="139"/>
        <v>TRUE</v>
      </c>
    </row>
    <row r="896" spans="1:22" ht="15.75">
      <c r="A896" s="21">
        <v>894</v>
      </c>
      <c r="B896" s="5" t="s">
        <v>2595</v>
      </c>
      <c r="C896" s="23" t="s">
        <v>3423</v>
      </c>
      <c r="D896" s="23" t="s">
        <v>17</v>
      </c>
      <c r="E896" s="5" t="s">
        <v>2596</v>
      </c>
      <c r="F896" s="71" t="s">
        <v>6107</v>
      </c>
      <c r="G896" s="22" t="s">
        <v>3933</v>
      </c>
      <c r="H896" s="5" t="s">
        <v>3932</v>
      </c>
      <c r="I896" s="5" t="s">
        <v>56</v>
      </c>
      <c r="J896" s="5" t="s">
        <v>4966</v>
      </c>
      <c r="K896" s="5" t="s">
        <v>2597</v>
      </c>
      <c r="L896" s="22"/>
      <c r="M896" s="8" t="str">
        <f t="shared" si="130"/>
        <v>Ok</v>
      </c>
      <c r="N896" s="9" t="b">
        <f t="shared" si="131"/>
        <v>1</v>
      </c>
      <c r="O896" s="9" t="b">
        <f t="shared" si="132"/>
        <v>1</v>
      </c>
      <c r="P896" s="8" t="str">
        <f t="shared" si="133"/>
        <v>FALSE</v>
      </c>
      <c r="Q896" s="8" t="str">
        <f t="shared" si="134"/>
        <v>FALSE</v>
      </c>
      <c r="R896" s="9" t="b">
        <f t="shared" si="135"/>
        <v>0</v>
      </c>
      <c r="S896" s="8" t="b">
        <f t="shared" si="136"/>
        <v>0</v>
      </c>
      <c r="T896" s="10" t="b">
        <f t="shared" si="137"/>
        <v>1</v>
      </c>
      <c r="U896" s="8" t="str">
        <f t="shared" si="138"/>
        <v>TRUE</v>
      </c>
      <c r="V896" s="11" t="str">
        <f t="shared" si="139"/>
        <v>TRUE</v>
      </c>
    </row>
    <row r="897" spans="1:22" ht="15.75">
      <c r="A897" s="21">
        <v>895</v>
      </c>
      <c r="B897" s="5" t="s">
        <v>2598</v>
      </c>
      <c r="C897" s="23" t="s">
        <v>3809</v>
      </c>
      <c r="D897" s="23" t="s">
        <v>59</v>
      </c>
      <c r="E897" s="5" t="s">
        <v>2599</v>
      </c>
      <c r="F897" s="71" t="s">
        <v>6107</v>
      </c>
      <c r="G897" s="22" t="s">
        <v>24</v>
      </c>
      <c r="H897" s="5" t="s">
        <v>25</v>
      </c>
      <c r="I897" s="5" t="s">
        <v>21</v>
      </c>
      <c r="J897" s="5" t="s">
        <v>5360</v>
      </c>
      <c r="K897" s="5" t="s">
        <v>2600</v>
      </c>
      <c r="L897" s="22"/>
      <c r="M897" s="8" t="str">
        <f t="shared" si="130"/>
        <v>Ok</v>
      </c>
      <c r="N897" s="9" t="b">
        <f t="shared" si="131"/>
        <v>0</v>
      </c>
      <c r="O897" s="9" t="b">
        <f t="shared" si="132"/>
        <v>1</v>
      </c>
      <c r="P897" s="8" t="str">
        <f t="shared" si="133"/>
        <v>FALSE</v>
      </c>
      <c r="Q897" s="8" t="str">
        <f t="shared" si="134"/>
        <v>FALSE</v>
      </c>
      <c r="R897" s="9" t="b">
        <f t="shared" si="135"/>
        <v>0</v>
      </c>
      <c r="S897" s="8" t="b">
        <f t="shared" si="136"/>
        <v>0</v>
      </c>
      <c r="T897" s="10" t="b">
        <f t="shared" si="137"/>
        <v>0</v>
      </c>
      <c r="U897" s="8" t="str">
        <f t="shared" si="138"/>
        <v>TRUE</v>
      </c>
      <c r="V897" s="11" t="str">
        <f t="shared" si="139"/>
        <v>TRUE</v>
      </c>
    </row>
    <row r="898" spans="1:22" ht="15.75">
      <c r="A898" s="21">
        <v>896</v>
      </c>
      <c r="B898" s="5" t="s">
        <v>2601</v>
      </c>
      <c r="C898" s="23" t="s">
        <v>3322</v>
      </c>
      <c r="D898" s="23" t="s">
        <v>77</v>
      </c>
      <c r="E898" s="5" t="s">
        <v>2602</v>
      </c>
      <c r="F898" s="71" t="s">
        <v>6107</v>
      </c>
      <c r="G898" s="22" t="s">
        <v>179</v>
      </c>
      <c r="H898" s="5" t="s">
        <v>3932</v>
      </c>
      <c r="I898" s="5" t="s">
        <v>42</v>
      </c>
      <c r="J898" s="5" t="s">
        <v>5089</v>
      </c>
      <c r="K898" s="5" t="s">
        <v>2603</v>
      </c>
      <c r="L898" s="22"/>
      <c r="M898" s="8" t="str">
        <f t="shared" si="130"/>
        <v>Ok</v>
      </c>
      <c r="N898" s="9" t="b">
        <f t="shared" si="131"/>
        <v>1</v>
      </c>
      <c r="O898" s="9" t="b">
        <f t="shared" si="132"/>
        <v>0</v>
      </c>
      <c r="P898" s="8" t="str">
        <f t="shared" si="133"/>
        <v>FALSE</v>
      </c>
      <c r="Q898" s="8" t="str">
        <f t="shared" si="134"/>
        <v>FALSE</v>
      </c>
      <c r="R898" s="9" t="b">
        <f t="shared" si="135"/>
        <v>1</v>
      </c>
      <c r="S898" s="8" t="b">
        <f t="shared" si="136"/>
        <v>0</v>
      </c>
      <c r="T898" s="10" t="b">
        <f t="shared" si="137"/>
        <v>1</v>
      </c>
      <c r="U898" s="8" t="str">
        <f t="shared" si="138"/>
        <v>TRUE</v>
      </c>
      <c r="V898" s="11" t="str">
        <f t="shared" si="139"/>
        <v>TRUE</v>
      </c>
    </row>
    <row r="899" spans="1:22" ht="15.75">
      <c r="A899" s="21">
        <v>897</v>
      </c>
      <c r="B899" s="5" t="s">
        <v>2604</v>
      </c>
      <c r="C899" s="23" t="s">
        <v>3062</v>
      </c>
      <c r="D899" s="23" t="s">
        <v>34</v>
      </c>
      <c r="E899" s="5" t="s">
        <v>2605</v>
      </c>
      <c r="F899" s="71" t="s">
        <v>6107</v>
      </c>
      <c r="G899" s="22" t="s">
        <v>74</v>
      </c>
      <c r="H899" s="5" t="s">
        <v>41</v>
      </c>
      <c r="I899" s="5" t="s">
        <v>50</v>
      </c>
      <c r="J899" s="5" t="s">
        <v>4920</v>
      </c>
      <c r="K899" s="5" t="s">
        <v>2606</v>
      </c>
      <c r="L899" s="22"/>
      <c r="M899" s="8" t="str">
        <f t="shared" ref="M899:M962" si="140">IF(COUNTIF($B$3:$B$1002,B899)&gt;1,"Duplicate","Ok")</f>
        <v>Ok</v>
      </c>
      <c r="N899" s="9" t="b">
        <f t="shared" ref="N899:N962" si="141">EXACT(C899,PROPER(C899))</f>
        <v>0</v>
      </c>
      <c r="O899" s="9" t="b">
        <f t="shared" ref="O899:O962" si="142">EXACT(D899,PROPER(D899))</f>
        <v>0</v>
      </c>
      <c r="P899" s="8" t="str">
        <f t="shared" ref="P899:P962" si="143">IF(ISNUMBER(E899),"TRUE","FALSE")</f>
        <v>FALSE</v>
      </c>
      <c r="Q899" s="8" t="str">
        <f t="shared" ref="Q899:Q962" si="144">IF(ISNUMBER(F899),"TRUE","FALSE")</f>
        <v>FALSE</v>
      </c>
      <c r="R899" s="9" t="b">
        <f t="shared" ref="R899:R962" si="145">EXACT(G899,PROPER(G899))</f>
        <v>0</v>
      </c>
      <c r="S899" s="8" t="b">
        <f t="shared" ref="S899:S962" si="146">EXACT(H899,PROPER(H899))</f>
        <v>0</v>
      </c>
      <c r="T899" s="10" t="b">
        <f t="shared" ref="T899:T962" si="147">EXACT(I899,PROPER(I899))</f>
        <v>0</v>
      </c>
      <c r="U899" s="8" t="str">
        <f t="shared" ref="U899:U962" si="148">IF(RIGHT(J899,10)="@email.com","TRUE","FALSE")</f>
        <v>TRUE</v>
      </c>
      <c r="V899" s="11" t="str">
        <f t="shared" ref="V899:V962" si="149">IF(LEFT(K899,2)="08","TRUE","FALSE")</f>
        <v>TRUE</v>
      </c>
    </row>
    <row r="900" spans="1:22" ht="15.75">
      <c r="A900" s="21">
        <v>898</v>
      </c>
      <c r="B900" s="5" t="s">
        <v>2607</v>
      </c>
      <c r="C900" s="23" t="s">
        <v>3183</v>
      </c>
      <c r="D900" s="23" t="s">
        <v>77</v>
      </c>
      <c r="E900" s="5" t="s">
        <v>2608</v>
      </c>
      <c r="F900" s="71" t="s">
        <v>6107</v>
      </c>
      <c r="G900" s="22" t="s">
        <v>66</v>
      </c>
      <c r="H900" s="5" t="s">
        <v>20</v>
      </c>
      <c r="I900" s="5" t="s">
        <v>50</v>
      </c>
      <c r="J900" s="5" t="s">
        <v>5501</v>
      </c>
      <c r="K900" s="5" t="s">
        <v>2609</v>
      </c>
      <c r="L900" s="22"/>
      <c r="M900" s="8" t="str">
        <f t="shared" si="140"/>
        <v>Ok</v>
      </c>
      <c r="N900" s="9" t="b">
        <f t="shared" si="141"/>
        <v>1</v>
      </c>
      <c r="O900" s="9" t="b">
        <f t="shared" si="142"/>
        <v>0</v>
      </c>
      <c r="P900" s="8" t="str">
        <f t="shared" si="143"/>
        <v>FALSE</v>
      </c>
      <c r="Q900" s="8" t="str">
        <f t="shared" si="144"/>
        <v>FALSE</v>
      </c>
      <c r="R900" s="9" t="b">
        <f t="shared" si="145"/>
        <v>0</v>
      </c>
      <c r="S900" s="8" t="b">
        <f t="shared" si="146"/>
        <v>1</v>
      </c>
      <c r="T900" s="10" t="b">
        <f t="shared" si="147"/>
        <v>0</v>
      </c>
      <c r="U900" s="8" t="str">
        <f t="shared" si="148"/>
        <v>FALSE</v>
      </c>
      <c r="V900" s="11" t="str">
        <f t="shared" si="149"/>
        <v>TRUE</v>
      </c>
    </row>
    <row r="901" spans="1:22" ht="15.75">
      <c r="A901" s="21">
        <v>899</v>
      </c>
      <c r="B901" s="5" t="s">
        <v>2610</v>
      </c>
      <c r="C901" s="23" t="s">
        <v>3184</v>
      </c>
      <c r="D901" s="23" t="s">
        <v>77</v>
      </c>
      <c r="E901" s="5" t="s">
        <v>2611</v>
      </c>
      <c r="F901" s="71" t="s">
        <v>6107</v>
      </c>
      <c r="G901" s="22" t="s">
        <v>66</v>
      </c>
      <c r="H901" s="5" t="s">
        <v>20</v>
      </c>
      <c r="I901" s="5" t="s">
        <v>26</v>
      </c>
      <c r="J901" s="5" t="s">
        <v>5357</v>
      </c>
      <c r="K901" s="5" t="s">
        <v>2612</v>
      </c>
      <c r="L901" s="22"/>
      <c r="M901" s="8" t="str">
        <f t="shared" si="140"/>
        <v>Ok</v>
      </c>
      <c r="N901" s="9" t="b">
        <f t="shared" si="141"/>
        <v>1</v>
      </c>
      <c r="O901" s="9" t="b">
        <f t="shared" si="142"/>
        <v>0</v>
      </c>
      <c r="P901" s="8" t="str">
        <f t="shared" si="143"/>
        <v>FALSE</v>
      </c>
      <c r="Q901" s="8" t="str">
        <f t="shared" si="144"/>
        <v>FALSE</v>
      </c>
      <c r="R901" s="9" t="b">
        <f t="shared" si="145"/>
        <v>0</v>
      </c>
      <c r="S901" s="8" t="b">
        <f t="shared" si="146"/>
        <v>1</v>
      </c>
      <c r="T901" s="10" t="b">
        <f t="shared" si="147"/>
        <v>0</v>
      </c>
      <c r="U901" s="8" t="str">
        <f t="shared" si="148"/>
        <v>TRUE</v>
      </c>
      <c r="V901" s="11" t="str">
        <f t="shared" si="149"/>
        <v>TRUE</v>
      </c>
    </row>
    <row r="902" spans="1:22" ht="15.75">
      <c r="A902" s="21">
        <v>900</v>
      </c>
      <c r="B902" s="5" t="s">
        <v>2613</v>
      </c>
      <c r="C902" s="23" t="s">
        <v>3063</v>
      </c>
      <c r="D902" s="23" t="s">
        <v>34</v>
      </c>
      <c r="E902" s="5" t="s">
        <v>2614</v>
      </c>
      <c r="F902" s="71" t="s">
        <v>6107</v>
      </c>
      <c r="G902" s="22" t="s">
        <v>179</v>
      </c>
      <c r="H902" s="5" t="s">
        <v>3932</v>
      </c>
      <c r="I902" s="5" t="s">
        <v>67</v>
      </c>
      <c r="J902" s="5" t="s">
        <v>4921</v>
      </c>
      <c r="K902" s="5" t="s">
        <v>2615</v>
      </c>
      <c r="L902" s="22"/>
      <c r="M902" s="8" t="str">
        <f t="shared" si="140"/>
        <v>Ok</v>
      </c>
      <c r="N902" s="9" t="b">
        <f t="shared" si="141"/>
        <v>0</v>
      </c>
      <c r="O902" s="9" t="b">
        <f t="shared" si="142"/>
        <v>0</v>
      </c>
      <c r="P902" s="8" t="str">
        <f t="shared" si="143"/>
        <v>FALSE</v>
      </c>
      <c r="Q902" s="8" t="str">
        <f t="shared" si="144"/>
        <v>FALSE</v>
      </c>
      <c r="R902" s="9" t="b">
        <f t="shared" si="145"/>
        <v>1</v>
      </c>
      <c r="S902" s="8" t="b">
        <f t="shared" si="146"/>
        <v>0</v>
      </c>
      <c r="T902" s="10" t="b">
        <f t="shared" si="147"/>
        <v>0</v>
      </c>
      <c r="U902" s="8" t="str">
        <f t="shared" si="148"/>
        <v>TRUE</v>
      </c>
      <c r="V902" s="11" t="str">
        <f t="shared" si="149"/>
        <v>TRUE</v>
      </c>
    </row>
    <row r="903" spans="1:22" ht="15.75">
      <c r="A903" s="21">
        <v>901</v>
      </c>
      <c r="B903" s="5" t="s">
        <v>2616</v>
      </c>
      <c r="C903" s="23" t="s">
        <v>3857</v>
      </c>
      <c r="D903" s="23" t="s">
        <v>59</v>
      </c>
      <c r="E903" s="5" t="s">
        <v>2617</v>
      </c>
      <c r="F903" s="71" t="s">
        <v>6107</v>
      </c>
      <c r="G903" s="22" t="s">
        <v>144</v>
      </c>
      <c r="H903" s="5" t="s">
        <v>25</v>
      </c>
      <c r="I903" s="5" t="s">
        <v>67</v>
      </c>
      <c r="J903" s="5" t="s">
        <v>5412</v>
      </c>
      <c r="K903" s="5" t="s">
        <v>2618</v>
      </c>
      <c r="L903" s="22"/>
      <c r="M903" s="8" t="str">
        <f t="shared" si="140"/>
        <v>Ok</v>
      </c>
      <c r="N903" s="9" t="b">
        <f t="shared" si="141"/>
        <v>0</v>
      </c>
      <c r="O903" s="9" t="b">
        <f t="shared" si="142"/>
        <v>1</v>
      </c>
      <c r="P903" s="8" t="str">
        <f t="shared" si="143"/>
        <v>FALSE</v>
      </c>
      <c r="Q903" s="8" t="str">
        <f t="shared" si="144"/>
        <v>FALSE</v>
      </c>
      <c r="R903" s="9" t="b">
        <f t="shared" si="145"/>
        <v>1</v>
      </c>
      <c r="S903" s="8" t="b">
        <f t="shared" si="146"/>
        <v>0</v>
      </c>
      <c r="T903" s="10" t="b">
        <f t="shared" si="147"/>
        <v>0</v>
      </c>
      <c r="U903" s="8" t="str">
        <f t="shared" si="148"/>
        <v>TRUE</v>
      </c>
      <c r="V903" s="11" t="str">
        <f t="shared" si="149"/>
        <v>FALSE</v>
      </c>
    </row>
    <row r="904" spans="1:22" ht="15.75">
      <c r="A904" s="21">
        <v>902</v>
      </c>
      <c r="B904" s="5" t="s">
        <v>2619</v>
      </c>
      <c r="C904" s="23" t="s">
        <v>3107</v>
      </c>
      <c r="D904" s="23" t="s">
        <v>77</v>
      </c>
      <c r="E904" s="5" t="s">
        <v>2620</v>
      </c>
      <c r="F904" s="71" t="s">
        <v>6107</v>
      </c>
      <c r="G904" s="22" t="s">
        <v>19</v>
      </c>
      <c r="H904" s="5" t="s">
        <v>20</v>
      </c>
      <c r="I904" s="5" t="s">
        <v>42</v>
      </c>
      <c r="J904" s="5" t="s">
        <v>5310</v>
      </c>
      <c r="K904" s="5" t="s">
        <v>2621</v>
      </c>
      <c r="L904" s="22"/>
      <c r="M904" s="8" t="str">
        <f t="shared" si="140"/>
        <v>Ok</v>
      </c>
      <c r="N904" s="9" t="b">
        <f t="shared" si="141"/>
        <v>0</v>
      </c>
      <c r="O904" s="9" t="b">
        <f t="shared" si="142"/>
        <v>0</v>
      </c>
      <c r="P904" s="8" t="str">
        <f t="shared" si="143"/>
        <v>FALSE</v>
      </c>
      <c r="Q904" s="8" t="str">
        <f t="shared" si="144"/>
        <v>FALSE</v>
      </c>
      <c r="R904" s="9" t="b">
        <f t="shared" si="145"/>
        <v>1</v>
      </c>
      <c r="S904" s="8" t="b">
        <f t="shared" si="146"/>
        <v>1</v>
      </c>
      <c r="T904" s="10" t="b">
        <f t="shared" si="147"/>
        <v>1</v>
      </c>
      <c r="U904" s="8" t="str">
        <f t="shared" si="148"/>
        <v>TRUE</v>
      </c>
      <c r="V904" s="11" t="str">
        <f t="shared" si="149"/>
        <v>TRUE</v>
      </c>
    </row>
    <row r="905" spans="1:22" ht="15.75">
      <c r="A905" s="21">
        <v>903</v>
      </c>
      <c r="B905" s="5" t="s">
        <v>2622</v>
      </c>
      <c r="C905" s="23" t="s">
        <v>3424</v>
      </c>
      <c r="D905" s="23" t="s">
        <v>17</v>
      </c>
      <c r="E905" s="5" t="s">
        <v>2623</v>
      </c>
      <c r="F905" s="71" t="s">
        <v>6107</v>
      </c>
      <c r="G905" s="22" t="s">
        <v>3933</v>
      </c>
      <c r="H905" s="5" t="s">
        <v>3932</v>
      </c>
      <c r="I905" s="5" t="s">
        <v>21</v>
      </c>
      <c r="J905" s="5" t="s">
        <v>5253</v>
      </c>
      <c r="K905" s="5" t="s">
        <v>2624</v>
      </c>
      <c r="L905" s="22"/>
      <c r="M905" s="8" t="str">
        <f t="shared" si="140"/>
        <v>Ok</v>
      </c>
      <c r="N905" s="9" t="b">
        <f t="shared" si="141"/>
        <v>1</v>
      </c>
      <c r="O905" s="9" t="b">
        <f t="shared" si="142"/>
        <v>1</v>
      </c>
      <c r="P905" s="8" t="str">
        <f t="shared" si="143"/>
        <v>FALSE</v>
      </c>
      <c r="Q905" s="8" t="str">
        <f t="shared" si="144"/>
        <v>FALSE</v>
      </c>
      <c r="R905" s="9" t="b">
        <f t="shared" si="145"/>
        <v>0</v>
      </c>
      <c r="S905" s="8" t="b">
        <f t="shared" si="146"/>
        <v>0</v>
      </c>
      <c r="T905" s="10" t="b">
        <f t="shared" si="147"/>
        <v>0</v>
      </c>
      <c r="U905" s="8" t="str">
        <f t="shared" si="148"/>
        <v>TRUE</v>
      </c>
      <c r="V905" s="11" t="str">
        <f t="shared" si="149"/>
        <v>TRUE</v>
      </c>
    </row>
    <row r="906" spans="1:22" ht="15.75">
      <c r="A906" s="21">
        <v>904</v>
      </c>
      <c r="B906" s="5" t="s">
        <v>2625</v>
      </c>
      <c r="C906" s="23" t="s">
        <v>3748</v>
      </c>
      <c r="D906" s="23" t="s">
        <v>59</v>
      </c>
      <c r="E906" s="5" t="s">
        <v>2626</v>
      </c>
      <c r="F906" s="71" t="s">
        <v>6107</v>
      </c>
      <c r="G906" s="22" t="s">
        <v>3934</v>
      </c>
      <c r="H906" s="5" t="s">
        <v>13</v>
      </c>
      <c r="I906" s="5" t="s">
        <v>56</v>
      </c>
      <c r="J906" s="5" t="s">
        <v>5429</v>
      </c>
      <c r="K906" s="5" t="s">
        <v>2627</v>
      </c>
      <c r="L906" s="22"/>
      <c r="M906" s="8" t="str">
        <f t="shared" si="140"/>
        <v>Ok</v>
      </c>
      <c r="N906" s="9" t="b">
        <f t="shared" si="141"/>
        <v>0</v>
      </c>
      <c r="O906" s="9" t="b">
        <f t="shared" si="142"/>
        <v>1</v>
      </c>
      <c r="P906" s="8" t="str">
        <f t="shared" si="143"/>
        <v>FALSE</v>
      </c>
      <c r="Q906" s="8" t="str">
        <f t="shared" si="144"/>
        <v>FALSE</v>
      </c>
      <c r="R906" s="9" t="b">
        <f t="shared" si="145"/>
        <v>0</v>
      </c>
      <c r="S906" s="8" t="b">
        <f t="shared" si="146"/>
        <v>0</v>
      </c>
      <c r="T906" s="10" t="b">
        <f t="shared" si="147"/>
        <v>1</v>
      </c>
      <c r="U906" s="8" t="str">
        <f t="shared" si="148"/>
        <v>TRUE</v>
      </c>
      <c r="V906" s="11" t="str">
        <f t="shared" si="149"/>
        <v>TRUE</v>
      </c>
    </row>
    <row r="907" spans="1:22" ht="15.75">
      <c r="A907" s="21">
        <v>905</v>
      </c>
      <c r="B907" s="5" t="s">
        <v>2628</v>
      </c>
      <c r="C907" s="23" t="s">
        <v>2975</v>
      </c>
      <c r="D907" s="23" t="s">
        <v>17</v>
      </c>
      <c r="E907" s="5" t="s">
        <v>2629</v>
      </c>
      <c r="F907" s="71" t="s">
        <v>6107</v>
      </c>
      <c r="G907" s="22" t="s">
        <v>119</v>
      </c>
      <c r="H907" s="5" t="s">
        <v>120</v>
      </c>
      <c r="I907" s="5" t="s">
        <v>50</v>
      </c>
      <c r="J907" s="5" t="s">
        <v>5144</v>
      </c>
      <c r="K907" s="5" t="s">
        <v>2630</v>
      </c>
      <c r="L907" s="22"/>
      <c r="M907" s="8" t="str">
        <f t="shared" si="140"/>
        <v>Ok</v>
      </c>
      <c r="N907" s="9" t="b">
        <f t="shared" si="141"/>
        <v>0</v>
      </c>
      <c r="O907" s="9" t="b">
        <f t="shared" si="142"/>
        <v>1</v>
      </c>
      <c r="P907" s="8" t="str">
        <f t="shared" si="143"/>
        <v>FALSE</v>
      </c>
      <c r="Q907" s="8" t="str">
        <f t="shared" si="144"/>
        <v>FALSE</v>
      </c>
      <c r="R907" s="9" t="b">
        <f t="shared" si="145"/>
        <v>0</v>
      </c>
      <c r="S907" s="8" t="b">
        <f t="shared" si="146"/>
        <v>1</v>
      </c>
      <c r="T907" s="10" t="b">
        <f t="shared" si="147"/>
        <v>0</v>
      </c>
      <c r="U907" s="8" t="str">
        <f t="shared" si="148"/>
        <v>TRUE</v>
      </c>
      <c r="V907" s="11" t="str">
        <f t="shared" si="149"/>
        <v>TRUE</v>
      </c>
    </row>
    <row r="908" spans="1:22" ht="15.75">
      <c r="A908" s="21">
        <v>906</v>
      </c>
      <c r="B908" s="5" t="s">
        <v>2631</v>
      </c>
      <c r="C908" s="23" t="s">
        <v>3749</v>
      </c>
      <c r="D908" s="23" t="s">
        <v>59</v>
      </c>
      <c r="E908" s="5" t="s">
        <v>1239</v>
      </c>
      <c r="F908" s="71" t="s">
        <v>6107</v>
      </c>
      <c r="G908" s="22" t="s">
        <v>3934</v>
      </c>
      <c r="H908" s="5" t="s">
        <v>13</v>
      </c>
      <c r="I908" s="5" t="s">
        <v>26</v>
      </c>
      <c r="J908" s="5" t="s">
        <v>5431</v>
      </c>
      <c r="K908" s="5" t="s">
        <v>2632</v>
      </c>
      <c r="L908" s="22"/>
      <c r="M908" s="8" t="str">
        <f t="shared" si="140"/>
        <v>Ok</v>
      </c>
      <c r="N908" s="9" t="b">
        <f t="shared" si="141"/>
        <v>0</v>
      </c>
      <c r="O908" s="9" t="b">
        <f t="shared" si="142"/>
        <v>1</v>
      </c>
      <c r="P908" s="8" t="str">
        <f t="shared" si="143"/>
        <v>FALSE</v>
      </c>
      <c r="Q908" s="8" t="str">
        <f t="shared" si="144"/>
        <v>FALSE</v>
      </c>
      <c r="R908" s="9" t="b">
        <f t="shared" si="145"/>
        <v>0</v>
      </c>
      <c r="S908" s="8" t="b">
        <f t="shared" si="146"/>
        <v>0</v>
      </c>
      <c r="T908" s="10" t="b">
        <f t="shared" si="147"/>
        <v>0</v>
      </c>
      <c r="U908" s="8" t="str">
        <f t="shared" si="148"/>
        <v>TRUE</v>
      </c>
      <c r="V908" s="11" t="str">
        <f t="shared" si="149"/>
        <v>TRUE</v>
      </c>
    </row>
    <row r="909" spans="1:22" ht="15.75">
      <c r="A909" s="21">
        <v>907</v>
      </c>
      <c r="B909" s="5" t="s">
        <v>2633</v>
      </c>
      <c r="C909" s="23" t="s">
        <v>3750</v>
      </c>
      <c r="D909" s="23" t="s">
        <v>59</v>
      </c>
      <c r="E909" s="5" t="s">
        <v>2634</v>
      </c>
      <c r="F909" s="71" t="s">
        <v>6107</v>
      </c>
      <c r="G909" s="22" t="s">
        <v>3934</v>
      </c>
      <c r="H909" s="5" t="s">
        <v>13</v>
      </c>
      <c r="I909" s="5" t="s">
        <v>56</v>
      </c>
      <c r="J909" s="5" t="s">
        <v>5722</v>
      </c>
      <c r="K909" s="5" t="s">
        <v>2635</v>
      </c>
      <c r="L909" s="22"/>
      <c r="M909" s="8" t="str">
        <f t="shared" si="140"/>
        <v>Ok</v>
      </c>
      <c r="N909" s="9" t="b">
        <f t="shared" si="141"/>
        <v>0</v>
      </c>
      <c r="O909" s="9" t="b">
        <f t="shared" si="142"/>
        <v>1</v>
      </c>
      <c r="P909" s="8" t="str">
        <f t="shared" si="143"/>
        <v>FALSE</v>
      </c>
      <c r="Q909" s="8" t="str">
        <f t="shared" si="144"/>
        <v>FALSE</v>
      </c>
      <c r="R909" s="9" t="b">
        <f t="shared" si="145"/>
        <v>0</v>
      </c>
      <c r="S909" s="8" t="b">
        <f t="shared" si="146"/>
        <v>0</v>
      </c>
      <c r="T909" s="10" t="b">
        <f t="shared" si="147"/>
        <v>1</v>
      </c>
      <c r="U909" s="8" t="str">
        <f t="shared" si="148"/>
        <v>FALSE</v>
      </c>
      <c r="V909" s="11" t="str">
        <f t="shared" si="149"/>
        <v>TRUE</v>
      </c>
    </row>
    <row r="910" spans="1:22" ht="15.75">
      <c r="A910" s="21">
        <v>908</v>
      </c>
      <c r="B910" s="5" t="s">
        <v>2636</v>
      </c>
      <c r="C910" s="23" t="s">
        <v>3751</v>
      </c>
      <c r="D910" s="23" t="s">
        <v>59</v>
      </c>
      <c r="E910" s="5" t="s">
        <v>2637</v>
      </c>
      <c r="F910" s="71" t="s">
        <v>6107</v>
      </c>
      <c r="G910" s="22" t="s">
        <v>3934</v>
      </c>
      <c r="H910" s="5" t="s">
        <v>13</v>
      </c>
      <c r="I910" s="5" t="s">
        <v>14</v>
      </c>
      <c r="J910" s="5" t="s">
        <v>5580</v>
      </c>
      <c r="K910" s="5" t="s">
        <v>2638</v>
      </c>
      <c r="L910" s="22"/>
      <c r="M910" s="8" t="str">
        <f t="shared" si="140"/>
        <v>Ok</v>
      </c>
      <c r="N910" s="9" t="b">
        <f t="shared" si="141"/>
        <v>0</v>
      </c>
      <c r="O910" s="9" t="b">
        <f t="shared" si="142"/>
        <v>1</v>
      </c>
      <c r="P910" s="8" t="str">
        <f t="shared" si="143"/>
        <v>FALSE</v>
      </c>
      <c r="Q910" s="8" t="str">
        <f t="shared" si="144"/>
        <v>FALSE</v>
      </c>
      <c r="R910" s="9" t="b">
        <f t="shared" si="145"/>
        <v>0</v>
      </c>
      <c r="S910" s="8" t="b">
        <f t="shared" si="146"/>
        <v>0</v>
      </c>
      <c r="T910" s="10" t="b">
        <f t="shared" si="147"/>
        <v>1</v>
      </c>
      <c r="U910" s="8" t="str">
        <f t="shared" si="148"/>
        <v>FALSE</v>
      </c>
      <c r="V910" s="11" t="str">
        <f t="shared" si="149"/>
        <v>TRUE</v>
      </c>
    </row>
    <row r="911" spans="1:22" ht="15.75">
      <c r="A911" s="21">
        <v>909</v>
      </c>
      <c r="B911" s="5" t="s">
        <v>2639</v>
      </c>
      <c r="C911" s="23" t="s">
        <v>3532</v>
      </c>
      <c r="D911" s="23" t="s">
        <v>17</v>
      </c>
      <c r="E911" s="5" t="s">
        <v>2640</v>
      </c>
      <c r="F911" s="71" t="s">
        <v>6107</v>
      </c>
      <c r="G911" s="22" t="s">
        <v>160</v>
      </c>
      <c r="H911" s="5" t="s">
        <v>3932</v>
      </c>
      <c r="I911" s="5" t="s">
        <v>42</v>
      </c>
      <c r="J911" s="5" t="s">
        <v>4917</v>
      </c>
      <c r="K911" s="5" t="s">
        <v>2641</v>
      </c>
      <c r="L911" s="22"/>
      <c r="M911" s="8" t="str">
        <f t="shared" si="140"/>
        <v>Ok</v>
      </c>
      <c r="N911" s="9" t="b">
        <f t="shared" si="141"/>
        <v>1</v>
      </c>
      <c r="O911" s="9" t="b">
        <f t="shared" si="142"/>
        <v>1</v>
      </c>
      <c r="P911" s="8" t="str">
        <f t="shared" si="143"/>
        <v>FALSE</v>
      </c>
      <c r="Q911" s="8" t="str">
        <f t="shared" si="144"/>
        <v>FALSE</v>
      </c>
      <c r="R911" s="9" t="b">
        <f t="shared" si="145"/>
        <v>0</v>
      </c>
      <c r="S911" s="8" t="b">
        <f t="shared" si="146"/>
        <v>0</v>
      </c>
      <c r="T911" s="10" t="b">
        <f t="shared" si="147"/>
        <v>1</v>
      </c>
      <c r="U911" s="8" t="str">
        <f t="shared" si="148"/>
        <v>TRUE</v>
      </c>
      <c r="V911" s="11" t="str">
        <f t="shared" si="149"/>
        <v>TRUE</v>
      </c>
    </row>
    <row r="912" spans="1:22" ht="15.75">
      <c r="A912" s="21">
        <v>910</v>
      </c>
      <c r="B912" s="5" t="s">
        <v>2642</v>
      </c>
      <c r="C912" s="23" t="s">
        <v>3273</v>
      </c>
      <c r="D912" s="23" t="s">
        <v>77</v>
      </c>
      <c r="E912" s="5" t="s">
        <v>2643</v>
      </c>
      <c r="F912" s="71" t="s">
        <v>6107</v>
      </c>
      <c r="G912" s="22" t="s">
        <v>179</v>
      </c>
      <c r="H912" s="5" t="s">
        <v>3932</v>
      </c>
      <c r="I912" s="5" t="s">
        <v>50</v>
      </c>
      <c r="J912" s="5" t="s">
        <v>5563</v>
      </c>
      <c r="K912" s="5" t="s">
        <v>2644</v>
      </c>
      <c r="L912" s="22"/>
      <c r="M912" s="8" t="str">
        <f t="shared" si="140"/>
        <v>Ok</v>
      </c>
      <c r="N912" s="9" t="b">
        <f t="shared" si="141"/>
        <v>1</v>
      </c>
      <c r="O912" s="9" t="b">
        <f t="shared" si="142"/>
        <v>0</v>
      </c>
      <c r="P912" s="8" t="str">
        <f t="shared" si="143"/>
        <v>FALSE</v>
      </c>
      <c r="Q912" s="8" t="str">
        <f t="shared" si="144"/>
        <v>FALSE</v>
      </c>
      <c r="R912" s="9" t="b">
        <f t="shared" si="145"/>
        <v>1</v>
      </c>
      <c r="S912" s="8" t="b">
        <f t="shared" si="146"/>
        <v>0</v>
      </c>
      <c r="T912" s="10" t="b">
        <f t="shared" si="147"/>
        <v>0</v>
      </c>
      <c r="U912" s="8" t="str">
        <f t="shared" si="148"/>
        <v>FALSE</v>
      </c>
      <c r="V912" s="11" t="str">
        <f t="shared" si="149"/>
        <v>TRUE</v>
      </c>
    </row>
    <row r="913" spans="1:22" ht="15.75">
      <c r="A913" s="21">
        <v>911</v>
      </c>
      <c r="B913" s="5" t="s">
        <v>2645</v>
      </c>
      <c r="C913" s="23" t="s">
        <v>3425</v>
      </c>
      <c r="D913" s="23" t="s">
        <v>17</v>
      </c>
      <c r="E913" s="5" t="s">
        <v>2646</v>
      </c>
      <c r="F913" s="71" t="s">
        <v>6107</v>
      </c>
      <c r="G913" s="22" t="s">
        <v>3933</v>
      </c>
      <c r="H913" s="5" t="s">
        <v>3932</v>
      </c>
      <c r="I913" s="5" t="s">
        <v>67</v>
      </c>
      <c r="J913" s="5" t="s">
        <v>4962</v>
      </c>
      <c r="K913" s="5" t="s">
        <v>2647</v>
      </c>
      <c r="L913" s="22"/>
      <c r="M913" s="8" t="str">
        <f t="shared" si="140"/>
        <v>Ok</v>
      </c>
      <c r="N913" s="9" t="b">
        <f t="shared" si="141"/>
        <v>1</v>
      </c>
      <c r="O913" s="9" t="b">
        <f t="shared" si="142"/>
        <v>1</v>
      </c>
      <c r="P913" s="8" t="str">
        <f t="shared" si="143"/>
        <v>FALSE</v>
      </c>
      <c r="Q913" s="8" t="str">
        <f t="shared" si="144"/>
        <v>FALSE</v>
      </c>
      <c r="R913" s="9" t="b">
        <f t="shared" si="145"/>
        <v>0</v>
      </c>
      <c r="S913" s="8" t="b">
        <f t="shared" si="146"/>
        <v>0</v>
      </c>
      <c r="T913" s="10" t="b">
        <f t="shared" si="147"/>
        <v>0</v>
      </c>
      <c r="U913" s="8" t="str">
        <f t="shared" si="148"/>
        <v>TRUE</v>
      </c>
      <c r="V913" s="11" t="str">
        <f t="shared" si="149"/>
        <v>TRUE</v>
      </c>
    </row>
    <row r="914" spans="1:22" ht="15.75">
      <c r="A914" s="21">
        <v>912</v>
      </c>
      <c r="B914" s="5" t="s">
        <v>2648</v>
      </c>
      <c r="C914" s="23" t="s">
        <v>3185</v>
      </c>
      <c r="D914" s="23" t="s">
        <v>77</v>
      </c>
      <c r="E914" s="5" t="s">
        <v>2649</v>
      </c>
      <c r="F914" s="71" t="s">
        <v>6107</v>
      </c>
      <c r="G914" s="22" t="s">
        <v>198</v>
      </c>
      <c r="H914" s="5" t="s">
        <v>20</v>
      </c>
      <c r="I914" s="5" t="s">
        <v>50</v>
      </c>
      <c r="J914" s="5" t="s">
        <v>4824</v>
      </c>
      <c r="K914" s="5">
        <v>862341956</v>
      </c>
      <c r="L914" s="22"/>
      <c r="M914" s="8" t="str">
        <f t="shared" si="140"/>
        <v>Ok</v>
      </c>
      <c r="N914" s="9" t="b">
        <f t="shared" si="141"/>
        <v>1</v>
      </c>
      <c r="O914" s="9" t="b">
        <f t="shared" si="142"/>
        <v>0</v>
      </c>
      <c r="P914" s="8" t="str">
        <f t="shared" si="143"/>
        <v>FALSE</v>
      </c>
      <c r="Q914" s="8" t="str">
        <f t="shared" si="144"/>
        <v>FALSE</v>
      </c>
      <c r="R914" s="9" t="b">
        <f t="shared" si="145"/>
        <v>1</v>
      </c>
      <c r="S914" s="8" t="b">
        <f t="shared" si="146"/>
        <v>1</v>
      </c>
      <c r="T914" s="10" t="b">
        <f t="shared" si="147"/>
        <v>0</v>
      </c>
      <c r="U914" s="8" t="str">
        <f t="shared" si="148"/>
        <v>TRUE</v>
      </c>
      <c r="V914" s="11" t="str">
        <f t="shared" si="149"/>
        <v>FALSE</v>
      </c>
    </row>
    <row r="915" spans="1:22" ht="15.75">
      <c r="A915" s="21">
        <v>913</v>
      </c>
      <c r="B915" s="5" t="s">
        <v>2650</v>
      </c>
      <c r="C915" s="23" t="s">
        <v>2953</v>
      </c>
      <c r="D915" s="23" t="s">
        <v>17</v>
      </c>
      <c r="E915" s="5" t="s">
        <v>2651</v>
      </c>
      <c r="F915" s="71" t="s">
        <v>6107</v>
      </c>
      <c r="G915" s="22" t="s">
        <v>119</v>
      </c>
      <c r="H915" s="5" t="s">
        <v>120</v>
      </c>
      <c r="I915" s="5" t="s">
        <v>50</v>
      </c>
      <c r="J915" s="5" t="s">
        <v>5468</v>
      </c>
      <c r="K915" s="5" t="s">
        <v>2652</v>
      </c>
      <c r="L915" s="22"/>
      <c r="M915" s="8" t="str">
        <f t="shared" si="140"/>
        <v>Ok</v>
      </c>
      <c r="N915" s="9" t="b">
        <f t="shared" si="141"/>
        <v>0</v>
      </c>
      <c r="O915" s="9" t="b">
        <f t="shared" si="142"/>
        <v>1</v>
      </c>
      <c r="P915" s="8" t="str">
        <f t="shared" si="143"/>
        <v>FALSE</v>
      </c>
      <c r="Q915" s="8" t="str">
        <f t="shared" si="144"/>
        <v>FALSE</v>
      </c>
      <c r="R915" s="9" t="b">
        <f t="shared" si="145"/>
        <v>0</v>
      </c>
      <c r="S915" s="8" t="b">
        <f t="shared" si="146"/>
        <v>1</v>
      </c>
      <c r="T915" s="10" t="b">
        <f t="shared" si="147"/>
        <v>0</v>
      </c>
      <c r="U915" s="8" t="str">
        <f t="shared" si="148"/>
        <v>FALSE</v>
      </c>
      <c r="V915" s="11" t="str">
        <f t="shared" si="149"/>
        <v>TRUE</v>
      </c>
    </row>
    <row r="916" spans="1:22" ht="15.75">
      <c r="A916" s="21">
        <v>914</v>
      </c>
      <c r="B916" s="5" t="s">
        <v>2653</v>
      </c>
      <c r="C916" s="23" t="s">
        <v>3108</v>
      </c>
      <c r="D916" s="23" t="s">
        <v>77</v>
      </c>
      <c r="E916" s="5" t="s">
        <v>2654</v>
      </c>
      <c r="F916" s="71" t="s">
        <v>6107</v>
      </c>
      <c r="G916" s="22" t="s">
        <v>179</v>
      </c>
      <c r="H916" s="22" t="s">
        <v>3932</v>
      </c>
      <c r="I916" s="5" t="s">
        <v>67</v>
      </c>
      <c r="J916" s="5" t="s">
        <v>5230</v>
      </c>
      <c r="K916" s="5" t="s">
        <v>2655</v>
      </c>
      <c r="L916" s="22"/>
      <c r="M916" s="8" t="str">
        <f t="shared" si="140"/>
        <v>Ok</v>
      </c>
      <c r="N916" s="9" t="b">
        <f t="shared" si="141"/>
        <v>0</v>
      </c>
      <c r="O916" s="9" t="b">
        <f t="shared" si="142"/>
        <v>0</v>
      </c>
      <c r="P916" s="8" t="str">
        <f t="shared" si="143"/>
        <v>FALSE</v>
      </c>
      <c r="Q916" s="8" t="str">
        <f t="shared" si="144"/>
        <v>FALSE</v>
      </c>
      <c r="R916" s="9" t="b">
        <f t="shared" si="145"/>
        <v>1</v>
      </c>
      <c r="S916" s="8" t="b">
        <f t="shared" si="146"/>
        <v>0</v>
      </c>
      <c r="T916" s="10" t="b">
        <f t="shared" si="147"/>
        <v>0</v>
      </c>
      <c r="U916" s="8" t="str">
        <f t="shared" si="148"/>
        <v>TRUE</v>
      </c>
      <c r="V916" s="11" t="str">
        <f t="shared" si="149"/>
        <v>FALSE</v>
      </c>
    </row>
    <row r="917" spans="1:22" ht="15.75">
      <c r="A917" s="21">
        <v>915</v>
      </c>
      <c r="B917" s="5" t="s">
        <v>2656</v>
      </c>
      <c r="C917" s="23" t="s">
        <v>3186</v>
      </c>
      <c r="D917" s="23" t="s">
        <v>77</v>
      </c>
      <c r="E917" s="5" t="s">
        <v>2657</v>
      </c>
      <c r="F917" s="71" t="s">
        <v>6107</v>
      </c>
      <c r="G917" s="22" t="s">
        <v>198</v>
      </c>
      <c r="H917" s="5" t="s">
        <v>20</v>
      </c>
      <c r="I917" s="5" t="s">
        <v>42</v>
      </c>
      <c r="J917" s="5" t="s">
        <v>5094</v>
      </c>
      <c r="K917" s="5" t="s">
        <v>2658</v>
      </c>
      <c r="L917" s="22"/>
      <c r="M917" s="8" t="str">
        <f t="shared" si="140"/>
        <v>Ok</v>
      </c>
      <c r="N917" s="9" t="b">
        <f t="shared" si="141"/>
        <v>1</v>
      </c>
      <c r="O917" s="9" t="b">
        <f t="shared" si="142"/>
        <v>0</v>
      </c>
      <c r="P917" s="8" t="str">
        <f t="shared" si="143"/>
        <v>FALSE</v>
      </c>
      <c r="Q917" s="8" t="str">
        <f t="shared" si="144"/>
        <v>FALSE</v>
      </c>
      <c r="R917" s="9" t="b">
        <f t="shared" si="145"/>
        <v>1</v>
      </c>
      <c r="S917" s="8" t="b">
        <f t="shared" si="146"/>
        <v>1</v>
      </c>
      <c r="T917" s="10" t="b">
        <f t="shared" si="147"/>
        <v>1</v>
      </c>
      <c r="U917" s="8" t="str">
        <f t="shared" si="148"/>
        <v>TRUE</v>
      </c>
      <c r="V917" s="11" t="str">
        <f t="shared" si="149"/>
        <v>TRUE</v>
      </c>
    </row>
    <row r="918" spans="1:22" ht="15.75">
      <c r="A918" s="21">
        <v>916</v>
      </c>
      <c r="B918" s="5" t="s">
        <v>2659</v>
      </c>
      <c r="C918" s="23" t="s">
        <v>3426</v>
      </c>
      <c r="D918" s="23" t="s">
        <v>17</v>
      </c>
      <c r="E918" s="5" t="s">
        <v>2660</v>
      </c>
      <c r="F918" s="71" t="s">
        <v>6107</v>
      </c>
      <c r="G918" s="22" t="s">
        <v>3933</v>
      </c>
      <c r="H918" s="5" t="s">
        <v>3932</v>
      </c>
      <c r="I918" s="5" t="s">
        <v>67</v>
      </c>
      <c r="J918" s="5" t="s">
        <v>4788</v>
      </c>
      <c r="K918" s="5" t="s">
        <v>2661</v>
      </c>
      <c r="L918" s="22"/>
      <c r="M918" s="8" t="str">
        <f t="shared" si="140"/>
        <v>Ok</v>
      </c>
      <c r="N918" s="9" t="b">
        <f t="shared" si="141"/>
        <v>1</v>
      </c>
      <c r="O918" s="9" t="b">
        <f t="shared" si="142"/>
        <v>1</v>
      </c>
      <c r="P918" s="8" t="str">
        <f t="shared" si="143"/>
        <v>FALSE</v>
      </c>
      <c r="Q918" s="8" t="str">
        <f t="shared" si="144"/>
        <v>FALSE</v>
      </c>
      <c r="R918" s="9" t="b">
        <f t="shared" si="145"/>
        <v>0</v>
      </c>
      <c r="S918" s="8" t="b">
        <f t="shared" si="146"/>
        <v>0</v>
      </c>
      <c r="T918" s="10" t="b">
        <f t="shared" si="147"/>
        <v>0</v>
      </c>
      <c r="U918" s="8" t="str">
        <f t="shared" si="148"/>
        <v>TRUE</v>
      </c>
      <c r="V918" s="11" t="str">
        <f t="shared" si="149"/>
        <v>TRUE</v>
      </c>
    </row>
    <row r="919" spans="1:22" ht="15.75">
      <c r="A919" s="21">
        <v>917</v>
      </c>
      <c r="B919" s="5" t="s">
        <v>2662</v>
      </c>
      <c r="C919" s="23" t="s">
        <v>3752</v>
      </c>
      <c r="D919" s="23" t="s">
        <v>59</v>
      </c>
      <c r="E919" s="5" t="s">
        <v>2663</v>
      </c>
      <c r="F919" s="71" t="s">
        <v>6107</v>
      </c>
      <c r="G919" s="22" t="s">
        <v>3934</v>
      </c>
      <c r="H919" s="5" t="s">
        <v>13</v>
      </c>
      <c r="I919" s="5" t="s">
        <v>50</v>
      </c>
      <c r="J919" s="5" t="s">
        <v>5596</v>
      </c>
      <c r="K919" s="5" t="s">
        <v>2664</v>
      </c>
      <c r="L919" s="22"/>
      <c r="M919" s="8" t="str">
        <f t="shared" si="140"/>
        <v>Ok</v>
      </c>
      <c r="N919" s="9" t="b">
        <f t="shared" si="141"/>
        <v>0</v>
      </c>
      <c r="O919" s="9" t="b">
        <f t="shared" si="142"/>
        <v>1</v>
      </c>
      <c r="P919" s="8" t="str">
        <f t="shared" si="143"/>
        <v>FALSE</v>
      </c>
      <c r="Q919" s="8" t="str">
        <f t="shared" si="144"/>
        <v>FALSE</v>
      </c>
      <c r="R919" s="9" t="b">
        <f t="shared" si="145"/>
        <v>0</v>
      </c>
      <c r="S919" s="8" t="b">
        <f t="shared" si="146"/>
        <v>0</v>
      </c>
      <c r="T919" s="10" t="b">
        <f t="shared" si="147"/>
        <v>0</v>
      </c>
      <c r="U919" s="8" t="str">
        <f t="shared" si="148"/>
        <v>FALSE</v>
      </c>
      <c r="V919" s="11" t="str">
        <f t="shared" si="149"/>
        <v>TRUE</v>
      </c>
    </row>
    <row r="920" spans="1:22" ht="15.75">
      <c r="A920" s="21">
        <v>918</v>
      </c>
      <c r="B920" s="5" t="s">
        <v>2665</v>
      </c>
      <c r="C920" s="23" t="s">
        <v>3648</v>
      </c>
      <c r="D920" s="23" t="s">
        <v>59</v>
      </c>
      <c r="E920" s="5" t="s">
        <v>2666</v>
      </c>
      <c r="F920" s="71" t="s">
        <v>6107</v>
      </c>
      <c r="G920" s="22" t="s">
        <v>179</v>
      </c>
      <c r="H920" s="5" t="s">
        <v>36</v>
      </c>
      <c r="I920" s="5" t="s">
        <v>42</v>
      </c>
      <c r="J920" s="5" t="s">
        <v>5356</v>
      </c>
      <c r="K920" s="5" t="s">
        <v>2667</v>
      </c>
      <c r="L920" s="22"/>
      <c r="M920" s="8" t="str">
        <f t="shared" si="140"/>
        <v>Ok</v>
      </c>
      <c r="N920" s="9" t="b">
        <f t="shared" si="141"/>
        <v>1</v>
      </c>
      <c r="O920" s="9" t="b">
        <f t="shared" si="142"/>
        <v>1</v>
      </c>
      <c r="P920" s="8" t="str">
        <f t="shared" si="143"/>
        <v>FALSE</v>
      </c>
      <c r="Q920" s="8" t="str">
        <f t="shared" si="144"/>
        <v>FALSE</v>
      </c>
      <c r="R920" s="9" t="b">
        <f t="shared" si="145"/>
        <v>1</v>
      </c>
      <c r="S920" s="8" t="b">
        <f t="shared" si="146"/>
        <v>1</v>
      </c>
      <c r="T920" s="10" t="b">
        <f t="shared" si="147"/>
        <v>1</v>
      </c>
      <c r="U920" s="8" t="str">
        <f t="shared" si="148"/>
        <v>TRUE</v>
      </c>
      <c r="V920" s="11" t="str">
        <f t="shared" si="149"/>
        <v>TRUE</v>
      </c>
    </row>
    <row r="921" spans="1:22" ht="15.75">
      <c r="A921" s="21">
        <v>919</v>
      </c>
      <c r="B921" s="5" t="s">
        <v>2668</v>
      </c>
      <c r="C921" s="23" t="s">
        <v>3533</v>
      </c>
      <c r="D921" s="23" t="s">
        <v>77</v>
      </c>
      <c r="E921" s="5" t="s">
        <v>2669</v>
      </c>
      <c r="F921" s="71" t="s">
        <v>6107</v>
      </c>
      <c r="G921" s="22" t="s">
        <v>54</v>
      </c>
      <c r="H921" s="5" t="s">
        <v>140</v>
      </c>
      <c r="I921" s="5" t="s">
        <v>26</v>
      </c>
      <c r="J921" s="5" t="s">
        <v>5585</v>
      </c>
      <c r="K921" s="5" t="s">
        <v>2670</v>
      </c>
      <c r="L921" s="22"/>
      <c r="M921" s="8" t="str">
        <f t="shared" si="140"/>
        <v>Ok</v>
      </c>
      <c r="N921" s="9" t="b">
        <f t="shared" si="141"/>
        <v>1</v>
      </c>
      <c r="O921" s="9" t="b">
        <f t="shared" si="142"/>
        <v>0</v>
      </c>
      <c r="P921" s="8" t="str">
        <f t="shared" si="143"/>
        <v>FALSE</v>
      </c>
      <c r="Q921" s="8" t="str">
        <f t="shared" si="144"/>
        <v>FALSE</v>
      </c>
      <c r="R921" s="9" t="b">
        <f t="shared" si="145"/>
        <v>1</v>
      </c>
      <c r="S921" s="8" t="b">
        <f t="shared" si="146"/>
        <v>1</v>
      </c>
      <c r="T921" s="10" t="b">
        <f t="shared" si="147"/>
        <v>0</v>
      </c>
      <c r="U921" s="8" t="str">
        <f t="shared" si="148"/>
        <v>FALSE</v>
      </c>
      <c r="V921" s="11" t="str">
        <f t="shared" si="149"/>
        <v>TRUE</v>
      </c>
    </row>
    <row r="922" spans="1:22" ht="15.75">
      <c r="A922" s="21">
        <v>920</v>
      </c>
      <c r="B922" s="5" t="s">
        <v>2671</v>
      </c>
      <c r="C922" s="23" t="s">
        <v>3064</v>
      </c>
      <c r="D922" s="23" t="s">
        <v>34</v>
      </c>
      <c r="E922" s="5" t="s">
        <v>2672</v>
      </c>
      <c r="F922" s="71" t="s">
        <v>6107</v>
      </c>
      <c r="G922" s="22" t="s">
        <v>40</v>
      </c>
      <c r="H922" s="5" t="s">
        <v>71</v>
      </c>
      <c r="I922" s="5" t="s">
        <v>14</v>
      </c>
      <c r="J922" s="5" t="s">
        <v>5507</v>
      </c>
      <c r="K922" s="5">
        <v>89756465600</v>
      </c>
      <c r="L922" s="22"/>
      <c r="M922" s="8" t="str">
        <f t="shared" si="140"/>
        <v>Ok</v>
      </c>
      <c r="N922" s="9" t="b">
        <f t="shared" si="141"/>
        <v>0</v>
      </c>
      <c r="O922" s="9" t="b">
        <f t="shared" si="142"/>
        <v>0</v>
      </c>
      <c r="P922" s="8" t="str">
        <f t="shared" si="143"/>
        <v>FALSE</v>
      </c>
      <c r="Q922" s="8" t="str">
        <f t="shared" si="144"/>
        <v>FALSE</v>
      </c>
      <c r="R922" s="9" t="b">
        <f t="shared" si="145"/>
        <v>1</v>
      </c>
      <c r="S922" s="8" t="b">
        <f t="shared" si="146"/>
        <v>1</v>
      </c>
      <c r="T922" s="10" t="b">
        <f t="shared" si="147"/>
        <v>1</v>
      </c>
      <c r="U922" s="8" t="str">
        <f t="shared" si="148"/>
        <v>FALSE</v>
      </c>
      <c r="V922" s="11" t="str">
        <f t="shared" si="149"/>
        <v>FALSE</v>
      </c>
    </row>
    <row r="923" spans="1:22" ht="15.75">
      <c r="A923" s="21">
        <v>921</v>
      </c>
      <c r="B923" s="5" t="s">
        <v>2673</v>
      </c>
      <c r="C923" s="23" t="s">
        <v>3810</v>
      </c>
      <c r="D923" s="23" t="s">
        <v>59</v>
      </c>
      <c r="E923" s="5" t="s">
        <v>2674</v>
      </c>
      <c r="F923" s="71" t="s">
        <v>6107</v>
      </c>
      <c r="G923" s="22" t="s">
        <v>24</v>
      </c>
      <c r="H923" s="5" t="s">
        <v>25</v>
      </c>
      <c r="I923" s="5" t="s">
        <v>67</v>
      </c>
      <c r="J923" s="5" t="s">
        <v>5086</v>
      </c>
      <c r="K923" s="5" t="s">
        <v>2675</v>
      </c>
      <c r="L923" s="22"/>
      <c r="M923" s="8" t="str">
        <f t="shared" si="140"/>
        <v>Ok</v>
      </c>
      <c r="N923" s="9" t="b">
        <f t="shared" si="141"/>
        <v>0</v>
      </c>
      <c r="O923" s="9" t="b">
        <f t="shared" si="142"/>
        <v>1</v>
      </c>
      <c r="P923" s="8" t="str">
        <f t="shared" si="143"/>
        <v>FALSE</v>
      </c>
      <c r="Q923" s="8" t="str">
        <f t="shared" si="144"/>
        <v>FALSE</v>
      </c>
      <c r="R923" s="9" t="b">
        <f t="shared" si="145"/>
        <v>0</v>
      </c>
      <c r="S923" s="8" t="b">
        <f t="shared" si="146"/>
        <v>0</v>
      </c>
      <c r="T923" s="10" t="b">
        <f t="shared" si="147"/>
        <v>0</v>
      </c>
      <c r="U923" s="8" t="str">
        <f t="shared" si="148"/>
        <v>TRUE</v>
      </c>
      <c r="V923" s="11" t="str">
        <f t="shared" si="149"/>
        <v>TRUE</v>
      </c>
    </row>
    <row r="924" spans="1:22" ht="15.75">
      <c r="A924" s="21">
        <v>922</v>
      </c>
      <c r="B924" s="5" t="s">
        <v>2676</v>
      </c>
      <c r="C924" s="23" t="s">
        <v>3858</v>
      </c>
      <c r="D924" s="23" t="s">
        <v>59</v>
      </c>
      <c r="E924" s="5" t="s">
        <v>2677</v>
      </c>
      <c r="F924" s="71" t="s">
        <v>6107</v>
      </c>
      <c r="G924" s="22" t="s">
        <v>144</v>
      </c>
      <c r="H924" s="5" t="s">
        <v>25</v>
      </c>
      <c r="I924" s="5" t="s">
        <v>26</v>
      </c>
      <c r="J924" s="5" t="s">
        <v>4808</v>
      </c>
      <c r="K924" s="5" t="s">
        <v>2678</v>
      </c>
      <c r="L924" s="22"/>
      <c r="M924" s="8" t="str">
        <f t="shared" si="140"/>
        <v>Ok</v>
      </c>
      <c r="N924" s="9" t="b">
        <f t="shared" si="141"/>
        <v>0</v>
      </c>
      <c r="O924" s="9" t="b">
        <f t="shared" si="142"/>
        <v>1</v>
      </c>
      <c r="P924" s="8" t="str">
        <f t="shared" si="143"/>
        <v>FALSE</v>
      </c>
      <c r="Q924" s="8" t="str">
        <f t="shared" si="144"/>
        <v>FALSE</v>
      </c>
      <c r="R924" s="9" t="b">
        <f t="shared" si="145"/>
        <v>1</v>
      </c>
      <c r="S924" s="8" t="b">
        <f t="shared" si="146"/>
        <v>0</v>
      </c>
      <c r="T924" s="10" t="b">
        <f t="shared" si="147"/>
        <v>0</v>
      </c>
      <c r="U924" s="8" t="str">
        <f t="shared" si="148"/>
        <v>TRUE</v>
      </c>
      <c r="V924" s="11" t="str">
        <f t="shared" si="149"/>
        <v>TRUE</v>
      </c>
    </row>
    <row r="925" spans="1:22" ht="15.75">
      <c r="A925" s="21">
        <v>923</v>
      </c>
      <c r="B925" s="5" t="s">
        <v>2679</v>
      </c>
      <c r="C925" s="23" t="s">
        <v>3649</v>
      </c>
      <c r="D925" s="23" t="s">
        <v>59</v>
      </c>
      <c r="E925" s="5" t="s">
        <v>1921</v>
      </c>
      <c r="F925" s="71" t="s">
        <v>6107</v>
      </c>
      <c r="G925" s="22" t="s">
        <v>160</v>
      </c>
      <c r="H925" s="5" t="s">
        <v>36</v>
      </c>
      <c r="I925" s="5" t="s">
        <v>21</v>
      </c>
      <c r="J925" s="5" t="s">
        <v>4892</v>
      </c>
      <c r="K925" s="5" t="s">
        <v>2680</v>
      </c>
      <c r="L925" s="22"/>
      <c r="M925" s="8" t="str">
        <f t="shared" si="140"/>
        <v>Ok</v>
      </c>
      <c r="N925" s="9" t="b">
        <f t="shared" si="141"/>
        <v>1</v>
      </c>
      <c r="O925" s="9" t="b">
        <f t="shared" si="142"/>
        <v>1</v>
      </c>
      <c r="P925" s="8" t="str">
        <f t="shared" si="143"/>
        <v>FALSE</v>
      </c>
      <c r="Q925" s="8" t="str">
        <f t="shared" si="144"/>
        <v>FALSE</v>
      </c>
      <c r="R925" s="9" t="b">
        <f t="shared" si="145"/>
        <v>0</v>
      </c>
      <c r="S925" s="8" t="b">
        <f t="shared" si="146"/>
        <v>1</v>
      </c>
      <c r="T925" s="10" t="b">
        <f t="shared" si="147"/>
        <v>0</v>
      </c>
      <c r="U925" s="8" t="str">
        <f t="shared" si="148"/>
        <v>TRUE</v>
      </c>
      <c r="V925" s="11" t="str">
        <f t="shared" si="149"/>
        <v>TRUE</v>
      </c>
    </row>
    <row r="926" spans="1:22" ht="15.75">
      <c r="A926" s="21">
        <v>924</v>
      </c>
      <c r="B926" s="5" t="s">
        <v>2681</v>
      </c>
      <c r="C926" s="23" t="s">
        <v>3187</v>
      </c>
      <c r="D926" s="23" t="s">
        <v>77</v>
      </c>
      <c r="E926" s="5" t="s">
        <v>2682</v>
      </c>
      <c r="F926" s="71" t="s">
        <v>6107</v>
      </c>
      <c r="G926" s="22" t="s">
        <v>179</v>
      </c>
      <c r="H926" s="22" t="s">
        <v>3932</v>
      </c>
      <c r="I926" s="5" t="s">
        <v>67</v>
      </c>
      <c r="J926" s="5" t="s">
        <v>5449</v>
      </c>
      <c r="K926" s="5" t="s">
        <v>2683</v>
      </c>
      <c r="L926" s="22"/>
      <c r="M926" s="8" t="str">
        <f t="shared" si="140"/>
        <v>Ok</v>
      </c>
      <c r="N926" s="9" t="b">
        <f t="shared" si="141"/>
        <v>1</v>
      </c>
      <c r="O926" s="9" t="b">
        <f t="shared" si="142"/>
        <v>0</v>
      </c>
      <c r="P926" s="8" t="str">
        <f t="shared" si="143"/>
        <v>FALSE</v>
      </c>
      <c r="Q926" s="8" t="str">
        <f t="shared" si="144"/>
        <v>FALSE</v>
      </c>
      <c r="R926" s="9" t="b">
        <f t="shared" si="145"/>
        <v>1</v>
      </c>
      <c r="S926" s="8" t="b">
        <f t="shared" si="146"/>
        <v>0</v>
      </c>
      <c r="T926" s="10" t="b">
        <f t="shared" si="147"/>
        <v>0</v>
      </c>
      <c r="U926" s="8" t="str">
        <f t="shared" si="148"/>
        <v>TRUE</v>
      </c>
      <c r="V926" s="11" t="str">
        <f t="shared" si="149"/>
        <v>TRUE</v>
      </c>
    </row>
    <row r="927" spans="1:22" ht="15.75">
      <c r="A927" s="21">
        <v>925</v>
      </c>
      <c r="B927" s="5" t="s">
        <v>2684</v>
      </c>
      <c r="C927" s="23" t="s">
        <v>3811</v>
      </c>
      <c r="D927" s="23" t="s">
        <v>59</v>
      </c>
      <c r="E927" s="5" t="s">
        <v>2685</v>
      </c>
      <c r="F927" s="71" t="s">
        <v>6107</v>
      </c>
      <c r="G927" s="22" t="s">
        <v>24</v>
      </c>
      <c r="H927" s="5" t="s">
        <v>25</v>
      </c>
      <c r="I927" s="5" t="s">
        <v>26</v>
      </c>
      <c r="J927" s="5" t="s">
        <v>5433</v>
      </c>
      <c r="K927" s="5" t="s">
        <v>2686</v>
      </c>
      <c r="L927" s="22"/>
      <c r="M927" s="8" t="str">
        <f t="shared" si="140"/>
        <v>Ok</v>
      </c>
      <c r="N927" s="9" t="b">
        <f t="shared" si="141"/>
        <v>0</v>
      </c>
      <c r="O927" s="9" t="b">
        <f t="shared" si="142"/>
        <v>1</v>
      </c>
      <c r="P927" s="8" t="str">
        <f t="shared" si="143"/>
        <v>FALSE</v>
      </c>
      <c r="Q927" s="8" t="str">
        <f t="shared" si="144"/>
        <v>FALSE</v>
      </c>
      <c r="R927" s="9" t="b">
        <f t="shared" si="145"/>
        <v>0</v>
      </c>
      <c r="S927" s="8" t="b">
        <f t="shared" si="146"/>
        <v>0</v>
      </c>
      <c r="T927" s="10" t="b">
        <f t="shared" si="147"/>
        <v>0</v>
      </c>
      <c r="U927" s="8" t="str">
        <f t="shared" si="148"/>
        <v>TRUE</v>
      </c>
      <c r="V927" s="11" t="str">
        <f t="shared" si="149"/>
        <v>TRUE</v>
      </c>
    </row>
    <row r="928" spans="1:22" ht="15.75">
      <c r="A928" s="21">
        <v>926</v>
      </c>
      <c r="B928" s="5" t="s">
        <v>2687</v>
      </c>
      <c r="C928" s="23" t="s">
        <v>3274</v>
      </c>
      <c r="D928" s="23" t="s">
        <v>77</v>
      </c>
      <c r="E928" s="5" t="s">
        <v>2688</v>
      </c>
      <c r="F928" s="71" t="s">
        <v>6107</v>
      </c>
      <c r="G928" s="22" t="s">
        <v>179</v>
      </c>
      <c r="H928" s="5" t="s">
        <v>3932</v>
      </c>
      <c r="I928" s="5" t="s">
        <v>67</v>
      </c>
      <c r="J928" s="5" t="s">
        <v>5037</v>
      </c>
      <c r="K928" s="5" t="s">
        <v>2689</v>
      </c>
      <c r="L928" s="22"/>
      <c r="M928" s="8" t="str">
        <f t="shared" si="140"/>
        <v>Ok</v>
      </c>
      <c r="N928" s="9" t="b">
        <f t="shared" si="141"/>
        <v>1</v>
      </c>
      <c r="O928" s="9" t="b">
        <f t="shared" si="142"/>
        <v>0</v>
      </c>
      <c r="P928" s="8" t="str">
        <f t="shared" si="143"/>
        <v>FALSE</v>
      </c>
      <c r="Q928" s="8" t="str">
        <f t="shared" si="144"/>
        <v>FALSE</v>
      </c>
      <c r="R928" s="9" t="b">
        <f t="shared" si="145"/>
        <v>1</v>
      </c>
      <c r="S928" s="8" t="b">
        <f t="shared" si="146"/>
        <v>0</v>
      </c>
      <c r="T928" s="10" t="b">
        <f t="shared" si="147"/>
        <v>0</v>
      </c>
      <c r="U928" s="8" t="str">
        <f t="shared" si="148"/>
        <v>TRUE</v>
      </c>
      <c r="V928" s="11" t="str">
        <f t="shared" si="149"/>
        <v>TRUE</v>
      </c>
    </row>
    <row r="929" spans="1:22" ht="15.75">
      <c r="A929" s="21">
        <v>927</v>
      </c>
      <c r="B929" s="5" t="s">
        <v>2690</v>
      </c>
      <c r="C929" s="23" t="s">
        <v>3275</v>
      </c>
      <c r="D929" s="23" t="s">
        <v>77</v>
      </c>
      <c r="E929" s="5" t="s">
        <v>2691</v>
      </c>
      <c r="F929" s="71" t="s">
        <v>6107</v>
      </c>
      <c r="G929" s="22" t="s">
        <v>179</v>
      </c>
      <c r="H929" s="5" t="s">
        <v>3932</v>
      </c>
      <c r="I929" s="5" t="s">
        <v>14</v>
      </c>
      <c r="J929" s="5" t="s">
        <v>5646</v>
      </c>
      <c r="K929" s="5" t="s">
        <v>2692</v>
      </c>
      <c r="L929" s="22"/>
      <c r="M929" s="8" t="str">
        <f t="shared" si="140"/>
        <v>Ok</v>
      </c>
      <c r="N929" s="9" t="b">
        <f t="shared" si="141"/>
        <v>1</v>
      </c>
      <c r="O929" s="9" t="b">
        <f t="shared" si="142"/>
        <v>0</v>
      </c>
      <c r="P929" s="8" t="str">
        <f t="shared" si="143"/>
        <v>FALSE</v>
      </c>
      <c r="Q929" s="8" t="str">
        <f t="shared" si="144"/>
        <v>FALSE</v>
      </c>
      <c r="R929" s="9" t="b">
        <f t="shared" si="145"/>
        <v>1</v>
      </c>
      <c r="S929" s="8" t="b">
        <f t="shared" si="146"/>
        <v>0</v>
      </c>
      <c r="T929" s="10" t="b">
        <f t="shared" si="147"/>
        <v>1</v>
      </c>
      <c r="U929" s="8" t="str">
        <f t="shared" si="148"/>
        <v>FALSE</v>
      </c>
      <c r="V929" s="11" t="str">
        <f t="shared" si="149"/>
        <v>TRUE</v>
      </c>
    </row>
    <row r="930" spans="1:22" ht="15.75">
      <c r="A930" s="21">
        <v>928</v>
      </c>
      <c r="B930" s="5" t="s">
        <v>2693</v>
      </c>
      <c r="C930" s="23" t="s">
        <v>2118</v>
      </c>
      <c r="D930" s="23" t="s">
        <v>17</v>
      </c>
      <c r="E930" s="5" t="s">
        <v>2694</v>
      </c>
      <c r="F930" s="71" t="s">
        <v>6107</v>
      </c>
      <c r="G930" s="22" t="s">
        <v>85</v>
      </c>
      <c r="H930" s="5" t="s">
        <v>86</v>
      </c>
      <c r="I930" s="5" t="s">
        <v>56</v>
      </c>
      <c r="J930" s="5" t="s">
        <v>5205</v>
      </c>
      <c r="K930" s="5" t="s">
        <v>2695</v>
      </c>
      <c r="L930" s="22"/>
      <c r="M930" s="8" t="str">
        <f t="shared" si="140"/>
        <v>Ok</v>
      </c>
      <c r="N930" s="9" t="b">
        <f t="shared" si="141"/>
        <v>0</v>
      </c>
      <c r="O930" s="9" t="b">
        <f t="shared" si="142"/>
        <v>1</v>
      </c>
      <c r="P930" s="8" t="str">
        <f t="shared" si="143"/>
        <v>FALSE</v>
      </c>
      <c r="Q930" s="8" t="str">
        <f t="shared" si="144"/>
        <v>FALSE</v>
      </c>
      <c r="R930" s="9" t="b">
        <f t="shared" si="145"/>
        <v>1</v>
      </c>
      <c r="S930" s="8" t="b">
        <f t="shared" si="146"/>
        <v>0</v>
      </c>
      <c r="T930" s="10" t="b">
        <f t="shared" si="147"/>
        <v>1</v>
      </c>
      <c r="U930" s="8" t="str">
        <f t="shared" si="148"/>
        <v>TRUE</v>
      </c>
      <c r="V930" s="11" t="str">
        <f t="shared" si="149"/>
        <v>TRUE</v>
      </c>
    </row>
    <row r="931" spans="1:22" ht="15.75">
      <c r="A931" s="21">
        <v>929</v>
      </c>
      <c r="B931" s="5" t="s">
        <v>2696</v>
      </c>
      <c r="C931" s="23" t="s">
        <v>3427</v>
      </c>
      <c r="D931" s="23" t="s">
        <v>17</v>
      </c>
      <c r="E931" s="5" t="s">
        <v>2697</v>
      </c>
      <c r="F931" s="71" t="s">
        <v>6107</v>
      </c>
      <c r="G931" s="22" t="s">
        <v>216</v>
      </c>
      <c r="H931" s="5" t="s">
        <v>217</v>
      </c>
      <c r="I931" s="5" t="s">
        <v>42</v>
      </c>
      <c r="J931" s="5" t="s">
        <v>4988</v>
      </c>
      <c r="K931" s="5" t="s">
        <v>2698</v>
      </c>
      <c r="L931" s="22"/>
      <c r="M931" s="8" t="str">
        <f t="shared" si="140"/>
        <v>Ok</v>
      </c>
      <c r="N931" s="9" t="b">
        <f t="shared" si="141"/>
        <v>1</v>
      </c>
      <c r="O931" s="9" t="b">
        <f t="shared" si="142"/>
        <v>1</v>
      </c>
      <c r="P931" s="8" t="str">
        <f t="shared" si="143"/>
        <v>FALSE</v>
      </c>
      <c r="Q931" s="8" t="str">
        <f t="shared" si="144"/>
        <v>FALSE</v>
      </c>
      <c r="R931" s="9" t="b">
        <f t="shared" si="145"/>
        <v>0</v>
      </c>
      <c r="S931" s="8" t="b">
        <f t="shared" si="146"/>
        <v>0</v>
      </c>
      <c r="T931" s="10" t="b">
        <f t="shared" si="147"/>
        <v>1</v>
      </c>
      <c r="U931" s="8" t="str">
        <f t="shared" si="148"/>
        <v>TRUE</v>
      </c>
      <c r="V931" s="11" t="str">
        <f t="shared" si="149"/>
        <v>TRUE</v>
      </c>
    </row>
    <row r="932" spans="1:22" ht="15.75">
      <c r="A932" s="21">
        <v>930</v>
      </c>
      <c r="B932" s="5" t="s">
        <v>2699</v>
      </c>
      <c r="C932" s="23" t="s">
        <v>3188</v>
      </c>
      <c r="D932" s="23" t="s">
        <v>77</v>
      </c>
      <c r="E932" s="5" t="s">
        <v>2700</v>
      </c>
      <c r="F932" s="71" t="s">
        <v>6107</v>
      </c>
      <c r="G932" s="22" t="s">
        <v>66</v>
      </c>
      <c r="H932" s="5" t="s">
        <v>130</v>
      </c>
      <c r="I932" s="5" t="s">
        <v>14</v>
      </c>
      <c r="J932" s="5" t="s">
        <v>5549</v>
      </c>
      <c r="K932" s="5" t="s">
        <v>2701</v>
      </c>
      <c r="L932" s="22"/>
      <c r="M932" s="8" t="str">
        <f t="shared" si="140"/>
        <v>Ok</v>
      </c>
      <c r="N932" s="9" t="b">
        <f t="shared" si="141"/>
        <v>1</v>
      </c>
      <c r="O932" s="9" t="b">
        <f t="shared" si="142"/>
        <v>0</v>
      </c>
      <c r="P932" s="8" t="str">
        <f t="shared" si="143"/>
        <v>FALSE</v>
      </c>
      <c r="Q932" s="8" t="str">
        <f t="shared" si="144"/>
        <v>FALSE</v>
      </c>
      <c r="R932" s="9" t="b">
        <f t="shared" si="145"/>
        <v>0</v>
      </c>
      <c r="S932" s="8" t="b">
        <f t="shared" si="146"/>
        <v>0</v>
      </c>
      <c r="T932" s="10" t="b">
        <f t="shared" si="147"/>
        <v>1</v>
      </c>
      <c r="U932" s="8" t="str">
        <f t="shared" si="148"/>
        <v>FALSE</v>
      </c>
      <c r="V932" s="11" t="str">
        <f t="shared" si="149"/>
        <v>TRUE</v>
      </c>
    </row>
    <row r="933" spans="1:22" ht="15.75">
      <c r="A933" s="21">
        <v>931</v>
      </c>
      <c r="B933" s="5" t="s">
        <v>2702</v>
      </c>
      <c r="C933" s="23" t="s">
        <v>3065</v>
      </c>
      <c r="D933" s="23" t="s">
        <v>34</v>
      </c>
      <c r="E933" s="5" t="s">
        <v>2703</v>
      </c>
      <c r="F933" s="71" t="s">
        <v>6107</v>
      </c>
      <c r="G933" s="22" t="s">
        <v>74</v>
      </c>
      <c r="H933" s="5" t="s">
        <v>41</v>
      </c>
      <c r="I933" s="5" t="s">
        <v>14</v>
      </c>
      <c r="J933" s="5" t="s">
        <v>5675</v>
      </c>
      <c r="K933" s="5" t="s">
        <v>2704</v>
      </c>
      <c r="L933" s="22"/>
      <c r="M933" s="8" t="str">
        <f t="shared" si="140"/>
        <v>Ok</v>
      </c>
      <c r="N933" s="9" t="b">
        <f t="shared" si="141"/>
        <v>0</v>
      </c>
      <c r="O933" s="9" t="b">
        <f t="shared" si="142"/>
        <v>0</v>
      </c>
      <c r="P933" s="8" t="str">
        <f t="shared" si="143"/>
        <v>FALSE</v>
      </c>
      <c r="Q933" s="8" t="str">
        <f t="shared" si="144"/>
        <v>FALSE</v>
      </c>
      <c r="R933" s="9" t="b">
        <f t="shared" si="145"/>
        <v>0</v>
      </c>
      <c r="S933" s="8" t="b">
        <f t="shared" si="146"/>
        <v>0</v>
      </c>
      <c r="T933" s="10" t="b">
        <f t="shared" si="147"/>
        <v>1</v>
      </c>
      <c r="U933" s="8" t="str">
        <f t="shared" si="148"/>
        <v>FALSE</v>
      </c>
      <c r="V933" s="11" t="str">
        <f t="shared" si="149"/>
        <v>FALSE</v>
      </c>
    </row>
    <row r="934" spans="1:22" ht="15.75">
      <c r="A934" s="21">
        <v>932</v>
      </c>
      <c r="B934" s="5" t="s">
        <v>2705</v>
      </c>
      <c r="C934" s="23" t="s">
        <v>3534</v>
      </c>
      <c r="D934" s="23" t="s">
        <v>77</v>
      </c>
      <c r="E934" s="5" t="s">
        <v>2706</v>
      </c>
      <c r="F934" s="71" t="s">
        <v>6107</v>
      </c>
      <c r="G934" s="22" t="s">
        <v>160</v>
      </c>
      <c r="H934" s="5" t="s">
        <v>3932</v>
      </c>
      <c r="I934" s="5" t="s">
        <v>67</v>
      </c>
      <c r="J934" s="5" t="s">
        <v>5107</v>
      </c>
      <c r="K934" s="5" t="s">
        <v>2707</v>
      </c>
      <c r="L934" s="22"/>
      <c r="M934" s="8" t="str">
        <f t="shared" si="140"/>
        <v>Ok</v>
      </c>
      <c r="N934" s="9" t="b">
        <f t="shared" si="141"/>
        <v>1</v>
      </c>
      <c r="O934" s="9" t="b">
        <f t="shared" si="142"/>
        <v>0</v>
      </c>
      <c r="P934" s="8" t="str">
        <f t="shared" si="143"/>
        <v>FALSE</v>
      </c>
      <c r="Q934" s="8" t="str">
        <f t="shared" si="144"/>
        <v>FALSE</v>
      </c>
      <c r="R934" s="9" t="b">
        <f t="shared" si="145"/>
        <v>0</v>
      </c>
      <c r="S934" s="8" t="b">
        <f t="shared" si="146"/>
        <v>0</v>
      </c>
      <c r="T934" s="10" t="b">
        <f t="shared" si="147"/>
        <v>0</v>
      </c>
      <c r="U934" s="8" t="str">
        <f t="shared" si="148"/>
        <v>TRUE</v>
      </c>
      <c r="V934" s="11" t="str">
        <f t="shared" si="149"/>
        <v>FALSE</v>
      </c>
    </row>
    <row r="935" spans="1:22" ht="15.75">
      <c r="A935" s="21">
        <v>933</v>
      </c>
      <c r="B935" s="5" t="s">
        <v>2708</v>
      </c>
      <c r="C935" s="23" t="s">
        <v>2966</v>
      </c>
      <c r="D935" s="23" t="s">
        <v>17</v>
      </c>
      <c r="E935" s="5" t="s">
        <v>2709</v>
      </c>
      <c r="F935" s="71" t="s">
        <v>6107</v>
      </c>
      <c r="G935" s="22" t="s">
        <v>85</v>
      </c>
      <c r="H935" s="5" t="s">
        <v>120</v>
      </c>
      <c r="I935" s="5" t="s">
        <v>14</v>
      </c>
      <c r="J935" s="5" t="s">
        <v>5505</v>
      </c>
      <c r="K935" s="5" t="s">
        <v>2710</v>
      </c>
      <c r="L935" s="22"/>
      <c r="M935" s="8" t="str">
        <f t="shared" si="140"/>
        <v>Ok</v>
      </c>
      <c r="N935" s="9" t="b">
        <f t="shared" si="141"/>
        <v>0</v>
      </c>
      <c r="O935" s="9" t="b">
        <f t="shared" si="142"/>
        <v>1</v>
      </c>
      <c r="P935" s="8" t="str">
        <f t="shared" si="143"/>
        <v>FALSE</v>
      </c>
      <c r="Q935" s="8" t="str">
        <f t="shared" si="144"/>
        <v>FALSE</v>
      </c>
      <c r="R935" s="9" t="b">
        <f t="shared" si="145"/>
        <v>1</v>
      </c>
      <c r="S935" s="8" t="b">
        <f t="shared" si="146"/>
        <v>1</v>
      </c>
      <c r="T935" s="10" t="b">
        <f t="shared" si="147"/>
        <v>1</v>
      </c>
      <c r="U935" s="8" t="str">
        <f t="shared" si="148"/>
        <v>FALSE</v>
      </c>
      <c r="V935" s="11" t="str">
        <f t="shared" si="149"/>
        <v>TRUE</v>
      </c>
    </row>
    <row r="936" spans="1:22" ht="15.75">
      <c r="A936" s="21">
        <v>934</v>
      </c>
      <c r="B936" s="5" t="s">
        <v>3965</v>
      </c>
      <c r="C936" s="23" t="s">
        <v>3428</v>
      </c>
      <c r="D936" s="23" t="s">
        <v>17</v>
      </c>
      <c r="E936" s="5" t="s">
        <v>2711</v>
      </c>
      <c r="F936" s="71" t="s">
        <v>6107</v>
      </c>
      <c r="G936" s="22" t="s">
        <v>93</v>
      </c>
      <c r="H936" s="5" t="s">
        <v>217</v>
      </c>
      <c r="I936" s="5" t="s">
        <v>26</v>
      </c>
      <c r="J936" s="5" t="s">
        <v>4967</v>
      </c>
      <c r="K936" s="5" t="s">
        <v>2712</v>
      </c>
      <c r="L936" s="22"/>
      <c r="M936" s="8" t="str">
        <f t="shared" si="140"/>
        <v>Ok</v>
      </c>
      <c r="N936" s="9" t="b">
        <f t="shared" si="141"/>
        <v>1</v>
      </c>
      <c r="O936" s="9" t="b">
        <f t="shared" si="142"/>
        <v>1</v>
      </c>
      <c r="P936" s="8" t="str">
        <f t="shared" si="143"/>
        <v>FALSE</v>
      </c>
      <c r="Q936" s="8" t="str">
        <f t="shared" si="144"/>
        <v>FALSE</v>
      </c>
      <c r="R936" s="9" t="b">
        <f t="shared" si="145"/>
        <v>0</v>
      </c>
      <c r="S936" s="8" t="b">
        <f t="shared" si="146"/>
        <v>0</v>
      </c>
      <c r="T936" s="10" t="b">
        <f t="shared" si="147"/>
        <v>0</v>
      </c>
      <c r="U936" s="8" t="str">
        <f t="shared" si="148"/>
        <v>TRUE</v>
      </c>
      <c r="V936" s="11" t="str">
        <f t="shared" si="149"/>
        <v>FALSE</v>
      </c>
    </row>
    <row r="937" spans="1:22" ht="15.75">
      <c r="A937" s="21">
        <v>935</v>
      </c>
      <c r="B937" s="5" t="s">
        <v>2713</v>
      </c>
      <c r="C937" s="23" t="s">
        <v>3189</v>
      </c>
      <c r="D937" s="23" t="s">
        <v>77</v>
      </c>
      <c r="E937" s="5" t="s">
        <v>2714</v>
      </c>
      <c r="F937" s="71" t="s">
        <v>6107</v>
      </c>
      <c r="G937" s="22" t="s">
        <v>198</v>
      </c>
      <c r="H937" s="5" t="s">
        <v>130</v>
      </c>
      <c r="I937" s="5" t="s">
        <v>42</v>
      </c>
      <c r="J937" s="5" t="s">
        <v>5286</v>
      </c>
      <c r="K937" s="5" t="s">
        <v>2715</v>
      </c>
      <c r="L937" s="22"/>
      <c r="M937" s="8" t="str">
        <f t="shared" si="140"/>
        <v>Ok</v>
      </c>
      <c r="N937" s="9" t="b">
        <f t="shared" si="141"/>
        <v>1</v>
      </c>
      <c r="O937" s="9" t="b">
        <f t="shared" si="142"/>
        <v>0</v>
      </c>
      <c r="P937" s="8" t="str">
        <f t="shared" si="143"/>
        <v>FALSE</v>
      </c>
      <c r="Q937" s="8" t="str">
        <f t="shared" si="144"/>
        <v>FALSE</v>
      </c>
      <c r="R937" s="9" t="b">
        <f t="shared" si="145"/>
        <v>1</v>
      </c>
      <c r="S937" s="8" t="b">
        <f t="shared" si="146"/>
        <v>0</v>
      </c>
      <c r="T937" s="10" t="b">
        <f t="shared" si="147"/>
        <v>1</v>
      </c>
      <c r="U937" s="8" t="str">
        <f t="shared" si="148"/>
        <v>TRUE</v>
      </c>
      <c r="V937" s="11" t="str">
        <f t="shared" si="149"/>
        <v>TRUE</v>
      </c>
    </row>
    <row r="938" spans="1:22" ht="15.75">
      <c r="A938" s="21">
        <v>936</v>
      </c>
      <c r="B938" s="5" t="s">
        <v>2716</v>
      </c>
      <c r="C938" s="23" t="s">
        <v>2968</v>
      </c>
      <c r="D938" s="23" t="s">
        <v>17</v>
      </c>
      <c r="E938" s="5" t="s">
        <v>2717</v>
      </c>
      <c r="F938" s="71" t="s">
        <v>6107</v>
      </c>
      <c r="G938" s="22" t="s">
        <v>74</v>
      </c>
      <c r="H938" s="5" t="s">
        <v>41</v>
      </c>
      <c r="I938" s="5" t="s">
        <v>14</v>
      </c>
      <c r="J938" s="5" t="s">
        <v>4889</v>
      </c>
      <c r="K938" s="5" t="s">
        <v>2718</v>
      </c>
      <c r="L938" s="22"/>
      <c r="M938" s="8" t="str">
        <f t="shared" si="140"/>
        <v>Ok</v>
      </c>
      <c r="N938" s="9" t="b">
        <f t="shared" si="141"/>
        <v>0</v>
      </c>
      <c r="O938" s="9" t="b">
        <f t="shared" si="142"/>
        <v>1</v>
      </c>
      <c r="P938" s="8" t="str">
        <f t="shared" si="143"/>
        <v>FALSE</v>
      </c>
      <c r="Q938" s="8" t="str">
        <f t="shared" si="144"/>
        <v>FALSE</v>
      </c>
      <c r="R938" s="9" t="b">
        <f t="shared" si="145"/>
        <v>0</v>
      </c>
      <c r="S938" s="8" t="b">
        <f t="shared" si="146"/>
        <v>0</v>
      </c>
      <c r="T938" s="10" t="b">
        <f t="shared" si="147"/>
        <v>1</v>
      </c>
      <c r="U938" s="8" t="str">
        <f t="shared" si="148"/>
        <v>TRUE</v>
      </c>
      <c r="V938" s="11" t="str">
        <f t="shared" si="149"/>
        <v>TRUE</v>
      </c>
    </row>
    <row r="939" spans="1:22" ht="15.75">
      <c r="A939" s="21">
        <v>937</v>
      </c>
      <c r="B939" s="5" t="s">
        <v>2719</v>
      </c>
      <c r="C939" s="23" t="s">
        <v>3066</v>
      </c>
      <c r="D939" s="23" t="s">
        <v>34</v>
      </c>
      <c r="E939" s="5" t="s">
        <v>2720</v>
      </c>
      <c r="F939" s="71" t="s">
        <v>6107</v>
      </c>
      <c r="G939" s="22" t="s">
        <v>40</v>
      </c>
      <c r="H939" s="5" t="s">
        <v>71</v>
      </c>
      <c r="I939" s="5" t="s">
        <v>50</v>
      </c>
      <c r="J939" s="5" t="s">
        <v>4879</v>
      </c>
      <c r="K939" s="5" t="s">
        <v>2721</v>
      </c>
      <c r="L939" s="22"/>
      <c r="M939" s="8" t="str">
        <f t="shared" si="140"/>
        <v>Ok</v>
      </c>
      <c r="N939" s="9" t="b">
        <f t="shared" si="141"/>
        <v>0</v>
      </c>
      <c r="O939" s="9" t="b">
        <f t="shared" si="142"/>
        <v>0</v>
      </c>
      <c r="P939" s="8" t="str">
        <f t="shared" si="143"/>
        <v>FALSE</v>
      </c>
      <c r="Q939" s="8" t="str">
        <f t="shared" si="144"/>
        <v>FALSE</v>
      </c>
      <c r="R939" s="9" t="b">
        <f t="shared" si="145"/>
        <v>1</v>
      </c>
      <c r="S939" s="8" t="b">
        <f t="shared" si="146"/>
        <v>1</v>
      </c>
      <c r="T939" s="10" t="b">
        <f t="shared" si="147"/>
        <v>0</v>
      </c>
      <c r="U939" s="8" t="str">
        <f t="shared" si="148"/>
        <v>TRUE</v>
      </c>
      <c r="V939" s="11" t="str">
        <f t="shared" si="149"/>
        <v>TRUE</v>
      </c>
    </row>
    <row r="940" spans="1:22" ht="15.75">
      <c r="A940" s="21">
        <v>938</v>
      </c>
      <c r="B940" s="5" t="s">
        <v>2722</v>
      </c>
      <c r="C940" s="23" t="s">
        <v>3535</v>
      </c>
      <c r="D940" s="23" t="s">
        <v>77</v>
      </c>
      <c r="E940" s="5" t="s">
        <v>2723</v>
      </c>
      <c r="F940" s="71" t="s">
        <v>6107</v>
      </c>
      <c r="G940" s="22" t="s">
        <v>54</v>
      </c>
      <c r="H940" s="5" t="s">
        <v>140</v>
      </c>
      <c r="I940" s="5" t="s">
        <v>26</v>
      </c>
      <c r="J940" s="5" t="s">
        <v>5678</v>
      </c>
      <c r="K940" s="5" t="s">
        <v>2724</v>
      </c>
      <c r="L940" s="22"/>
      <c r="M940" s="8" t="str">
        <f t="shared" si="140"/>
        <v>Ok</v>
      </c>
      <c r="N940" s="9" t="b">
        <f t="shared" si="141"/>
        <v>1</v>
      </c>
      <c r="O940" s="9" t="b">
        <f t="shared" si="142"/>
        <v>0</v>
      </c>
      <c r="P940" s="8" t="str">
        <f t="shared" si="143"/>
        <v>FALSE</v>
      </c>
      <c r="Q940" s="8" t="str">
        <f t="shared" si="144"/>
        <v>FALSE</v>
      </c>
      <c r="R940" s="9" t="b">
        <f t="shared" si="145"/>
        <v>1</v>
      </c>
      <c r="S940" s="8" t="b">
        <f t="shared" si="146"/>
        <v>1</v>
      </c>
      <c r="T940" s="10" t="b">
        <f t="shared" si="147"/>
        <v>0</v>
      </c>
      <c r="U940" s="8" t="str">
        <f t="shared" si="148"/>
        <v>FALSE</v>
      </c>
      <c r="V940" s="11" t="str">
        <f t="shared" si="149"/>
        <v>TRUE</v>
      </c>
    </row>
    <row r="941" spans="1:22" ht="15.75">
      <c r="A941" s="21">
        <v>939</v>
      </c>
      <c r="B941" s="5" t="s">
        <v>2725</v>
      </c>
      <c r="C941" s="23" t="s">
        <v>3753</v>
      </c>
      <c r="D941" s="23" t="s">
        <v>59</v>
      </c>
      <c r="E941" s="5" t="s">
        <v>2726</v>
      </c>
      <c r="F941" s="71" t="s">
        <v>6107</v>
      </c>
      <c r="G941" s="22" t="s">
        <v>3934</v>
      </c>
      <c r="H941" s="5" t="s">
        <v>13</v>
      </c>
      <c r="I941" s="5" t="s">
        <v>50</v>
      </c>
      <c r="J941" s="5" t="s">
        <v>5130</v>
      </c>
      <c r="K941" s="5" t="s">
        <v>2727</v>
      </c>
      <c r="L941" s="22"/>
      <c r="M941" s="8" t="str">
        <f t="shared" si="140"/>
        <v>Ok</v>
      </c>
      <c r="N941" s="9" t="b">
        <f t="shared" si="141"/>
        <v>0</v>
      </c>
      <c r="O941" s="9" t="b">
        <f t="shared" si="142"/>
        <v>1</v>
      </c>
      <c r="P941" s="8" t="str">
        <f t="shared" si="143"/>
        <v>FALSE</v>
      </c>
      <c r="Q941" s="8" t="str">
        <f t="shared" si="144"/>
        <v>FALSE</v>
      </c>
      <c r="R941" s="9" t="b">
        <f t="shared" si="145"/>
        <v>0</v>
      </c>
      <c r="S941" s="8" t="b">
        <f t="shared" si="146"/>
        <v>0</v>
      </c>
      <c r="T941" s="10" t="b">
        <f t="shared" si="147"/>
        <v>0</v>
      </c>
      <c r="U941" s="8" t="str">
        <f t="shared" si="148"/>
        <v>TRUE</v>
      </c>
      <c r="V941" s="11" t="str">
        <f t="shared" si="149"/>
        <v>TRUE</v>
      </c>
    </row>
    <row r="942" spans="1:22" ht="15.75">
      <c r="A942" s="21">
        <v>940</v>
      </c>
      <c r="B942" s="5" t="s">
        <v>2728</v>
      </c>
      <c r="C942" s="23" t="s">
        <v>3650</v>
      </c>
      <c r="D942" s="23" t="s">
        <v>59</v>
      </c>
      <c r="E942" s="5" t="s">
        <v>2729</v>
      </c>
      <c r="F942" s="71" t="s">
        <v>6107</v>
      </c>
      <c r="G942" s="22" t="s">
        <v>179</v>
      </c>
      <c r="H942" s="5" t="s">
        <v>36</v>
      </c>
      <c r="I942" s="5" t="s">
        <v>56</v>
      </c>
      <c r="J942" s="5" t="s">
        <v>5151</v>
      </c>
      <c r="K942" s="5" t="s">
        <v>2730</v>
      </c>
      <c r="L942" s="22"/>
      <c r="M942" s="8" t="str">
        <f t="shared" si="140"/>
        <v>Ok</v>
      </c>
      <c r="N942" s="9" t="b">
        <f t="shared" si="141"/>
        <v>1</v>
      </c>
      <c r="O942" s="9" t="b">
        <f t="shared" si="142"/>
        <v>1</v>
      </c>
      <c r="P942" s="8" t="str">
        <f t="shared" si="143"/>
        <v>FALSE</v>
      </c>
      <c r="Q942" s="8" t="str">
        <f t="shared" si="144"/>
        <v>FALSE</v>
      </c>
      <c r="R942" s="9" t="b">
        <f t="shared" si="145"/>
        <v>1</v>
      </c>
      <c r="S942" s="8" t="b">
        <f t="shared" si="146"/>
        <v>1</v>
      </c>
      <c r="T942" s="10" t="b">
        <f t="shared" si="147"/>
        <v>1</v>
      </c>
      <c r="U942" s="8" t="str">
        <f t="shared" si="148"/>
        <v>TRUE</v>
      </c>
      <c r="V942" s="11" t="str">
        <f t="shared" si="149"/>
        <v>TRUE</v>
      </c>
    </row>
    <row r="943" spans="1:22" ht="15.75">
      <c r="A943" s="21">
        <v>941</v>
      </c>
      <c r="B943" s="5" t="s">
        <v>2731</v>
      </c>
      <c r="C943" s="23" t="s">
        <v>3067</v>
      </c>
      <c r="D943" s="23" t="s">
        <v>34</v>
      </c>
      <c r="E943" s="5" t="s">
        <v>2732</v>
      </c>
      <c r="F943" s="71" t="s">
        <v>6107</v>
      </c>
      <c r="G943" s="22" t="s">
        <v>179</v>
      </c>
      <c r="H943" s="5" t="s">
        <v>3932</v>
      </c>
      <c r="I943" s="5" t="s">
        <v>56</v>
      </c>
      <c r="J943" s="5" t="s">
        <v>4959</v>
      </c>
      <c r="K943" s="5" t="s">
        <v>2733</v>
      </c>
      <c r="L943" s="22"/>
      <c r="M943" s="8" t="str">
        <f t="shared" si="140"/>
        <v>Ok</v>
      </c>
      <c r="N943" s="9" t="b">
        <f t="shared" si="141"/>
        <v>0</v>
      </c>
      <c r="O943" s="9" t="b">
        <f t="shared" si="142"/>
        <v>0</v>
      </c>
      <c r="P943" s="8" t="str">
        <f t="shared" si="143"/>
        <v>FALSE</v>
      </c>
      <c r="Q943" s="8" t="str">
        <f t="shared" si="144"/>
        <v>FALSE</v>
      </c>
      <c r="R943" s="9" t="b">
        <f t="shared" si="145"/>
        <v>1</v>
      </c>
      <c r="S943" s="8" t="b">
        <f t="shared" si="146"/>
        <v>0</v>
      </c>
      <c r="T943" s="10" t="b">
        <f t="shared" si="147"/>
        <v>1</v>
      </c>
      <c r="U943" s="8" t="str">
        <f t="shared" si="148"/>
        <v>TRUE</v>
      </c>
      <c r="V943" s="11" t="str">
        <f t="shared" si="149"/>
        <v>TRUE</v>
      </c>
    </row>
    <row r="944" spans="1:22" ht="15.75">
      <c r="A944" s="21">
        <v>942</v>
      </c>
      <c r="B944" s="5" t="s">
        <v>2734</v>
      </c>
      <c r="C944" s="23" t="s">
        <v>3754</v>
      </c>
      <c r="D944" s="23" t="s">
        <v>59</v>
      </c>
      <c r="E944" s="5" t="s">
        <v>2735</v>
      </c>
      <c r="F944" s="71" t="s">
        <v>6107</v>
      </c>
      <c r="G944" s="22" t="s">
        <v>3934</v>
      </c>
      <c r="H944" s="5" t="s">
        <v>13</v>
      </c>
      <c r="I944" s="5" t="s">
        <v>42</v>
      </c>
      <c r="J944" s="5" t="s">
        <v>5179</v>
      </c>
      <c r="K944" s="5" t="s">
        <v>2736</v>
      </c>
      <c r="L944" s="22"/>
      <c r="M944" s="8" t="str">
        <f t="shared" si="140"/>
        <v>Ok</v>
      </c>
      <c r="N944" s="9" t="b">
        <f t="shared" si="141"/>
        <v>0</v>
      </c>
      <c r="O944" s="9" t="b">
        <f t="shared" si="142"/>
        <v>1</v>
      </c>
      <c r="P944" s="8" t="str">
        <f t="shared" si="143"/>
        <v>FALSE</v>
      </c>
      <c r="Q944" s="8" t="str">
        <f t="shared" si="144"/>
        <v>FALSE</v>
      </c>
      <c r="R944" s="9" t="b">
        <f t="shared" si="145"/>
        <v>0</v>
      </c>
      <c r="S944" s="8" t="b">
        <f t="shared" si="146"/>
        <v>0</v>
      </c>
      <c r="T944" s="10" t="b">
        <f t="shared" si="147"/>
        <v>1</v>
      </c>
      <c r="U944" s="8" t="str">
        <f t="shared" si="148"/>
        <v>TRUE</v>
      </c>
      <c r="V944" s="11" t="str">
        <f t="shared" si="149"/>
        <v>TRUE</v>
      </c>
    </row>
    <row r="945" spans="1:22" ht="15.75">
      <c r="A945" s="21">
        <v>943</v>
      </c>
      <c r="B945" s="5" t="s">
        <v>2737</v>
      </c>
      <c r="C945" s="23" t="s">
        <v>3068</v>
      </c>
      <c r="D945" s="23" t="s">
        <v>34</v>
      </c>
      <c r="E945" s="5" t="s">
        <v>2738</v>
      </c>
      <c r="F945" s="71" t="s">
        <v>6107</v>
      </c>
      <c r="G945" s="22" t="s">
        <v>74</v>
      </c>
      <c r="H945" s="5" t="s">
        <v>71</v>
      </c>
      <c r="I945" s="5" t="s">
        <v>50</v>
      </c>
      <c r="J945" s="5" t="s">
        <v>4918</v>
      </c>
      <c r="K945" s="5" t="s">
        <v>2739</v>
      </c>
      <c r="L945" s="22"/>
      <c r="M945" s="8" t="str">
        <f t="shared" si="140"/>
        <v>Ok</v>
      </c>
      <c r="N945" s="9" t="b">
        <f t="shared" si="141"/>
        <v>0</v>
      </c>
      <c r="O945" s="9" t="b">
        <f t="shared" si="142"/>
        <v>0</v>
      </c>
      <c r="P945" s="8" t="str">
        <f t="shared" si="143"/>
        <v>FALSE</v>
      </c>
      <c r="Q945" s="8" t="str">
        <f t="shared" si="144"/>
        <v>FALSE</v>
      </c>
      <c r="R945" s="9" t="b">
        <f t="shared" si="145"/>
        <v>0</v>
      </c>
      <c r="S945" s="8" t="b">
        <f t="shared" si="146"/>
        <v>1</v>
      </c>
      <c r="T945" s="10" t="b">
        <f t="shared" si="147"/>
        <v>0</v>
      </c>
      <c r="U945" s="8" t="str">
        <f t="shared" si="148"/>
        <v>TRUE</v>
      </c>
      <c r="V945" s="11" t="str">
        <f t="shared" si="149"/>
        <v>TRUE</v>
      </c>
    </row>
    <row r="946" spans="1:22" ht="15.75">
      <c r="A946" s="21">
        <v>944</v>
      </c>
      <c r="B946" s="5" t="s">
        <v>2740</v>
      </c>
      <c r="C946" s="23" t="s">
        <v>3276</v>
      </c>
      <c r="D946" s="23" t="s">
        <v>77</v>
      </c>
      <c r="E946" s="5" t="s">
        <v>1784</v>
      </c>
      <c r="F946" s="71" t="s">
        <v>6107</v>
      </c>
      <c r="G946" s="22" t="s">
        <v>179</v>
      </c>
      <c r="H946" s="5" t="s">
        <v>3932</v>
      </c>
      <c r="I946" s="5" t="s">
        <v>56</v>
      </c>
      <c r="J946" s="5" t="s">
        <v>5721</v>
      </c>
      <c r="K946" s="5" t="s">
        <v>2741</v>
      </c>
      <c r="L946" s="22"/>
      <c r="M946" s="8" t="str">
        <f t="shared" si="140"/>
        <v>Ok</v>
      </c>
      <c r="N946" s="9" t="b">
        <f t="shared" si="141"/>
        <v>1</v>
      </c>
      <c r="O946" s="9" t="b">
        <f t="shared" si="142"/>
        <v>0</v>
      </c>
      <c r="P946" s="8" t="str">
        <f t="shared" si="143"/>
        <v>FALSE</v>
      </c>
      <c r="Q946" s="8" t="str">
        <f t="shared" si="144"/>
        <v>FALSE</v>
      </c>
      <c r="R946" s="9" t="b">
        <f t="shared" si="145"/>
        <v>1</v>
      </c>
      <c r="S946" s="8" t="b">
        <f t="shared" si="146"/>
        <v>0</v>
      </c>
      <c r="T946" s="10" t="b">
        <f t="shared" si="147"/>
        <v>1</v>
      </c>
      <c r="U946" s="8" t="str">
        <f t="shared" si="148"/>
        <v>FALSE</v>
      </c>
      <c r="V946" s="11" t="str">
        <f t="shared" si="149"/>
        <v>TRUE</v>
      </c>
    </row>
    <row r="947" spans="1:22" ht="15.75">
      <c r="A947" s="21">
        <v>945</v>
      </c>
      <c r="B947" s="5" t="s">
        <v>2742</v>
      </c>
      <c r="C947" s="23" t="s">
        <v>3859</v>
      </c>
      <c r="D947" s="23" t="s">
        <v>59</v>
      </c>
      <c r="E947" s="5" t="s">
        <v>2743</v>
      </c>
      <c r="F947" s="71" t="s">
        <v>6107</v>
      </c>
      <c r="G947" s="22" t="s">
        <v>144</v>
      </c>
      <c r="H947" s="5" t="s">
        <v>25</v>
      </c>
      <c r="I947" s="5" t="s">
        <v>67</v>
      </c>
      <c r="J947" s="5" t="s">
        <v>4922</v>
      </c>
      <c r="K947" s="5">
        <v>867290995</v>
      </c>
      <c r="L947" s="22"/>
      <c r="M947" s="8" t="str">
        <f t="shared" si="140"/>
        <v>Ok</v>
      </c>
      <c r="N947" s="9" t="b">
        <f t="shared" si="141"/>
        <v>0</v>
      </c>
      <c r="O947" s="9" t="b">
        <f t="shared" si="142"/>
        <v>1</v>
      </c>
      <c r="P947" s="8" t="str">
        <f t="shared" si="143"/>
        <v>FALSE</v>
      </c>
      <c r="Q947" s="8" t="str">
        <f t="shared" si="144"/>
        <v>FALSE</v>
      </c>
      <c r="R947" s="9" t="b">
        <f t="shared" si="145"/>
        <v>1</v>
      </c>
      <c r="S947" s="8" t="b">
        <f t="shared" si="146"/>
        <v>0</v>
      </c>
      <c r="T947" s="10" t="b">
        <f t="shared" si="147"/>
        <v>0</v>
      </c>
      <c r="U947" s="8" t="str">
        <f t="shared" si="148"/>
        <v>TRUE</v>
      </c>
      <c r="V947" s="11" t="str">
        <f t="shared" si="149"/>
        <v>FALSE</v>
      </c>
    </row>
    <row r="948" spans="1:22" ht="15.75">
      <c r="A948" s="21">
        <v>946</v>
      </c>
      <c r="B948" s="5" t="s">
        <v>2744</v>
      </c>
      <c r="C948" s="23" t="s">
        <v>3323</v>
      </c>
      <c r="D948" s="23" t="s">
        <v>34</v>
      </c>
      <c r="E948" s="5" t="s">
        <v>2745</v>
      </c>
      <c r="F948" s="71" t="s">
        <v>6107</v>
      </c>
      <c r="G948" s="22" t="s">
        <v>179</v>
      </c>
      <c r="H948" s="5" t="s">
        <v>3932</v>
      </c>
      <c r="I948" s="5" t="s">
        <v>42</v>
      </c>
      <c r="J948" s="5" t="s">
        <v>5015</v>
      </c>
      <c r="K948" s="5" t="s">
        <v>2746</v>
      </c>
      <c r="L948" s="22"/>
      <c r="M948" s="8" t="str">
        <f t="shared" si="140"/>
        <v>Ok</v>
      </c>
      <c r="N948" s="9" t="b">
        <f t="shared" si="141"/>
        <v>1</v>
      </c>
      <c r="O948" s="9" t="b">
        <f t="shared" si="142"/>
        <v>0</v>
      </c>
      <c r="P948" s="8" t="str">
        <f t="shared" si="143"/>
        <v>FALSE</v>
      </c>
      <c r="Q948" s="8" t="str">
        <f t="shared" si="144"/>
        <v>FALSE</v>
      </c>
      <c r="R948" s="9" t="b">
        <f t="shared" si="145"/>
        <v>1</v>
      </c>
      <c r="S948" s="8" t="b">
        <f t="shared" si="146"/>
        <v>0</v>
      </c>
      <c r="T948" s="10" t="b">
        <f t="shared" si="147"/>
        <v>1</v>
      </c>
      <c r="U948" s="8" t="str">
        <f t="shared" si="148"/>
        <v>TRUE</v>
      </c>
      <c r="V948" s="11" t="str">
        <f t="shared" si="149"/>
        <v>TRUE</v>
      </c>
    </row>
    <row r="949" spans="1:22" ht="15.75">
      <c r="A949" s="21">
        <v>947</v>
      </c>
      <c r="B949" s="5" t="s">
        <v>2747</v>
      </c>
      <c r="C949" s="23" t="s">
        <v>3109</v>
      </c>
      <c r="D949" s="23" t="s">
        <v>77</v>
      </c>
      <c r="E949" s="5" t="s">
        <v>2748</v>
      </c>
      <c r="F949" s="71" t="s">
        <v>6107</v>
      </c>
      <c r="G949" s="22" t="s">
        <v>179</v>
      </c>
      <c r="H949" s="22" t="s">
        <v>3932</v>
      </c>
      <c r="I949" s="5" t="s">
        <v>56</v>
      </c>
      <c r="J949" s="5" t="s">
        <v>5550</v>
      </c>
      <c r="K949" s="5" t="s">
        <v>2749</v>
      </c>
      <c r="L949" s="22"/>
      <c r="M949" s="8" t="str">
        <f t="shared" si="140"/>
        <v>Ok</v>
      </c>
      <c r="N949" s="9" t="b">
        <f t="shared" si="141"/>
        <v>0</v>
      </c>
      <c r="O949" s="9" t="b">
        <f t="shared" si="142"/>
        <v>0</v>
      </c>
      <c r="P949" s="8" t="str">
        <f t="shared" si="143"/>
        <v>FALSE</v>
      </c>
      <c r="Q949" s="8" t="str">
        <f t="shared" si="144"/>
        <v>FALSE</v>
      </c>
      <c r="R949" s="9" t="b">
        <f t="shared" si="145"/>
        <v>1</v>
      </c>
      <c r="S949" s="8" t="b">
        <f t="shared" si="146"/>
        <v>0</v>
      </c>
      <c r="T949" s="10" t="b">
        <f t="shared" si="147"/>
        <v>1</v>
      </c>
      <c r="U949" s="8" t="str">
        <f t="shared" si="148"/>
        <v>FALSE</v>
      </c>
      <c r="V949" s="11" t="str">
        <f t="shared" si="149"/>
        <v>TRUE</v>
      </c>
    </row>
    <row r="950" spans="1:22" ht="15.75">
      <c r="A950" s="21">
        <v>948</v>
      </c>
      <c r="B950" s="5" t="s">
        <v>2750</v>
      </c>
      <c r="C950" s="23" t="s">
        <v>3755</v>
      </c>
      <c r="D950" s="23" t="s">
        <v>59</v>
      </c>
      <c r="E950" s="5" t="s">
        <v>2751</v>
      </c>
      <c r="F950" s="71" t="s">
        <v>6107</v>
      </c>
      <c r="G950" s="22" t="s">
        <v>3934</v>
      </c>
      <c r="H950" s="5" t="s">
        <v>13</v>
      </c>
      <c r="I950" s="5" t="s">
        <v>21</v>
      </c>
      <c r="J950" s="5" t="s">
        <v>5119</v>
      </c>
      <c r="K950" s="5" t="s">
        <v>2752</v>
      </c>
      <c r="L950" s="22"/>
      <c r="M950" s="8" t="str">
        <f t="shared" si="140"/>
        <v>Ok</v>
      </c>
      <c r="N950" s="9" t="b">
        <f t="shared" si="141"/>
        <v>0</v>
      </c>
      <c r="O950" s="9" t="b">
        <f t="shared" si="142"/>
        <v>1</v>
      </c>
      <c r="P950" s="8" t="str">
        <f t="shared" si="143"/>
        <v>FALSE</v>
      </c>
      <c r="Q950" s="8" t="str">
        <f t="shared" si="144"/>
        <v>FALSE</v>
      </c>
      <c r="R950" s="9" t="b">
        <f t="shared" si="145"/>
        <v>0</v>
      </c>
      <c r="S950" s="8" t="b">
        <f t="shared" si="146"/>
        <v>0</v>
      </c>
      <c r="T950" s="10" t="b">
        <f t="shared" si="147"/>
        <v>0</v>
      </c>
      <c r="U950" s="8" t="str">
        <f t="shared" si="148"/>
        <v>TRUE</v>
      </c>
      <c r="V950" s="11" t="str">
        <f t="shared" si="149"/>
        <v>TRUE</v>
      </c>
    </row>
    <row r="951" spans="1:22" ht="15.75">
      <c r="A951" s="21">
        <v>949</v>
      </c>
      <c r="B951" s="5" t="s">
        <v>2753</v>
      </c>
      <c r="C951" s="23" t="s">
        <v>3536</v>
      </c>
      <c r="D951" s="23" t="s">
        <v>77</v>
      </c>
      <c r="E951" s="5" t="s">
        <v>2754</v>
      </c>
      <c r="F951" s="71" t="s">
        <v>6107</v>
      </c>
      <c r="G951" s="22" t="s">
        <v>102</v>
      </c>
      <c r="H951" s="5" t="s">
        <v>55</v>
      </c>
      <c r="I951" s="5" t="s">
        <v>26</v>
      </c>
      <c r="J951" s="5" t="s">
        <v>4878</v>
      </c>
      <c r="K951" s="5" t="s">
        <v>2755</v>
      </c>
      <c r="L951" s="22"/>
      <c r="M951" s="8" t="str">
        <f t="shared" si="140"/>
        <v>Ok</v>
      </c>
      <c r="N951" s="9" t="b">
        <f t="shared" si="141"/>
        <v>1</v>
      </c>
      <c r="O951" s="9" t="b">
        <f t="shared" si="142"/>
        <v>0</v>
      </c>
      <c r="P951" s="8" t="str">
        <f t="shared" si="143"/>
        <v>FALSE</v>
      </c>
      <c r="Q951" s="8" t="str">
        <f t="shared" si="144"/>
        <v>FALSE</v>
      </c>
      <c r="R951" s="9" t="b">
        <f t="shared" si="145"/>
        <v>0</v>
      </c>
      <c r="S951" s="8" t="b">
        <f t="shared" si="146"/>
        <v>0</v>
      </c>
      <c r="T951" s="10" t="b">
        <f t="shared" si="147"/>
        <v>0</v>
      </c>
      <c r="U951" s="8" t="str">
        <f t="shared" si="148"/>
        <v>TRUE</v>
      </c>
      <c r="V951" s="11" t="str">
        <f t="shared" si="149"/>
        <v>TRUE</v>
      </c>
    </row>
    <row r="952" spans="1:22" ht="15.75">
      <c r="A952" s="21">
        <v>950</v>
      </c>
      <c r="B952" s="5" t="s">
        <v>2756</v>
      </c>
      <c r="C952" s="23" t="s">
        <v>3075</v>
      </c>
      <c r="D952" s="23" t="s">
        <v>59</v>
      </c>
      <c r="E952" s="5" t="s">
        <v>2757</v>
      </c>
      <c r="F952" s="71" t="s">
        <v>6107</v>
      </c>
      <c r="G952" s="22" t="s">
        <v>144</v>
      </c>
      <c r="H952" s="5" t="s">
        <v>25</v>
      </c>
      <c r="I952" s="5" t="s">
        <v>14</v>
      </c>
      <c r="J952" s="5" t="s">
        <v>5082</v>
      </c>
      <c r="K952" s="5" t="s">
        <v>2758</v>
      </c>
      <c r="L952" s="22"/>
      <c r="M952" s="8" t="str">
        <f t="shared" si="140"/>
        <v>Ok</v>
      </c>
      <c r="N952" s="9" t="b">
        <f t="shared" si="141"/>
        <v>0</v>
      </c>
      <c r="O952" s="9" t="b">
        <f t="shared" si="142"/>
        <v>1</v>
      </c>
      <c r="P952" s="8" t="str">
        <f t="shared" si="143"/>
        <v>FALSE</v>
      </c>
      <c r="Q952" s="8" t="str">
        <f t="shared" si="144"/>
        <v>FALSE</v>
      </c>
      <c r="R952" s="9" t="b">
        <f t="shared" si="145"/>
        <v>1</v>
      </c>
      <c r="S952" s="8" t="b">
        <f t="shared" si="146"/>
        <v>0</v>
      </c>
      <c r="T952" s="10" t="b">
        <f t="shared" si="147"/>
        <v>1</v>
      </c>
      <c r="U952" s="8" t="str">
        <f t="shared" si="148"/>
        <v>TRUE</v>
      </c>
      <c r="V952" s="11" t="str">
        <f t="shared" si="149"/>
        <v>TRUE</v>
      </c>
    </row>
    <row r="953" spans="1:22" ht="15.75">
      <c r="A953" s="21">
        <v>951</v>
      </c>
      <c r="B953" s="5" t="s">
        <v>2759</v>
      </c>
      <c r="C953" s="23" t="s">
        <v>3651</v>
      </c>
      <c r="D953" s="23" t="s">
        <v>59</v>
      </c>
      <c r="E953" s="5" t="s">
        <v>2760</v>
      </c>
      <c r="F953" s="71" t="s">
        <v>6107</v>
      </c>
      <c r="G953" s="22" t="s">
        <v>179</v>
      </c>
      <c r="H953" s="5" t="s">
        <v>36</v>
      </c>
      <c r="I953" s="5" t="s">
        <v>67</v>
      </c>
      <c r="J953" s="5" t="s">
        <v>5752</v>
      </c>
      <c r="K953" s="5" t="s">
        <v>2761</v>
      </c>
      <c r="L953" s="22"/>
      <c r="M953" s="8" t="str">
        <f t="shared" si="140"/>
        <v>Ok</v>
      </c>
      <c r="N953" s="9" t="b">
        <f t="shared" si="141"/>
        <v>1</v>
      </c>
      <c r="O953" s="9" t="b">
        <f t="shared" si="142"/>
        <v>1</v>
      </c>
      <c r="P953" s="8" t="str">
        <f t="shared" si="143"/>
        <v>FALSE</v>
      </c>
      <c r="Q953" s="8" t="str">
        <f t="shared" si="144"/>
        <v>FALSE</v>
      </c>
      <c r="R953" s="9" t="b">
        <f t="shared" si="145"/>
        <v>1</v>
      </c>
      <c r="S953" s="8" t="b">
        <f t="shared" si="146"/>
        <v>1</v>
      </c>
      <c r="T953" s="10" t="b">
        <f t="shared" si="147"/>
        <v>0</v>
      </c>
      <c r="U953" s="8" t="str">
        <f t="shared" si="148"/>
        <v>FALSE</v>
      </c>
      <c r="V953" s="11" t="str">
        <f t="shared" si="149"/>
        <v>TRUE</v>
      </c>
    </row>
    <row r="954" spans="1:22" ht="15.75">
      <c r="A954" s="21">
        <v>952</v>
      </c>
      <c r="B954" s="5" t="s">
        <v>2762</v>
      </c>
      <c r="C954" s="23" t="s">
        <v>3277</v>
      </c>
      <c r="D954" s="23" t="s">
        <v>77</v>
      </c>
      <c r="E954" s="5" t="s">
        <v>2763</v>
      </c>
      <c r="F954" s="71" t="s">
        <v>6107</v>
      </c>
      <c r="G954" s="22" t="s">
        <v>179</v>
      </c>
      <c r="H954" s="5" t="s">
        <v>3932</v>
      </c>
      <c r="I954" s="5" t="s">
        <v>50</v>
      </c>
      <c r="J954" s="5" t="s">
        <v>5612</v>
      </c>
      <c r="K954" s="5" t="s">
        <v>2764</v>
      </c>
      <c r="L954" s="22"/>
      <c r="M954" s="8" t="str">
        <f t="shared" si="140"/>
        <v>Ok</v>
      </c>
      <c r="N954" s="9" t="b">
        <f t="shared" si="141"/>
        <v>1</v>
      </c>
      <c r="O954" s="9" t="b">
        <f t="shared" si="142"/>
        <v>0</v>
      </c>
      <c r="P954" s="8" t="str">
        <f t="shared" si="143"/>
        <v>FALSE</v>
      </c>
      <c r="Q954" s="8" t="str">
        <f t="shared" si="144"/>
        <v>FALSE</v>
      </c>
      <c r="R954" s="9" t="b">
        <f t="shared" si="145"/>
        <v>1</v>
      </c>
      <c r="S954" s="8" t="b">
        <f t="shared" si="146"/>
        <v>0</v>
      </c>
      <c r="T954" s="10" t="b">
        <f t="shared" si="147"/>
        <v>0</v>
      </c>
      <c r="U954" s="8" t="str">
        <f t="shared" si="148"/>
        <v>FALSE</v>
      </c>
      <c r="V954" s="11" t="str">
        <f t="shared" si="149"/>
        <v>TRUE</v>
      </c>
    </row>
    <row r="955" spans="1:22" ht="15.75">
      <c r="A955" s="21">
        <v>953</v>
      </c>
      <c r="B955" s="5" t="s">
        <v>2765</v>
      </c>
      <c r="C955" s="23" t="s">
        <v>3860</v>
      </c>
      <c r="D955" s="23" t="s">
        <v>59</v>
      </c>
      <c r="E955" s="5" t="s">
        <v>2766</v>
      </c>
      <c r="F955" s="71" t="s">
        <v>6107</v>
      </c>
      <c r="G955" s="22" t="s">
        <v>144</v>
      </c>
      <c r="H955" s="5" t="s">
        <v>25</v>
      </c>
      <c r="I955" s="5" t="s">
        <v>56</v>
      </c>
      <c r="J955" s="5" t="s">
        <v>5248</v>
      </c>
      <c r="K955" s="5" t="s">
        <v>2767</v>
      </c>
      <c r="L955" s="22"/>
      <c r="M955" s="8" t="str">
        <f t="shared" si="140"/>
        <v>Ok</v>
      </c>
      <c r="N955" s="9" t="b">
        <f t="shared" si="141"/>
        <v>0</v>
      </c>
      <c r="O955" s="9" t="b">
        <f t="shared" si="142"/>
        <v>1</v>
      </c>
      <c r="P955" s="8" t="str">
        <f t="shared" si="143"/>
        <v>FALSE</v>
      </c>
      <c r="Q955" s="8" t="str">
        <f t="shared" si="144"/>
        <v>FALSE</v>
      </c>
      <c r="R955" s="9" t="b">
        <f t="shared" si="145"/>
        <v>1</v>
      </c>
      <c r="S955" s="8" t="b">
        <f t="shared" si="146"/>
        <v>0</v>
      </c>
      <c r="T955" s="10" t="b">
        <f t="shared" si="147"/>
        <v>1</v>
      </c>
      <c r="U955" s="8" t="str">
        <f t="shared" si="148"/>
        <v>TRUE</v>
      </c>
      <c r="V955" s="11" t="str">
        <f t="shared" si="149"/>
        <v>TRUE</v>
      </c>
    </row>
    <row r="956" spans="1:22" ht="15.75">
      <c r="A956" s="21">
        <v>954</v>
      </c>
      <c r="B956" s="5" t="s">
        <v>2768</v>
      </c>
      <c r="C956" s="23" t="s">
        <v>3110</v>
      </c>
      <c r="D956" s="23" t="s">
        <v>77</v>
      </c>
      <c r="E956" s="5" t="s">
        <v>2769</v>
      </c>
      <c r="F956" s="71" t="s">
        <v>6107</v>
      </c>
      <c r="G956" s="22" t="s">
        <v>19</v>
      </c>
      <c r="H956" s="5" t="s">
        <v>130</v>
      </c>
      <c r="I956" s="5" t="s">
        <v>50</v>
      </c>
      <c r="J956" s="5" t="s">
        <v>5650</v>
      </c>
      <c r="K956" s="5" t="s">
        <v>2770</v>
      </c>
      <c r="L956" s="22"/>
      <c r="M956" s="8" t="str">
        <f t="shared" si="140"/>
        <v>Ok</v>
      </c>
      <c r="N956" s="9" t="b">
        <f t="shared" si="141"/>
        <v>0</v>
      </c>
      <c r="O956" s="9" t="b">
        <f t="shared" si="142"/>
        <v>0</v>
      </c>
      <c r="P956" s="8" t="str">
        <f t="shared" si="143"/>
        <v>FALSE</v>
      </c>
      <c r="Q956" s="8" t="str">
        <f t="shared" si="144"/>
        <v>FALSE</v>
      </c>
      <c r="R956" s="9" t="b">
        <f t="shared" si="145"/>
        <v>1</v>
      </c>
      <c r="S956" s="8" t="b">
        <f t="shared" si="146"/>
        <v>0</v>
      </c>
      <c r="T956" s="10" t="b">
        <f t="shared" si="147"/>
        <v>0</v>
      </c>
      <c r="U956" s="8" t="str">
        <f t="shared" si="148"/>
        <v>FALSE</v>
      </c>
      <c r="V956" s="11" t="str">
        <f t="shared" si="149"/>
        <v>TRUE</v>
      </c>
    </row>
    <row r="957" spans="1:22" ht="15.75">
      <c r="A957" s="21">
        <v>955</v>
      </c>
      <c r="B957" s="5" t="s">
        <v>2771</v>
      </c>
      <c r="C957" s="23" t="s">
        <v>3429</v>
      </c>
      <c r="D957" s="23" t="s">
        <v>17</v>
      </c>
      <c r="E957" s="5" t="s">
        <v>2772</v>
      </c>
      <c r="F957" s="71" t="s">
        <v>6107</v>
      </c>
      <c r="G957" s="22" t="s">
        <v>3933</v>
      </c>
      <c r="H957" s="5" t="s">
        <v>3932</v>
      </c>
      <c r="I957" s="5" t="s">
        <v>67</v>
      </c>
      <c r="J957" s="5" t="s">
        <v>5002</v>
      </c>
      <c r="K957" s="5" t="s">
        <v>2773</v>
      </c>
      <c r="L957" s="22"/>
      <c r="M957" s="8" t="str">
        <f t="shared" si="140"/>
        <v>Ok</v>
      </c>
      <c r="N957" s="9" t="b">
        <f t="shared" si="141"/>
        <v>1</v>
      </c>
      <c r="O957" s="9" t="b">
        <f t="shared" si="142"/>
        <v>1</v>
      </c>
      <c r="P957" s="8" t="str">
        <f t="shared" si="143"/>
        <v>FALSE</v>
      </c>
      <c r="Q957" s="8" t="str">
        <f t="shared" si="144"/>
        <v>FALSE</v>
      </c>
      <c r="R957" s="9" t="b">
        <f t="shared" si="145"/>
        <v>0</v>
      </c>
      <c r="S957" s="8" t="b">
        <f t="shared" si="146"/>
        <v>0</v>
      </c>
      <c r="T957" s="10" t="b">
        <f t="shared" si="147"/>
        <v>0</v>
      </c>
      <c r="U957" s="8" t="str">
        <f t="shared" si="148"/>
        <v>TRUE</v>
      </c>
      <c r="V957" s="11" t="str">
        <f t="shared" si="149"/>
        <v>TRUE</v>
      </c>
    </row>
    <row r="958" spans="1:22" ht="15.75">
      <c r="A958" s="21">
        <v>956</v>
      </c>
      <c r="B958" s="5" t="s">
        <v>2774</v>
      </c>
      <c r="C958" s="23" t="s">
        <v>3430</v>
      </c>
      <c r="D958" s="23" t="s">
        <v>17</v>
      </c>
      <c r="E958" s="5" t="s">
        <v>2775</v>
      </c>
      <c r="F958" s="71" t="s">
        <v>6107</v>
      </c>
      <c r="G958" s="22" t="s">
        <v>3933</v>
      </c>
      <c r="H958" s="5" t="s">
        <v>3932</v>
      </c>
      <c r="I958" s="5" t="s">
        <v>67</v>
      </c>
      <c r="J958" s="5" t="s">
        <v>5542</v>
      </c>
      <c r="K958" s="5">
        <v>851656548</v>
      </c>
      <c r="L958" s="22"/>
      <c r="M958" s="8" t="str">
        <f t="shared" si="140"/>
        <v>Ok</v>
      </c>
      <c r="N958" s="9" t="b">
        <f t="shared" si="141"/>
        <v>1</v>
      </c>
      <c r="O958" s="9" t="b">
        <f t="shared" si="142"/>
        <v>1</v>
      </c>
      <c r="P958" s="8" t="str">
        <f t="shared" si="143"/>
        <v>FALSE</v>
      </c>
      <c r="Q958" s="8" t="str">
        <f t="shared" si="144"/>
        <v>FALSE</v>
      </c>
      <c r="R958" s="9" t="b">
        <f t="shared" si="145"/>
        <v>0</v>
      </c>
      <c r="S958" s="8" t="b">
        <f t="shared" si="146"/>
        <v>0</v>
      </c>
      <c r="T958" s="10" t="b">
        <f t="shared" si="147"/>
        <v>0</v>
      </c>
      <c r="U958" s="8" t="str">
        <f t="shared" si="148"/>
        <v>FALSE</v>
      </c>
      <c r="V958" s="11" t="str">
        <f t="shared" si="149"/>
        <v>FALSE</v>
      </c>
    </row>
    <row r="959" spans="1:22" ht="15.75">
      <c r="A959" s="21">
        <v>957</v>
      </c>
      <c r="B959" s="5" t="s">
        <v>2776</v>
      </c>
      <c r="C959" s="23" t="s">
        <v>3537</v>
      </c>
      <c r="D959" s="23" t="s">
        <v>77</v>
      </c>
      <c r="E959" s="5" t="s">
        <v>1020</v>
      </c>
      <c r="F959" s="71" t="s">
        <v>6107</v>
      </c>
      <c r="G959" s="22" t="s">
        <v>160</v>
      </c>
      <c r="H959" s="5" t="s">
        <v>3932</v>
      </c>
      <c r="I959" s="5" t="s">
        <v>67</v>
      </c>
      <c r="J959" s="5" t="s">
        <v>5128</v>
      </c>
      <c r="K959" s="5" t="s">
        <v>2777</v>
      </c>
      <c r="L959" s="22"/>
      <c r="M959" s="8" t="str">
        <f t="shared" si="140"/>
        <v>Ok</v>
      </c>
      <c r="N959" s="9" t="b">
        <f t="shared" si="141"/>
        <v>1</v>
      </c>
      <c r="O959" s="9" t="b">
        <f t="shared" si="142"/>
        <v>0</v>
      </c>
      <c r="P959" s="8" t="str">
        <f t="shared" si="143"/>
        <v>FALSE</v>
      </c>
      <c r="Q959" s="8" t="str">
        <f t="shared" si="144"/>
        <v>FALSE</v>
      </c>
      <c r="R959" s="9" t="b">
        <f t="shared" si="145"/>
        <v>0</v>
      </c>
      <c r="S959" s="8" t="b">
        <f t="shared" si="146"/>
        <v>0</v>
      </c>
      <c r="T959" s="10" t="b">
        <f t="shared" si="147"/>
        <v>0</v>
      </c>
      <c r="U959" s="8" t="str">
        <f t="shared" si="148"/>
        <v>TRUE</v>
      </c>
      <c r="V959" s="11" t="str">
        <f t="shared" si="149"/>
        <v>TRUE</v>
      </c>
    </row>
    <row r="960" spans="1:22" ht="15.75">
      <c r="A960" s="21">
        <v>958</v>
      </c>
      <c r="B960" s="5" t="s">
        <v>2778</v>
      </c>
      <c r="C960" s="23" t="s">
        <v>3861</v>
      </c>
      <c r="D960" s="23" t="s">
        <v>59</v>
      </c>
      <c r="E960" s="5" t="s">
        <v>2779</v>
      </c>
      <c r="F960" s="71" t="s">
        <v>6107</v>
      </c>
      <c r="G960" s="22" t="s">
        <v>144</v>
      </c>
      <c r="H960" s="5" t="s">
        <v>25</v>
      </c>
      <c r="I960" s="5" t="s">
        <v>26</v>
      </c>
      <c r="J960" s="5" t="s">
        <v>5025</v>
      </c>
      <c r="K960" s="5" t="s">
        <v>2780</v>
      </c>
      <c r="L960" s="22"/>
      <c r="M960" s="8" t="str">
        <f t="shared" si="140"/>
        <v>Ok</v>
      </c>
      <c r="N960" s="9" t="b">
        <f t="shared" si="141"/>
        <v>0</v>
      </c>
      <c r="O960" s="9" t="b">
        <f t="shared" si="142"/>
        <v>1</v>
      </c>
      <c r="P960" s="8" t="str">
        <f t="shared" si="143"/>
        <v>FALSE</v>
      </c>
      <c r="Q960" s="8" t="str">
        <f t="shared" si="144"/>
        <v>FALSE</v>
      </c>
      <c r="R960" s="9" t="b">
        <f t="shared" si="145"/>
        <v>1</v>
      </c>
      <c r="S960" s="8" t="b">
        <f t="shared" si="146"/>
        <v>0</v>
      </c>
      <c r="T960" s="10" t="b">
        <f t="shared" si="147"/>
        <v>0</v>
      </c>
      <c r="U960" s="8" t="str">
        <f t="shared" si="148"/>
        <v>TRUE</v>
      </c>
      <c r="V960" s="11" t="str">
        <f t="shared" si="149"/>
        <v>TRUE</v>
      </c>
    </row>
    <row r="961" spans="1:22" ht="15.75">
      <c r="A961" s="21">
        <v>959</v>
      </c>
      <c r="B961" s="5" t="s">
        <v>2781</v>
      </c>
      <c r="C961" s="23" t="s">
        <v>2936</v>
      </c>
      <c r="D961" s="23" t="s">
        <v>17</v>
      </c>
      <c r="E961" s="5" t="s">
        <v>2782</v>
      </c>
      <c r="F961" s="71" t="s">
        <v>6107</v>
      </c>
      <c r="G961" s="22" t="s">
        <v>119</v>
      </c>
      <c r="H961" s="5" t="s">
        <v>120</v>
      </c>
      <c r="I961" s="5" t="s">
        <v>56</v>
      </c>
      <c r="J961" s="5" t="s">
        <v>5184</v>
      </c>
      <c r="K961" s="5" t="s">
        <v>2783</v>
      </c>
      <c r="L961" s="22"/>
      <c r="M961" s="8" t="str">
        <f t="shared" si="140"/>
        <v>Ok</v>
      </c>
      <c r="N961" s="9" t="b">
        <f t="shared" si="141"/>
        <v>0</v>
      </c>
      <c r="O961" s="9" t="b">
        <f t="shared" si="142"/>
        <v>1</v>
      </c>
      <c r="P961" s="8" t="str">
        <f t="shared" si="143"/>
        <v>FALSE</v>
      </c>
      <c r="Q961" s="8" t="str">
        <f t="shared" si="144"/>
        <v>FALSE</v>
      </c>
      <c r="R961" s="9" t="b">
        <f t="shared" si="145"/>
        <v>0</v>
      </c>
      <c r="S961" s="8" t="b">
        <f t="shared" si="146"/>
        <v>1</v>
      </c>
      <c r="T961" s="10" t="b">
        <f t="shared" si="147"/>
        <v>1</v>
      </c>
      <c r="U961" s="8" t="str">
        <f t="shared" si="148"/>
        <v>TRUE</v>
      </c>
      <c r="V961" s="11" t="str">
        <f t="shared" si="149"/>
        <v>TRUE</v>
      </c>
    </row>
    <row r="962" spans="1:22" ht="15.75">
      <c r="A962" s="21">
        <v>960</v>
      </c>
      <c r="B962" s="5" t="s">
        <v>2784</v>
      </c>
      <c r="C962" s="23" t="s">
        <v>3069</v>
      </c>
      <c r="D962" s="23" t="s">
        <v>34</v>
      </c>
      <c r="E962" s="5" t="s">
        <v>2785</v>
      </c>
      <c r="F962" s="71" t="s">
        <v>6107</v>
      </c>
      <c r="G962" s="22" t="s">
        <v>179</v>
      </c>
      <c r="H962" s="5" t="s">
        <v>3932</v>
      </c>
      <c r="I962" s="5" t="s">
        <v>56</v>
      </c>
      <c r="J962" s="5" t="s">
        <v>4998</v>
      </c>
      <c r="K962" s="5" t="s">
        <v>2786</v>
      </c>
      <c r="L962" s="22"/>
      <c r="M962" s="8" t="str">
        <f t="shared" si="140"/>
        <v>Ok</v>
      </c>
      <c r="N962" s="9" t="b">
        <f t="shared" si="141"/>
        <v>0</v>
      </c>
      <c r="O962" s="9" t="b">
        <f t="shared" si="142"/>
        <v>0</v>
      </c>
      <c r="P962" s="8" t="str">
        <f t="shared" si="143"/>
        <v>FALSE</v>
      </c>
      <c r="Q962" s="8" t="str">
        <f t="shared" si="144"/>
        <v>FALSE</v>
      </c>
      <c r="R962" s="9" t="b">
        <f t="shared" si="145"/>
        <v>1</v>
      </c>
      <c r="S962" s="8" t="b">
        <f t="shared" si="146"/>
        <v>0</v>
      </c>
      <c r="T962" s="10" t="b">
        <f t="shared" si="147"/>
        <v>1</v>
      </c>
      <c r="U962" s="8" t="str">
        <f t="shared" si="148"/>
        <v>TRUE</v>
      </c>
      <c r="V962" s="11" t="str">
        <f t="shared" si="149"/>
        <v>TRUE</v>
      </c>
    </row>
    <row r="963" spans="1:22" ht="15.75">
      <c r="A963" s="21">
        <v>961</v>
      </c>
      <c r="B963" s="5" t="s">
        <v>2787</v>
      </c>
      <c r="C963" s="23" t="s">
        <v>3574</v>
      </c>
      <c r="D963" s="23" t="s">
        <v>59</v>
      </c>
      <c r="E963" s="5" t="s">
        <v>2788</v>
      </c>
      <c r="F963" s="71" t="s">
        <v>6107</v>
      </c>
      <c r="G963" s="22" t="s">
        <v>12</v>
      </c>
      <c r="H963" s="5" t="s">
        <v>13</v>
      </c>
      <c r="I963" s="5" t="s">
        <v>42</v>
      </c>
      <c r="J963" s="5" t="s">
        <v>5526</v>
      </c>
      <c r="K963" s="5" t="s">
        <v>2789</v>
      </c>
      <c r="L963" s="22"/>
      <c r="M963" s="8" t="str">
        <f t="shared" ref="M963:M1002" si="150">IF(COUNTIF($B$3:$B$1002,B963)&gt;1,"Duplicate","Ok")</f>
        <v>Ok</v>
      </c>
      <c r="N963" s="9" t="b">
        <f t="shared" ref="N963:N1002" si="151">EXACT(C963,PROPER(C963))</f>
        <v>1</v>
      </c>
      <c r="O963" s="9" t="b">
        <f t="shared" ref="O963:O1002" si="152">EXACT(D963,PROPER(D963))</f>
        <v>1</v>
      </c>
      <c r="P963" s="8" t="str">
        <f t="shared" ref="P963:P1002" si="153">IF(ISNUMBER(E963),"TRUE","FALSE")</f>
        <v>FALSE</v>
      </c>
      <c r="Q963" s="8" t="str">
        <f t="shared" ref="Q963:Q1002" si="154">IF(ISNUMBER(F963),"TRUE","FALSE")</f>
        <v>FALSE</v>
      </c>
      <c r="R963" s="9" t="b">
        <f t="shared" ref="R963:R1002" si="155">EXACT(G963,PROPER(G963))</f>
        <v>1</v>
      </c>
      <c r="S963" s="8" t="b">
        <f t="shared" ref="S963:S1002" si="156">EXACT(H963,PROPER(H963))</f>
        <v>0</v>
      </c>
      <c r="T963" s="10" t="b">
        <f t="shared" ref="T963:T1002" si="157">EXACT(I963,PROPER(I963))</f>
        <v>1</v>
      </c>
      <c r="U963" s="8" t="str">
        <f t="shared" ref="U963:U1002" si="158">IF(RIGHT(J963,10)="@email.com","TRUE","FALSE")</f>
        <v>FALSE</v>
      </c>
      <c r="V963" s="11" t="str">
        <f t="shared" ref="V963:V1002" si="159">IF(LEFT(K963,2)="08","TRUE","FALSE")</f>
        <v>TRUE</v>
      </c>
    </row>
    <row r="964" spans="1:22" ht="15.75">
      <c r="A964" s="21">
        <v>962</v>
      </c>
      <c r="B964" s="5" t="s">
        <v>2790</v>
      </c>
      <c r="C964" s="23" t="s">
        <v>3190</v>
      </c>
      <c r="D964" s="23" t="s">
        <v>77</v>
      </c>
      <c r="E964" s="5" t="s">
        <v>2791</v>
      </c>
      <c r="F964" s="71" t="s">
        <v>6107</v>
      </c>
      <c r="G964" s="22" t="s">
        <v>198</v>
      </c>
      <c r="H964" s="5" t="s">
        <v>20</v>
      </c>
      <c r="I964" s="5" t="s">
        <v>50</v>
      </c>
      <c r="J964" s="5" t="s">
        <v>4876</v>
      </c>
      <c r="K964" s="5" t="s">
        <v>2792</v>
      </c>
      <c r="L964" s="22"/>
      <c r="M964" s="8" t="str">
        <f t="shared" si="150"/>
        <v>Ok</v>
      </c>
      <c r="N964" s="9" t="b">
        <f t="shared" si="151"/>
        <v>1</v>
      </c>
      <c r="O964" s="9" t="b">
        <f t="shared" si="152"/>
        <v>0</v>
      </c>
      <c r="P964" s="8" t="str">
        <f t="shared" si="153"/>
        <v>FALSE</v>
      </c>
      <c r="Q964" s="8" t="str">
        <f t="shared" si="154"/>
        <v>FALSE</v>
      </c>
      <c r="R964" s="9" t="b">
        <f t="shared" si="155"/>
        <v>1</v>
      </c>
      <c r="S964" s="8" t="b">
        <f t="shared" si="156"/>
        <v>1</v>
      </c>
      <c r="T964" s="10" t="b">
        <f t="shared" si="157"/>
        <v>0</v>
      </c>
      <c r="U964" s="8" t="str">
        <f t="shared" si="158"/>
        <v>TRUE</v>
      </c>
      <c r="V964" s="11" t="str">
        <f t="shared" si="159"/>
        <v>TRUE</v>
      </c>
    </row>
    <row r="965" spans="1:22" ht="15.75">
      <c r="A965" s="21">
        <v>963</v>
      </c>
      <c r="B965" s="5" t="s">
        <v>2793</v>
      </c>
      <c r="C965" s="23" t="s">
        <v>3862</v>
      </c>
      <c r="D965" s="23" t="s">
        <v>59</v>
      </c>
      <c r="E965" s="5" t="s">
        <v>529</v>
      </c>
      <c r="F965" s="71" t="s">
        <v>6107</v>
      </c>
      <c r="G965" s="22" t="s">
        <v>144</v>
      </c>
      <c r="H965" s="5" t="s">
        <v>46</v>
      </c>
      <c r="I965" s="5" t="s">
        <v>26</v>
      </c>
      <c r="J965" s="5" t="s">
        <v>5264</v>
      </c>
      <c r="K965" s="5">
        <v>89756465601</v>
      </c>
      <c r="L965" s="22"/>
      <c r="M965" s="8" t="str">
        <f t="shared" si="150"/>
        <v>Ok</v>
      </c>
      <c r="N965" s="9" t="b">
        <f t="shared" si="151"/>
        <v>0</v>
      </c>
      <c r="O965" s="9" t="b">
        <f t="shared" si="152"/>
        <v>1</v>
      </c>
      <c r="P965" s="8" t="str">
        <f t="shared" si="153"/>
        <v>FALSE</v>
      </c>
      <c r="Q965" s="8" t="str">
        <f t="shared" si="154"/>
        <v>FALSE</v>
      </c>
      <c r="R965" s="9" t="b">
        <f t="shared" si="155"/>
        <v>1</v>
      </c>
      <c r="S965" s="8" t="b">
        <f t="shared" si="156"/>
        <v>0</v>
      </c>
      <c r="T965" s="10" t="b">
        <f t="shared" si="157"/>
        <v>0</v>
      </c>
      <c r="U965" s="8" t="str">
        <f t="shared" si="158"/>
        <v>TRUE</v>
      </c>
      <c r="V965" s="11" t="str">
        <f t="shared" si="159"/>
        <v>FALSE</v>
      </c>
    </row>
    <row r="966" spans="1:22" ht="15.75">
      <c r="A966" s="21">
        <v>964</v>
      </c>
      <c r="B966" s="5" t="s">
        <v>2794</v>
      </c>
      <c r="C966" s="23" t="s">
        <v>3812</v>
      </c>
      <c r="D966" s="23" t="s">
        <v>59</v>
      </c>
      <c r="E966" s="5" t="s">
        <v>2795</v>
      </c>
      <c r="F966" s="71" t="s">
        <v>6107</v>
      </c>
      <c r="G966" s="22" t="s">
        <v>24</v>
      </c>
      <c r="H966" s="5" t="s">
        <v>25</v>
      </c>
      <c r="I966" s="5" t="s">
        <v>14</v>
      </c>
      <c r="J966" s="5" t="s">
        <v>5294</v>
      </c>
      <c r="K966" s="5" t="s">
        <v>2796</v>
      </c>
      <c r="L966" s="22"/>
      <c r="M966" s="8" t="str">
        <f t="shared" si="150"/>
        <v>Ok</v>
      </c>
      <c r="N966" s="9" t="b">
        <f t="shared" si="151"/>
        <v>0</v>
      </c>
      <c r="O966" s="9" t="b">
        <f t="shared" si="152"/>
        <v>1</v>
      </c>
      <c r="P966" s="8" t="str">
        <f t="shared" si="153"/>
        <v>FALSE</v>
      </c>
      <c r="Q966" s="8" t="str">
        <f t="shared" si="154"/>
        <v>FALSE</v>
      </c>
      <c r="R966" s="9" t="b">
        <f t="shared" si="155"/>
        <v>0</v>
      </c>
      <c r="S966" s="8" t="b">
        <f t="shared" si="156"/>
        <v>0</v>
      </c>
      <c r="T966" s="10" t="b">
        <f t="shared" si="157"/>
        <v>1</v>
      </c>
      <c r="U966" s="8" t="str">
        <f t="shared" si="158"/>
        <v>TRUE</v>
      </c>
      <c r="V966" s="11" t="str">
        <f t="shared" si="159"/>
        <v>TRUE</v>
      </c>
    </row>
    <row r="967" spans="1:22" ht="15.75">
      <c r="A967" s="21">
        <v>965</v>
      </c>
      <c r="B967" s="5" t="s">
        <v>2797</v>
      </c>
      <c r="C967" s="23" t="s">
        <v>3538</v>
      </c>
      <c r="D967" s="23" t="s">
        <v>17</v>
      </c>
      <c r="E967" s="5" t="s">
        <v>535</v>
      </c>
      <c r="F967" s="71" t="s">
        <v>6107</v>
      </c>
      <c r="G967" s="22" t="s">
        <v>160</v>
      </c>
      <c r="H967" s="5" t="s">
        <v>3932</v>
      </c>
      <c r="I967" s="5" t="s">
        <v>21</v>
      </c>
      <c r="J967" s="5" t="s">
        <v>5095</v>
      </c>
      <c r="K967" s="5" t="s">
        <v>2798</v>
      </c>
      <c r="L967" s="22"/>
      <c r="M967" s="8" t="str">
        <f t="shared" si="150"/>
        <v>Ok</v>
      </c>
      <c r="N967" s="9" t="b">
        <f t="shared" si="151"/>
        <v>1</v>
      </c>
      <c r="O967" s="9" t="b">
        <f t="shared" si="152"/>
        <v>1</v>
      </c>
      <c r="P967" s="8" t="str">
        <f t="shared" si="153"/>
        <v>FALSE</v>
      </c>
      <c r="Q967" s="8" t="str">
        <f t="shared" si="154"/>
        <v>FALSE</v>
      </c>
      <c r="R967" s="9" t="b">
        <f t="shared" si="155"/>
        <v>0</v>
      </c>
      <c r="S967" s="8" t="b">
        <f t="shared" si="156"/>
        <v>0</v>
      </c>
      <c r="T967" s="10" t="b">
        <f t="shared" si="157"/>
        <v>0</v>
      </c>
      <c r="U967" s="8" t="str">
        <f t="shared" si="158"/>
        <v>TRUE</v>
      </c>
      <c r="V967" s="11" t="str">
        <f t="shared" si="159"/>
        <v>TRUE</v>
      </c>
    </row>
    <row r="968" spans="1:22" ht="15.75">
      <c r="A968" s="21">
        <v>966</v>
      </c>
      <c r="B968" s="5" t="s">
        <v>2799</v>
      </c>
      <c r="C968" s="23" t="s">
        <v>3652</v>
      </c>
      <c r="D968" s="23" t="s">
        <v>59</v>
      </c>
      <c r="E968" s="5" t="s">
        <v>2171</v>
      </c>
      <c r="F968" s="71" t="s">
        <v>6107</v>
      </c>
      <c r="G968" s="22" t="s">
        <v>179</v>
      </c>
      <c r="H968" s="5" t="s">
        <v>13</v>
      </c>
      <c r="I968" s="5" t="s">
        <v>26</v>
      </c>
      <c r="J968" s="5" t="s">
        <v>4877</v>
      </c>
      <c r="K968" s="5" t="s">
        <v>2800</v>
      </c>
      <c r="L968" s="22"/>
      <c r="M968" s="8" t="str">
        <f t="shared" si="150"/>
        <v>Ok</v>
      </c>
      <c r="N968" s="9" t="b">
        <f t="shared" si="151"/>
        <v>1</v>
      </c>
      <c r="O968" s="9" t="b">
        <f t="shared" si="152"/>
        <v>1</v>
      </c>
      <c r="P968" s="8" t="str">
        <f t="shared" si="153"/>
        <v>FALSE</v>
      </c>
      <c r="Q968" s="8" t="str">
        <f t="shared" si="154"/>
        <v>FALSE</v>
      </c>
      <c r="R968" s="9" t="b">
        <f t="shared" si="155"/>
        <v>1</v>
      </c>
      <c r="S968" s="8" t="b">
        <f t="shared" si="156"/>
        <v>0</v>
      </c>
      <c r="T968" s="10" t="b">
        <f t="shared" si="157"/>
        <v>0</v>
      </c>
      <c r="U968" s="8" t="str">
        <f t="shared" si="158"/>
        <v>TRUE</v>
      </c>
      <c r="V968" s="11" t="str">
        <f t="shared" si="159"/>
        <v>TRUE</v>
      </c>
    </row>
    <row r="969" spans="1:22" ht="15.75">
      <c r="A969" s="21">
        <v>967</v>
      </c>
      <c r="B969" s="5" t="s">
        <v>2801</v>
      </c>
      <c r="C969" s="23" t="s">
        <v>3813</v>
      </c>
      <c r="D969" s="23" t="s">
        <v>59</v>
      </c>
      <c r="E969" s="5" t="s">
        <v>2802</v>
      </c>
      <c r="F969" s="71" t="s">
        <v>6107</v>
      </c>
      <c r="G969" s="22" t="s">
        <v>24</v>
      </c>
      <c r="H969" s="5" t="s">
        <v>25</v>
      </c>
      <c r="I969" s="5" t="s">
        <v>67</v>
      </c>
      <c r="J969" s="5" t="s">
        <v>5524</v>
      </c>
      <c r="K969" s="5" t="s">
        <v>2803</v>
      </c>
      <c r="L969" s="22"/>
      <c r="M969" s="8" t="str">
        <f t="shared" si="150"/>
        <v>Ok</v>
      </c>
      <c r="N969" s="9" t="b">
        <f t="shared" si="151"/>
        <v>0</v>
      </c>
      <c r="O969" s="9" t="b">
        <f t="shared" si="152"/>
        <v>1</v>
      </c>
      <c r="P969" s="8" t="str">
        <f t="shared" si="153"/>
        <v>FALSE</v>
      </c>
      <c r="Q969" s="8" t="str">
        <f t="shared" si="154"/>
        <v>FALSE</v>
      </c>
      <c r="R969" s="9" t="b">
        <f t="shared" si="155"/>
        <v>0</v>
      </c>
      <c r="S969" s="8" t="b">
        <f t="shared" si="156"/>
        <v>0</v>
      </c>
      <c r="T969" s="10" t="b">
        <f t="shared" si="157"/>
        <v>0</v>
      </c>
      <c r="U969" s="8" t="str">
        <f t="shared" si="158"/>
        <v>FALSE</v>
      </c>
      <c r="V969" s="11" t="str">
        <f t="shared" si="159"/>
        <v>TRUE</v>
      </c>
    </row>
    <row r="970" spans="1:22" ht="15.75">
      <c r="A970" s="21">
        <v>968</v>
      </c>
      <c r="B970" s="5" t="s">
        <v>2804</v>
      </c>
      <c r="C970" s="23" t="s">
        <v>3431</v>
      </c>
      <c r="D970" s="23" t="s">
        <v>17</v>
      </c>
      <c r="E970" s="5" t="s">
        <v>2805</v>
      </c>
      <c r="F970" s="71" t="s">
        <v>6107</v>
      </c>
      <c r="G970" s="22" t="s">
        <v>3933</v>
      </c>
      <c r="H970" s="5" t="s">
        <v>3932</v>
      </c>
      <c r="I970" s="5" t="s">
        <v>67</v>
      </c>
      <c r="J970" s="5" t="s">
        <v>5019</v>
      </c>
      <c r="K970" s="5" t="s">
        <v>2806</v>
      </c>
      <c r="L970" s="22"/>
      <c r="M970" s="8" t="str">
        <f t="shared" si="150"/>
        <v>Ok</v>
      </c>
      <c r="N970" s="9" t="b">
        <f t="shared" si="151"/>
        <v>1</v>
      </c>
      <c r="O970" s="9" t="b">
        <f t="shared" si="152"/>
        <v>1</v>
      </c>
      <c r="P970" s="8" t="str">
        <f t="shared" si="153"/>
        <v>FALSE</v>
      </c>
      <c r="Q970" s="8" t="str">
        <f t="shared" si="154"/>
        <v>FALSE</v>
      </c>
      <c r="R970" s="9" t="b">
        <f t="shared" si="155"/>
        <v>0</v>
      </c>
      <c r="S970" s="8" t="b">
        <f t="shared" si="156"/>
        <v>0</v>
      </c>
      <c r="T970" s="10" t="b">
        <f t="shared" si="157"/>
        <v>0</v>
      </c>
      <c r="U970" s="8" t="str">
        <f t="shared" si="158"/>
        <v>TRUE</v>
      </c>
      <c r="V970" s="11" t="str">
        <f t="shared" si="159"/>
        <v>TRUE</v>
      </c>
    </row>
    <row r="971" spans="1:22" ht="15.75">
      <c r="A971" s="21">
        <v>969</v>
      </c>
      <c r="B971" s="5" t="s">
        <v>2807</v>
      </c>
      <c r="C971" s="23" t="s">
        <v>3756</v>
      </c>
      <c r="D971" s="23" t="s">
        <v>59</v>
      </c>
      <c r="E971" s="5" t="s">
        <v>2808</v>
      </c>
      <c r="F971" s="71" t="s">
        <v>6107</v>
      </c>
      <c r="G971" s="22" t="s">
        <v>3934</v>
      </c>
      <c r="H971" s="5" t="s">
        <v>13</v>
      </c>
      <c r="I971" s="5" t="s">
        <v>14</v>
      </c>
      <c r="J971" s="5" t="s">
        <v>5022</v>
      </c>
      <c r="K971" s="5" t="s">
        <v>2809</v>
      </c>
      <c r="L971" s="22"/>
      <c r="M971" s="8" t="str">
        <f t="shared" si="150"/>
        <v>Ok</v>
      </c>
      <c r="N971" s="9" t="b">
        <f t="shared" si="151"/>
        <v>0</v>
      </c>
      <c r="O971" s="9" t="b">
        <f t="shared" si="152"/>
        <v>1</v>
      </c>
      <c r="P971" s="8" t="str">
        <f t="shared" si="153"/>
        <v>FALSE</v>
      </c>
      <c r="Q971" s="8" t="str">
        <f t="shared" si="154"/>
        <v>FALSE</v>
      </c>
      <c r="R971" s="9" t="b">
        <f t="shared" si="155"/>
        <v>0</v>
      </c>
      <c r="S971" s="8" t="b">
        <f t="shared" si="156"/>
        <v>0</v>
      </c>
      <c r="T971" s="10" t="b">
        <f t="shared" si="157"/>
        <v>1</v>
      </c>
      <c r="U971" s="8" t="str">
        <f t="shared" si="158"/>
        <v>TRUE</v>
      </c>
      <c r="V971" s="11" t="str">
        <f t="shared" si="159"/>
        <v>TRUE</v>
      </c>
    </row>
    <row r="972" spans="1:22" ht="15.75">
      <c r="A972" s="21">
        <v>970</v>
      </c>
      <c r="B972" s="5" t="s">
        <v>2810</v>
      </c>
      <c r="C972" s="23" t="s">
        <v>3278</v>
      </c>
      <c r="D972" s="23" t="s">
        <v>77</v>
      </c>
      <c r="E972" s="5" t="s">
        <v>2811</v>
      </c>
      <c r="F972" s="71" t="s">
        <v>6107</v>
      </c>
      <c r="G972" s="22" t="s">
        <v>179</v>
      </c>
      <c r="H972" s="5" t="s">
        <v>3932</v>
      </c>
      <c r="I972" s="5" t="s">
        <v>42</v>
      </c>
      <c r="J972" s="5" t="s">
        <v>5304</v>
      </c>
      <c r="K972" s="5">
        <v>832489269</v>
      </c>
      <c r="L972" s="22"/>
      <c r="M972" s="8" t="str">
        <f t="shared" si="150"/>
        <v>Ok</v>
      </c>
      <c r="N972" s="9" t="b">
        <f t="shared" si="151"/>
        <v>1</v>
      </c>
      <c r="O972" s="9" t="b">
        <f t="shared" si="152"/>
        <v>0</v>
      </c>
      <c r="P972" s="8" t="str">
        <f t="shared" si="153"/>
        <v>FALSE</v>
      </c>
      <c r="Q972" s="8" t="str">
        <f t="shared" si="154"/>
        <v>FALSE</v>
      </c>
      <c r="R972" s="9" t="b">
        <f t="shared" si="155"/>
        <v>1</v>
      </c>
      <c r="S972" s="8" t="b">
        <f t="shared" si="156"/>
        <v>0</v>
      </c>
      <c r="T972" s="10" t="b">
        <f t="shared" si="157"/>
        <v>1</v>
      </c>
      <c r="U972" s="8" t="str">
        <f t="shared" si="158"/>
        <v>TRUE</v>
      </c>
      <c r="V972" s="11" t="str">
        <f t="shared" si="159"/>
        <v>FALSE</v>
      </c>
    </row>
    <row r="973" spans="1:22" ht="15.75">
      <c r="A973" s="21">
        <v>971</v>
      </c>
      <c r="B973" s="5" t="s">
        <v>2812</v>
      </c>
      <c r="C973" s="23" t="s">
        <v>3279</v>
      </c>
      <c r="D973" s="23" t="s">
        <v>77</v>
      </c>
      <c r="E973" s="5" t="s">
        <v>2353</v>
      </c>
      <c r="F973" s="71" t="s">
        <v>6107</v>
      </c>
      <c r="G973" s="22" t="s">
        <v>179</v>
      </c>
      <c r="H973" s="5" t="s">
        <v>3932</v>
      </c>
      <c r="I973" s="5" t="s">
        <v>50</v>
      </c>
      <c r="J973" s="5" t="s">
        <v>5069</v>
      </c>
      <c r="K973" s="5">
        <v>89756465602</v>
      </c>
      <c r="L973" s="22"/>
      <c r="M973" s="8" t="str">
        <f t="shared" si="150"/>
        <v>Ok</v>
      </c>
      <c r="N973" s="9" t="b">
        <f t="shared" si="151"/>
        <v>1</v>
      </c>
      <c r="O973" s="9" t="b">
        <f t="shared" si="152"/>
        <v>0</v>
      </c>
      <c r="P973" s="8" t="str">
        <f t="shared" si="153"/>
        <v>FALSE</v>
      </c>
      <c r="Q973" s="8" t="str">
        <f t="shared" si="154"/>
        <v>FALSE</v>
      </c>
      <c r="R973" s="9" t="b">
        <f t="shared" si="155"/>
        <v>1</v>
      </c>
      <c r="S973" s="8" t="b">
        <f t="shared" si="156"/>
        <v>0</v>
      </c>
      <c r="T973" s="10" t="b">
        <f t="shared" si="157"/>
        <v>0</v>
      </c>
      <c r="U973" s="8" t="str">
        <f t="shared" si="158"/>
        <v>TRUE</v>
      </c>
      <c r="V973" s="11" t="str">
        <f t="shared" si="159"/>
        <v>FALSE</v>
      </c>
    </row>
    <row r="974" spans="1:22" ht="15.75">
      <c r="A974" s="21">
        <v>972</v>
      </c>
      <c r="B974" s="5" t="s">
        <v>2813</v>
      </c>
      <c r="C974" s="23" t="s">
        <v>3757</v>
      </c>
      <c r="D974" s="23" t="s">
        <v>59</v>
      </c>
      <c r="E974" s="5" t="s">
        <v>2814</v>
      </c>
      <c r="F974" s="71" t="s">
        <v>6107</v>
      </c>
      <c r="G974" s="22" t="s">
        <v>3934</v>
      </c>
      <c r="H974" s="5" t="s">
        <v>13</v>
      </c>
      <c r="I974" s="5" t="s">
        <v>14</v>
      </c>
      <c r="J974" s="5" t="s">
        <v>5425</v>
      </c>
      <c r="K974" s="5" t="s">
        <v>2815</v>
      </c>
      <c r="L974" s="22"/>
      <c r="M974" s="8" t="str">
        <f t="shared" si="150"/>
        <v>Ok</v>
      </c>
      <c r="N974" s="9" t="b">
        <f t="shared" si="151"/>
        <v>0</v>
      </c>
      <c r="O974" s="9" t="b">
        <f t="shared" si="152"/>
        <v>1</v>
      </c>
      <c r="P974" s="8" t="str">
        <f t="shared" si="153"/>
        <v>FALSE</v>
      </c>
      <c r="Q974" s="8" t="str">
        <f t="shared" si="154"/>
        <v>FALSE</v>
      </c>
      <c r="R974" s="9" t="b">
        <f t="shared" si="155"/>
        <v>0</v>
      </c>
      <c r="S974" s="8" t="b">
        <f t="shared" si="156"/>
        <v>0</v>
      </c>
      <c r="T974" s="10" t="b">
        <f t="shared" si="157"/>
        <v>1</v>
      </c>
      <c r="U974" s="8" t="str">
        <f t="shared" si="158"/>
        <v>TRUE</v>
      </c>
      <c r="V974" s="11" t="str">
        <f t="shared" si="159"/>
        <v>TRUE</v>
      </c>
    </row>
    <row r="975" spans="1:22" ht="15.75">
      <c r="A975" s="21">
        <v>973</v>
      </c>
      <c r="B975" s="5" t="s">
        <v>2816</v>
      </c>
      <c r="C975" s="23" t="s">
        <v>2969</v>
      </c>
      <c r="D975" s="23" t="s">
        <v>17</v>
      </c>
      <c r="E975" s="5" t="s">
        <v>2817</v>
      </c>
      <c r="F975" s="71" t="s">
        <v>6107</v>
      </c>
      <c r="G975" s="22" t="s">
        <v>85</v>
      </c>
      <c r="H975" s="5" t="s">
        <v>120</v>
      </c>
      <c r="I975" s="5" t="s">
        <v>26</v>
      </c>
      <c r="J975" s="5" t="s">
        <v>4862</v>
      </c>
      <c r="K975" s="5" t="s">
        <v>2818</v>
      </c>
      <c r="L975" s="22"/>
      <c r="M975" s="8" t="str">
        <f t="shared" si="150"/>
        <v>Ok</v>
      </c>
      <c r="N975" s="9" t="b">
        <f t="shared" si="151"/>
        <v>0</v>
      </c>
      <c r="O975" s="9" t="b">
        <f t="shared" si="152"/>
        <v>1</v>
      </c>
      <c r="P975" s="8" t="str">
        <f t="shared" si="153"/>
        <v>FALSE</v>
      </c>
      <c r="Q975" s="8" t="str">
        <f t="shared" si="154"/>
        <v>FALSE</v>
      </c>
      <c r="R975" s="9" t="b">
        <f t="shared" si="155"/>
        <v>1</v>
      </c>
      <c r="S975" s="8" t="b">
        <f t="shared" si="156"/>
        <v>1</v>
      </c>
      <c r="T975" s="10" t="b">
        <f t="shared" si="157"/>
        <v>0</v>
      </c>
      <c r="U975" s="8" t="str">
        <f t="shared" si="158"/>
        <v>TRUE</v>
      </c>
      <c r="V975" s="11" t="str">
        <f t="shared" si="159"/>
        <v>TRUE</v>
      </c>
    </row>
    <row r="976" spans="1:22" ht="15.75">
      <c r="A976" s="21">
        <v>974</v>
      </c>
      <c r="B976" s="5" t="s">
        <v>2819</v>
      </c>
      <c r="C976" s="23" t="s">
        <v>2965</v>
      </c>
      <c r="D976" s="23" t="s">
        <v>17</v>
      </c>
      <c r="E976" s="5" t="s">
        <v>2820</v>
      </c>
      <c r="F976" s="71" t="s">
        <v>6107</v>
      </c>
      <c r="G976" s="22" t="s">
        <v>85</v>
      </c>
      <c r="H976" s="5" t="s">
        <v>120</v>
      </c>
      <c r="I976" s="5" t="s">
        <v>21</v>
      </c>
      <c r="J976" s="5" t="s">
        <v>4954</v>
      </c>
      <c r="K976" s="5" t="s">
        <v>2821</v>
      </c>
      <c r="L976" s="22"/>
      <c r="M976" s="8" t="str">
        <f t="shared" si="150"/>
        <v>Ok</v>
      </c>
      <c r="N976" s="9" t="b">
        <f t="shared" si="151"/>
        <v>0</v>
      </c>
      <c r="O976" s="9" t="b">
        <f t="shared" si="152"/>
        <v>1</v>
      </c>
      <c r="P976" s="8" t="str">
        <f t="shared" si="153"/>
        <v>FALSE</v>
      </c>
      <c r="Q976" s="8" t="str">
        <f t="shared" si="154"/>
        <v>FALSE</v>
      </c>
      <c r="R976" s="9" t="b">
        <f t="shared" si="155"/>
        <v>1</v>
      </c>
      <c r="S976" s="8" t="b">
        <f t="shared" si="156"/>
        <v>1</v>
      </c>
      <c r="T976" s="10" t="b">
        <f t="shared" si="157"/>
        <v>0</v>
      </c>
      <c r="U976" s="8" t="str">
        <f t="shared" si="158"/>
        <v>TRUE</v>
      </c>
      <c r="V976" s="11" t="str">
        <f t="shared" si="159"/>
        <v>TRUE</v>
      </c>
    </row>
    <row r="977" spans="1:22" ht="15.75">
      <c r="A977" s="21">
        <v>975</v>
      </c>
      <c r="B977" s="5" t="s">
        <v>2822</v>
      </c>
      <c r="C977" s="23" t="s">
        <v>2972</v>
      </c>
      <c r="D977" s="23" t="s">
        <v>34</v>
      </c>
      <c r="E977" s="5" t="s">
        <v>2823</v>
      </c>
      <c r="F977" s="71" t="s">
        <v>6107</v>
      </c>
      <c r="G977" s="22" t="s">
        <v>40</v>
      </c>
      <c r="H977" s="5" t="s">
        <v>71</v>
      </c>
      <c r="I977" s="5" t="s">
        <v>26</v>
      </c>
      <c r="J977" s="5" t="s">
        <v>5492</v>
      </c>
      <c r="K977" s="5" t="s">
        <v>2824</v>
      </c>
      <c r="L977" s="22"/>
      <c r="M977" s="8" t="str">
        <f t="shared" si="150"/>
        <v>Ok</v>
      </c>
      <c r="N977" s="9" t="b">
        <f t="shared" si="151"/>
        <v>0</v>
      </c>
      <c r="O977" s="9" t="b">
        <f t="shared" si="152"/>
        <v>0</v>
      </c>
      <c r="P977" s="8" t="str">
        <f t="shared" si="153"/>
        <v>FALSE</v>
      </c>
      <c r="Q977" s="8" t="str">
        <f t="shared" si="154"/>
        <v>FALSE</v>
      </c>
      <c r="R977" s="9" t="b">
        <f t="shared" si="155"/>
        <v>1</v>
      </c>
      <c r="S977" s="8" t="b">
        <f t="shared" si="156"/>
        <v>1</v>
      </c>
      <c r="T977" s="10" t="b">
        <f t="shared" si="157"/>
        <v>0</v>
      </c>
      <c r="U977" s="8" t="str">
        <f t="shared" si="158"/>
        <v>FALSE</v>
      </c>
      <c r="V977" s="11" t="str">
        <f t="shared" si="159"/>
        <v>TRUE</v>
      </c>
    </row>
    <row r="978" spans="1:22" ht="15.75">
      <c r="A978" s="21">
        <v>976</v>
      </c>
      <c r="B978" s="5" t="s">
        <v>2825</v>
      </c>
      <c r="C978" s="23" t="s">
        <v>3280</v>
      </c>
      <c r="D978" s="23" t="s">
        <v>34</v>
      </c>
      <c r="E978" s="5" t="s">
        <v>2826</v>
      </c>
      <c r="F978" s="71" t="s">
        <v>6107</v>
      </c>
      <c r="G978" s="22" t="s">
        <v>179</v>
      </c>
      <c r="H978" s="5" t="s">
        <v>3932</v>
      </c>
      <c r="I978" s="5" t="s">
        <v>50</v>
      </c>
      <c r="J978" s="5" t="s">
        <v>4872</v>
      </c>
      <c r="K978" s="5" t="s">
        <v>2827</v>
      </c>
      <c r="L978" s="22"/>
      <c r="M978" s="8" t="str">
        <f t="shared" si="150"/>
        <v>Ok</v>
      </c>
      <c r="N978" s="9" t="b">
        <f t="shared" si="151"/>
        <v>1</v>
      </c>
      <c r="O978" s="9" t="b">
        <f t="shared" si="152"/>
        <v>0</v>
      </c>
      <c r="P978" s="8" t="str">
        <f t="shared" si="153"/>
        <v>FALSE</v>
      </c>
      <c r="Q978" s="8" t="str">
        <f t="shared" si="154"/>
        <v>FALSE</v>
      </c>
      <c r="R978" s="9" t="b">
        <f t="shared" si="155"/>
        <v>1</v>
      </c>
      <c r="S978" s="8" t="b">
        <f t="shared" si="156"/>
        <v>0</v>
      </c>
      <c r="T978" s="10" t="b">
        <f t="shared" si="157"/>
        <v>0</v>
      </c>
      <c r="U978" s="8" t="str">
        <f t="shared" si="158"/>
        <v>TRUE</v>
      </c>
      <c r="V978" s="11" t="str">
        <f t="shared" si="159"/>
        <v>TRUE</v>
      </c>
    </row>
    <row r="979" spans="1:22" ht="15.75">
      <c r="A979" s="21">
        <v>977</v>
      </c>
      <c r="B979" s="5" t="s">
        <v>2828</v>
      </c>
      <c r="C979" s="23" t="s">
        <v>3653</v>
      </c>
      <c r="D979" s="23" t="s">
        <v>59</v>
      </c>
      <c r="E979" s="5" t="s">
        <v>2829</v>
      </c>
      <c r="F979" s="71" t="s">
        <v>6107</v>
      </c>
      <c r="G979" s="22" t="s">
        <v>160</v>
      </c>
      <c r="H979" s="5" t="s">
        <v>36</v>
      </c>
      <c r="I979" s="5" t="s">
        <v>56</v>
      </c>
      <c r="J979" s="5" t="s">
        <v>4953</v>
      </c>
      <c r="K979" s="5" t="s">
        <v>2830</v>
      </c>
      <c r="L979" s="22"/>
      <c r="M979" s="8" t="str">
        <f t="shared" si="150"/>
        <v>Ok</v>
      </c>
      <c r="N979" s="9" t="b">
        <f t="shared" si="151"/>
        <v>1</v>
      </c>
      <c r="O979" s="9" t="b">
        <f t="shared" si="152"/>
        <v>1</v>
      </c>
      <c r="P979" s="8" t="str">
        <f t="shared" si="153"/>
        <v>FALSE</v>
      </c>
      <c r="Q979" s="8" t="str">
        <f t="shared" si="154"/>
        <v>FALSE</v>
      </c>
      <c r="R979" s="9" t="b">
        <f t="shared" si="155"/>
        <v>0</v>
      </c>
      <c r="S979" s="8" t="b">
        <f t="shared" si="156"/>
        <v>1</v>
      </c>
      <c r="T979" s="10" t="b">
        <f t="shared" si="157"/>
        <v>1</v>
      </c>
      <c r="U979" s="8" t="str">
        <f t="shared" si="158"/>
        <v>TRUE</v>
      </c>
      <c r="V979" s="11" t="str">
        <f t="shared" si="159"/>
        <v>TRUE</v>
      </c>
    </row>
    <row r="980" spans="1:22" ht="15.75">
      <c r="A980" s="21">
        <v>978</v>
      </c>
      <c r="B980" s="5" t="s">
        <v>2831</v>
      </c>
      <c r="C980" s="23" t="s">
        <v>3758</v>
      </c>
      <c r="D980" s="23" t="s">
        <v>59</v>
      </c>
      <c r="E980" s="5" t="s">
        <v>2832</v>
      </c>
      <c r="F980" s="71" t="s">
        <v>6107</v>
      </c>
      <c r="G980" s="22" t="s">
        <v>3934</v>
      </c>
      <c r="H980" s="5" t="s">
        <v>13</v>
      </c>
      <c r="I980" s="5" t="s">
        <v>50</v>
      </c>
      <c r="J980" s="5" t="s">
        <v>5693</v>
      </c>
      <c r="K980" s="5" t="s">
        <v>2833</v>
      </c>
      <c r="L980" s="22"/>
      <c r="M980" s="8" t="str">
        <f t="shared" si="150"/>
        <v>Ok</v>
      </c>
      <c r="N980" s="9" t="b">
        <f t="shared" si="151"/>
        <v>0</v>
      </c>
      <c r="O980" s="9" t="b">
        <f t="shared" si="152"/>
        <v>1</v>
      </c>
      <c r="P980" s="8" t="str">
        <f t="shared" si="153"/>
        <v>FALSE</v>
      </c>
      <c r="Q980" s="8" t="str">
        <f t="shared" si="154"/>
        <v>FALSE</v>
      </c>
      <c r="R980" s="9" t="b">
        <f t="shared" si="155"/>
        <v>0</v>
      </c>
      <c r="S980" s="8" t="b">
        <f t="shared" si="156"/>
        <v>0</v>
      </c>
      <c r="T980" s="10" t="b">
        <f t="shared" si="157"/>
        <v>0</v>
      </c>
      <c r="U980" s="8" t="str">
        <f t="shared" si="158"/>
        <v>FALSE</v>
      </c>
      <c r="V980" s="11" t="str">
        <f t="shared" si="159"/>
        <v>TRUE</v>
      </c>
    </row>
    <row r="981" spans="1:22" ht="15.75">
      <c r="A981" s="21">
        <v>979</v>
      </c>
      <c r="B981" s="5" t="s">
        <v>2834</v>
      </c>
      <c r="C981" s="23" t="s">
        <v>3654</v>
      </c>
      <c r="D981" s="23" t="s">
        <v>59</v>
      </c>
      <c r="E981" s="5" t="s">
        <v>2835</v>
      </c>
      <c r="F981" s="71" t="s">
        <v>6107</v>
      </c>
      <c r="G981" s="22" t="s">
        <v>160</v>
      </c>
      <c r="H981" s="5" t="s">
        <v>36</v>
      </c>
      <c r="I981" s="5" t="s">
        <v>26</v>
      </c>
      <c r="J981" s="5" t="s">
        <v>5590</v>
      </c>
      <c r="K981" s="5" t="s">
        <v>2836</v>
      </c>
      <c r="L981" s="22"/>
      <c r="M981" s="8" t="str">
        <f t="shared" si="150"/>
        <v>Ok</v>
      </c>
      <c r="N981" s="9" t="b">
        <f t="shared" si="151"/>
        <v>1</v>
      </c>
      <c r="O981" s="9" t="b">
        <f t="shared" si="152"/>
        <v>1</v>
      </c>
      <c r="P981" s="8" t="str">
        <f t="shared" si="153"/>
        <v>FALSE</v>
      </c>
      <c r="Q981" s="8" t="str">
        <f t="shared" si="154"/>
        <v>FALSE</v>
      </c>
      <c r="R981" s="9" t="b">
        <f t="shared" si="155"/>
        <v>0</v>
      </c>
      <c r="S981" s="8" t="b">
        <f t="shared" si="156"/>
        <v>1</v>
      </c>
      <c r="T981" s="10" t="b">
        <f t="shared" si="157"/>
        <v>0</v>
      </c>
      <c r="U981" s="8" t="str">
        <f t="shared" si="158"/>
        <v>FALSE</v>
      </c>
      <c r="V981" s="11" t="str">
        <f t="shared" si="159"/>
        <v>TRUE</v>
      </c>
    </row>
    <row r="982" spans="1:22" ht="15.75">
      <c r="A982" s="21">
        <v>980</v>
      </c>
      <c r="B982" s="5" t="s">
        <v>2837</v>
      </c>
      <c r="C982" s="23" t="s">
        <v>3281</v>
      </c>
      <c r="D982" s="23" t="s">
        <v>77</v>
      </c>
      <c r="E982" s="5" t="s">
        <v>2838</v>
      </c>
      <c r="F982" s="71" t="s">
        <v>6107</v>
      </c>
      <c r="G982" s="22" t="s">
        <v>179</v>
      </c>
      <c r="H982" s="5" t="s">
        <v>3932</v>
      </c>
      <c r="I982" s="5" t="s">
        <v>42</v>
      </c>
      <c r="J982" s="5" t="s">
        <v>5070</v>
      </c>
      <c r="K982" s="5" t="s">
        <v>2839</v>
      </c>
      <c r="L982" s="22"/>
      <c r="M982" s="8" t="str">
        <f t="shared" si="150"/>
        <v>Ok</v>
      </c>
      <c r="N982" s="9" t="b">
        <f t="shared" si="151"/>
        <v>1</v>
      </c>
      <c r="O982" s="9" t="b">
        <f t="shared" si="152"/>
        <v>0</v>
      </c>
      <c r="P982" s="8" t="str">
        <f t="shared" si="153"/>
        <v>FALSE</v>
      </c>
      <c r="Q982" s="8" t="str">
        <f t="shared" si="154"/>
        <v>FALSE</v>
      </c>
      <c r="R982" s="9" t="b">
        <f t="shared" si="155"/>
        <v>1</v>
      </c>
      <c r="S982" s="8" t="b">
        <f t="shared" si="156"/>
        <v>0</v>
      </c>
      <c r="T982" s="10" t="b">
        <f t="shared" si="157"/>
        <v>1</v>
      </c>
      <c r="U982" s="8" t="str">
        <f t="shared" si="158"/>
        <v>TRUE</v>
      </c>
      <c r="V982" s="11" t="str">
        <f t="shared" si="159"/>
        <v>TRUE</v>
      </c>
    </row>
    <row r="983" spans="1:22" ht="15.75">
      <c r="A983" s="21">
        <v>981</v>
      </c>
      <c r="B983" s="5" t="s">
        <v>2840</v>
      </c>
      <c r="C983" s="23" t="s">
        <v>3090</v>
      </c>
      <c r="D983" s="23" t="s">
        <v>59</v>
      </c>
      <c r="E983" s="5" t="s">
        <v>2841</v>
      </c>
      <c r="F983" s="71" t="s">
        <v>6107</v>
      </c>
      <c r="G983" s="22" t="s">
        <v>3934</v>
      </c>
      <c r="H983" s="5" t="s">
        <v>13</v>
      </c>
      <c r="I983" s="5" t="s">
        <v>56</v>
      </c>
      <c r="J983" s="5" t="s">
        <v>5383</v>
      </c>
      <c r="K983" s="5" t="s">
        <v>2842</v>
      </c>
      <c r="L983" s="22"/>
      <c r="M983" s="8" t="str">
        <f t="shared" si="150"/>
        <v>Ok</v>
      </c>
      <c r="N983" s="9" t="b">
        <f t="shared" si="151"/>
        <v>0</v>
      </c>
      <c r="O983" s="9" t="b">
        <f t="shared" si="152"/>
        <v>1</v>
      </c>
      <c r="P983" s="8" t="str">
        <f t="shared" si="153"/>
        <v>FALSE</v>
      </c>
      <c r="Q983" s="8" t="str">
        <f t="shared" si="154"/>
        <v>FALSE</v>
      </c>
      <c r="R983" s="9" t="b">
        <f t="shared" si="155"/>
        <v>0</v>
      </c>
      <c r="S983" s="8" t="b">
        <f t="shared" si="156"/>
        <v>0</v>
      </c>
      <c r="T983" s="10" t="b">
        <f t="shared" si="157"/>
        <v>1</v>
      </c>
      <c r="U983" s="8" t="str">
        <f t="shared" si="158"/>
        <v>TRUE</v>
      </c>
      <c r="V983" s="11" t="str">
        <f t="shared" si="159"/>
        <v>FALSE</v>
      </c>
    </row>
    <row r="984" spans="1:22" ht="15.75">
      <c r="A984" s="21">
        <v>982</v>
      </c>
      <c r="B984" s="5" t="s">
        <v>2843</v>
      </c>
      <c r="C984" s="23" t="s">
        <v>3814</v>
      </c>
      <c r="D984" s="23" t="s">
        <v>59</v>
      </c>
      <c r="E984" s="5" t="s">
        <v>2844</v>
      </c>
      <c r="F984" s="71" t="s">
        <v>6107</v>
      </c>
      <c r="G984" s="22" t="s">
        <v>24</v>
      </c>
      <c r="H984" s="5" t="s">
        <v>46</v>
      </c>
      <c r="I984" s="5" t="s">
        <v>14</v>
      </c>
      <c r="J984" s="5" t="s">
        <v>5656</v>
      </c>
      <c r="K984" s="5" t="s">
        <v>2845</v>
      </c>
      <c r="L984" s="22"/>
      <c r="M984" s="8" t="str">
        <f t="shared" si="150"/>
        <v>Ok</v>
      </c>
      <c r="N984" s="9" t="b">
        <f t="shared" si="151"/>
        <v>0</v>
      </c>
      <c r="O984" s="9" t="b">
        <f t="shared" si="152"/>
        <v>1</v>
      </c>
      <c r="P984" s="8" t="str">
        <f t="shared" si="153"/>
        <v>FALSE</v>
      </c>
      <c r="Q984" s="8" t="str">
        <f t="shared" si="154"/>
        <v>FALSE</v>
      </c>
      <c r="R984" s="9" t="b">
        <f t="shared" si="155"/>
        <v>0</v>
      </c>
      <c r="S984" s="8" t="b">
        <f t="shared" si="156"/>
        <v>0</v>
      </c>
      <c r="T984" s="10" t="b">
        <f t="shared" si="157"/>
        <v>1</v>
      </c>
      <c r="U984" s="8" t="str">
        <f t="shared" si="158"/>
        <v>FALSE</v>
      </c>
      <c r="V984" s="11" t="str">
        <f t="shared" si="159"/>
        <v>TRUE</v>
      </c>
    </row>
    <row r="985" spans="1:22" ht="15.75">
      <c r="A985" s="21">
        <v>983</v>
      </c>
      <c r="B985" s="5" t="s">
        <v>2846</v>
      </c>
      <c r="C985" s="23" t="s">
        <v>3191</v>
      </c>
      <c r="D985" s="23" t="s">
        <v>77</v>
      </c>
      <c r="E985" s="5" t="s">
        <v>2201</v>
      </c>
      <c r="F985" s="71" t="s">
        <v>6107</v>
      </c>
      <c r="G985" s="22" t="s">
        <v>66</v>
      </c>
      <c r="H985" s="5" t="s">
        <v>20</v>
      </c>
      <c r="I985" s="5" t="s">
        <v>42</v>
      </c>
      <c r="J985" s="5" t="s">
        <v>4841</v>
      </c>
      <c r="K985" s="5" t="s">
        <v>2847</v>
      </c>
      <c r="L985" s="22"/>
      <c r="M985" s="8" t="str">
        <f t="shared" si="150"/>
        <v>Ok</v>
      </c>
      <c r="N985" s="9" t="b">
        <f t="shared" si="151"/>
        <v>1</v>
      </c>
      <c r="O985" s="9" t="b">
        <f t="shared" si="152"/>
        <v>0</v>
      </c>
      <c r="P985" s="8" t="str">
        <f t="shared" si="153"/>
        <v>FALSE</v>
      </c>
      <c r="Q985" s="8" t="str">
        <f t="shared" si="154"/>
        <v>FALSE</v>
      </c>
      <c r="R985" s="9" t="b">
        <f t="shared" si="155"/>
        <v>0</v>
      </c>
      <c r="S985" s="8" t="b">
        <f t="shared" si="156"/>
        <v>1</v>
      </c>
      <c r="T985" s="10" t="b">
        <f t="shared" si="157"/>
        <v>1</v>
      </c>
      <c r="U985" s="8" t="str">
        <f t="shared" si="158"/>
        <v>TRUE</v>
      </c>
      <c r="V985" s="11" t="str">
        <f t="shared" si="159"/>
        <v>TRUE</v>
      </c>
    </row>
    <row r="986" spans="1:22" ht="15.75">
      <c r="A986" s="21">
        <v>984</v>
      </c>
      <c r="B986" s="5" t="s">
        <v>2848</v>
      </c>
      <c r="C986" s="23" t="s">
        <v>3192</v>
      </c>
      <c r="D986" s="23" t="s">
        <v>77</v>
      </c>
      <c r="E986" s="5" t="s">
        <v>2849</v>
      </c>
      <c r="F986" s="71" t="s">
        <v>6107</v>
      </c>
      <c r="G986" s="22" t="s">
        <v>198</v>
      </c>
      <c r="H986" s="5" t="s">
        <v>20</v>
      </c>
      <c r="I986" s="5" t="s">
        <v>50</v>
      </c>
      <c r="J986" s="5" t="s">
        <v>5080</v>
      </c>
      <c r="K986" s="5" t="s">
        <v>2850</v>
      </c>
      <c r="L986" s="22"/>
      <c r="M986" s="8" t="str">
        <f t="shared" si="150"/>
        <v>Ok</v>
      </c>
      <c r="N986" s="9" t="b">
        <f t="shared" si="151"/>
        <v>1</v>
      </c>
      <c r="O986" s="9" t="b">
        <f t="shared" si="152"/>
        <v>0</v>
      </c>
      <c r="P986" s="8" t="str">
        <f t="shared" si="153"/>
        <v>FALSE</v>
      </c>
      <c r="Q986" s="8" t="str">
        <f t="shared" si="154"/>
        <v>FALSE</v>
      </c>
      <c r="R986" s="9" t="b">
        <f t="shared" si="155"/>
        <v>1</v>
      </c>
      <c r="S986" s="8" t="b">
        <f t="shared" si="156"/>
        <v>1</v>
      </c>
      <c r="T986" s="10" t="b">
        <f t="shared" si="157"/>
        <v>0</v>
      </c>
      <c r="U986" s="8" t="str">
        <f t="shared" si="158"/>
        <v>TRUE</v>
      </c>
      <c r="V986" s="11" t="str">
        <f t="shared" si="159"/>
        <v>TRUE</v>
      </c>
    </row>
    <row r="987" spans="1:22" ht="15.75">
      <c r="A987" s="21">
        <v>985</v>
      </c>
      <c r="B987" s="5" t="s">
        <v>2851</v>
      </c>
      <c r="C987" s="23" t="s">
        <v>3539</v>
      </c>
      <c r="D987" s="23" t="s">
        <v>77</v>
      </c>
      <c r="E987" s="5" t="s">
        <v>2852</v>
      </c>
      <c r="F987" s="71" t="s">
        <v>6107</v>
      </c>
      <c r="G987" s="22" t="s">
        <v>102</v>
      </c>
      <c r="H987" s="5" t="s">
        <v>140</v>
      </c>
      <c r="I987" s="5" t="s">
        <v>42</v>
      </c>
      <c r="J987" s="5" t="s">
        <v>5162</v>
      </c>
      <c r="K987" s="5" t="s">
        <v>2853</v>
      </c>
      <c r="L987" s="22"/>
      <c r="M987" s="8" t="str">
        <f t="shared" si="150"/>
        <v>Ok</v>
      </c>
      <c r="N987" s="9" t="b">
        <f t="shared" si="151"/>
        <v>1</v>
      </c>
      <c r="O987" s="9" t="b">
        <f t="shared" si="152"/>
        <v>0</v>
      </c>
      <c r="P987" s="8" t="str">
        <f t="shared" si="153"/>
        <v>FALSE</v>
      </c>
      <c r="Q987" s="8" t="str">
        <f t="shared" si="154"/>
        <v>FALSE</v>
      </c>
      <c r="R987" s="9" t="b">
        <f t="shared" si="155"/>
        <v>0</v>
      </c>
      <c r="S987" s="8" t="b">
        <f t="shared" si="156"/>
        <v>1</v>
      </c>
      <c r="T987" s="10" t="b">
        <f t="shared" si="157"/>
        <v>1</v>
      </c>
      <c r="U987" s="8" t="str">
        <f t="shared" si="158"/>
        <v>TRUE</v>
      </c>
      <c r="V987" s="11" t="str">
        <f t="shared" si="159"/>
        <v>TRUE</v>
      </c>
    </row>
    <row r="988" spans="1:22" ht="15.75">
      <c r="A988" s="21">
        <v>986</v>
      </c>
      <c r="B988" s="5" t="s">
        <v>2854</v>
      </c>
      <c r="C988" s="23" t="s">
        <v>3655</v>
      </c>
      <c r="D988" s="23" t="s">
        <v>59</v>
      </c>
      <c r="E988" s="5" t="s">
        <v>2855</v>
      </c>
      <c r="F988" s="71" t="s">
        <v>6107</v>
      </c>
      <c r="G988" s="22" t="s">
        <v>160</v>
      </c>
      <c r="H988" s="5" t="s">
        <v>13</v>
      </c>
      <c r="I988" s="5" t="s">
        <v>14</v>
      </c>
      <c r="J988" s="5" t="s">
        <v>4883</v>
      </c>
      <c r="K988" s="5" t="s">
        <v>2856</v>
      </c>
      <c r="L988" s="22"/>
      <c r="M988" s="8" t="str">
        <f t="shared" si="150"/>
        <v>Ok</v>
      </c>
      <c r="N988" s="9" t="b">
        <f t="shared" si="151"/>
        <v>1</v>
      </c>
      <c r="O988" s="9" t="b">
        <f t="shared" si="152"/>
        <v>1</v>
      </c>
      <c r="P988" s="8" t="str">
        <f t="shared" si="153"/>
        <v>FALSE</v>
      </c>
      <c r="Q988" s="8" t="str">
        <f t="shared" si="154"/>
        <v>FALSE</v>
      </c>
      <c r="R988" s="9" t="b">
        <f t="shared" si="155"/>
        <v>0</v>
      </c>
      <c r="S988" s="8" t="b">
        <f t="shared" si="156"/>
        <v>0</v>
      </c>
      <c r="T988" s="10" t="b">
        <f t="shared" si="157"/>
        <v>1</v>
      </c>
      <c r="U988" s="8" t="str">
        <f t="shared" si="158"/>
        <v>TRUE</v>
      </c>
      <c r="V988" s="11" t="str">
        <f t="shared" si="159"/>
        <v>TRUE</v>
      </c>
    </row>
    <row r="989" spans="1:22" ht="15.75">
      <c r="A989" s="21">
        <v>987</v>
      </c>
      <c r="B989" s="5" t="s">
        <v>2857</v>
      </c>
      <c r="C989" s="23" t="s">
        <v>3432</v>
      </c>
      <c r="D989" s="23" t="s">
        <v>17</v>
      </c>
      <c r="E989" s="5" t="s">
        <v>2858</v>
      </c>
      <c r="F989" s="71" t="s">
        <v>6107</v>
      </c>
      <c r="G989" s="22" t="s">
        <v>3933</v>
      </c>
      <c r="H989" s="5" t="s">
        <v>3932</v>
      </c>
      <c r="I989" s="5" t="s">
        <v>14</v>
      </c>
      <c r="J989" s="5" t="s">
        <v>5008</v>
      </c>
      <c r="K989" s="5" t="s">
        <v>2859</v>
      </c>
      <c r="L989" s="22"/>
      <c r="M989" s="8" t="str">
        <f t="shared" si="150"/>
        <v>Ok</v>
      </c>
      <c r="N989" s="9" t="b">
        <f t="shared" si="151"/>
        <v>1</v>
      </c>
      <c r="O989" s="9" t="b">
        <f t="shared" si="152"/>
        <v>1</v>
      </c>
      <c r="P989" s="8" t="str">
        <f t="shared" si="153"/>
        <v>FALSE</v>
      </c>
      <c r="Q989" s="8" t="str">
        <f t="shared" si="154"/>
        <v>FALSE</v>
      </c>
      <c r="R989" s="9" t="b">
        <f t="shared" si="155"/>
        <v>0</v>
      </c>
      <c r="S989" s="8" t="b">
        <f t="shared" si="156"/>
        <v>0</v>
      </c>
      <c r="T989" s="10" t="b">
        <f t="shared" si="157"/>
        <v>1</v>
      </c>
      <c r="U989" s="8" t="str">
        <f t="shared" si="158"/>
        <v>TRUE</v>
      </c>
      <c r="V989" s="11" t="str">
        <f t="shared" si="159"/>
        <v>FALSE</v>
      </c>
    </row>
    <row r="990" spans="1:22" ht="15.75">
      <c r="A990" s="21">
        <v>988</v>
      </c>
      <c r="B990" s="5" t="s">
        <v>2860</v>
      </c>
      <c r="C990" s="23" t="s">
        <v>3070</v>
      </c>
      <c r="D990" s="23" t="s">
        <v>34</v>
      </c>
      <c r="E990" s="5" t="s">
        <v>2861</v>
      </c>
      <c r="F990" s="71" t="s">
        <v>6107</v>
      </c>
      <c r="G990" s="22" t="s">
        <v>74</v>
      </c>
      <c r="H990" s="5" t="s">
        <v>71</v>
      </c>
      <c r="I990" s="5" t="s">
        <v>50</v>
      </c>
      <c r="J990" s="5" t="s">
        <v>5703</v>
      </c>
      <c r="K990" s="5" t="s">
        <v>2862</v>
      </c>
      <c r="L990" s="22"/>
      <c r="M990" s="8" t="str">
        <f t="shared" si="150"/>
        <v>Ok</v>
      </c>
      <c r="N990" s="9" t="b">
        <f t="shared" si="151"/>
        <v>0</v>
      </c>
      <c r="O990" s="9" t="b">
        <f t="shared" si="152"/>
        <v>0</v>
      </c>
      <c r="P990" s="8" t="str">
        <f t="shared" si="153"/>
        <v>FALSE</v>
      </c>
      <c r="Q990" s="8" t="str">
        <f t="shared" si="154"/>
        <v>FALSE</v>
      </c>
      <c r="R990" s="9" t="b">
        <f t="shared" si="155"/>
        <v>0</v>
      </c>
      <c r="S990" s="8" t="b">
        <f t="shared" si="156"/>
        <v>1</v>
      </c>
      <c r="T990" s="10" t="b">
        <f t="shared" si="157"/>
        <v>0</v>
      </c>
      <c r="U990" s="8" t="str">
        <f t="shared" si="158"/>
        <v>FALSE</v>
      </c>
      <c r="V990" s="11" t="str">
        <f t="shared" si="159"/>
        <v>TRUE</v>
      </c>
    </row>
    <row r="991" spans="1:22" ht="15.75">
      <c r="A991" s="21">
        <v>989</v>
      </c>
      <c r="B991" s="5" t="s">
        <v>2863</v>
      </c>
      <c r="C991" s="23" t="s">
        <v>2954</v>
      </c>
      <c r="D991" s="23" t="s">
        <v>17</v>
      </c>
      <c r="E991" s="5" t="s">
        <v>2864</v>
      </c>
      <c r="F991" s="71" t="s">
        <v>6107</v>
      </c>
      <c r="G991" s="22" t="s">
        <v>119</v>
      </c>
      <c r="H991" s="5" t="s">
        <v>86</v>
      </c>
      <c r="I991" s="5" t="s">
        <v>42</v>
      </c>
      <c r="J991" s="5" t="s">
        <v>5626</v>
      </c>
      <c r="K991" s="5" t="s">
        <v>2865</v>
      </c>
      <c r="L991" s="22"/>
      <c r="M991" s="8" t="str">
        <f t="shared" si="150"/>
        <v>Ok</v>
      </c>
      <c r="N991" s="9" t="b">
        <f t="shared" si="151"/>
        <v>0</v>
      </c>
      <c r="O991" s="9" t="b">
        <f t="shared" si="152"/>
        <v>1</v>
      </c>
      <c r="P991" s="8" t="str">
        <f t="shared" si="153"/>
        <v>FALSE</v>
      </c>
      <c r="Q991" s="8" t="str">
        <f t="shared" si="154"/>
        <v>FALSE</v>
      </c>
      <c r="R991" s="9" t="b">
        <f t="shared" si="155"/>
        <v>0</v>
      </c>
      <c r="S991" s="8" t="b">
        <f t="shared" si="156"/>
        <v>0</v>
      </c>
      <c r="T991" s="10" t="b">
        <f t="shared" si="157"/>
        <v>1</v>
      </c>
      <c r="U991" s="8" t="str">
        <f t="shared" si="158"/>
        <v>FALSE</v>
      </c>
      <c r="V991" s="11" t="str">
        <f t="shared" si="159"/>
        <v>TRUE</v>
      </c>
    </row>
    <row r="992" spans="1:22" ht="15.75">
      <c r="A992" s="21">
        <v>990</v>
      </c>
      <c r="B992" s="5" t="s">
        <v>2866</v>
      </c>
      <c r="C992" s="23" t="s">
        <v>3071</v>
      </c>
      <c r="D992" s="23" t="s">
        <v>34</v>
      </c>
      <c r="E992" s="5" t="s">
        <v>2867</v>
      </c>
      <c r="F992" s="71" t="s">
        <v>6107</v>
      </c>
      <c r="G992" s="22" t="s">
        <v>40</v>
      </c>
      <c r="H992" s="5" t="s">
        <v>71</v>
      </c>
      <c r="I992" s="5" t="s">
        <v>26</v>
      </c>
      <c r="J992" s="5" t="s">
        <v>5448</v>
      </c>
      <c r="K992" s="5">
        <v>89756465603</v>
      </c>
      <c r="L992" s="22"/>
      <c r="M992" s="8" t="str">
        <f t="shared" si="150"/>
        <v>Ok</v>
      </c>
      <c r="N992" s="9" t="b">
        <f t="shared" si="151"/>
        <v>0</v>
      </c>
      <c r="O992" s="9" t="b">
        <f t="shared" si="152"/>
        <v>0</v>
      </c>
      <c r="P992" s="8" t="str">
        <f t="shared" si="153"/>
        <v>FALSE</v>
      </c>
      <c r="Q992" s="8" t="str">
        <f t="shared" si="154"/>
        <v>FALSE</v>
      </c>
      <c r="R992" s="9" t="b">
        <f t="shared" si="155"/>
        <v>1</v>
      </c>
      <c r="S992" s="8" t="b">
        <f t="shared" si="156"/>
        <v>1</v>
      </c>
      <c r="T992" s="10" t="b">
        <f t="shared" si="157"/>
        <v>0</v>
      </c>
      <c r="U992" s="8" t="str">
        <f t="shared" si="158"/>
        <v>TRUE</v>
      </c>
      <c r="V992" s="11" t="str">
        <f t="shared" si="159"/>
        <v>FALSE</v>
      </c>
    </row>
    <row r="993" spans="1:22" ht="15.75">
      <c r="A993" s="21">
        <v>991</v>
      </c>
      <c r="B993" s="5" t="s">
        <v>2868</v>
      </c>
      <c r="C993" s="23" t="s">
        <v>3072</v>
      </c>
      <c r="D993" s="23" t="s">
        <v>34</v>
      </c>
      <c r="E993" s="5" t="s">
        <v>2814</v>
      </c>
      <c r="F993" s="71" t="s">
        <v>6107</v>
      </c>
      <c r="G993" s="22" t="s">
        <v>40</v>
      </c>
      <c r="H993" s="5" t="s">
        <v>71</v>
      </c>
      <c r="I993" s="5" t="s">
        <v>14</v>
      </c>
      <c r="J993" s="5" t="s">
        <v>5705</v>
      </c>
      <c r="K993" s="5" t="s">
        <v>2869</v>
      </c>
      <c r="L993" s="22"/>
      <c r="M993" s="8" t="str">
        <f t="shared" si="150"/>
        <v>Ok</v>
      </c>
      <c r="N993" s="9" t="b">
        <f t="shared" si="151"/>
        <v>0</v>
      </c>
      <c r="O993" s="9" t="b">
        <f t="shared" si="152"/>
        <v>0</v>
      </c>
      <c r="P993" s="8" t="str">
        <f t="shared" si="153"/>
        <v>FALSE</v>
      </c>
      <c r="Q993" s="8" t="str">
        <f t="shared" si="154"/>
        <v>FALSE</v>
      </c>
      <c r="R993" s="9" t="b">
        <f t="shared" si="155"/>
        <v>1</v>
      </c>
      <c r="S993" s="8" t="b">
        <f t="shared" si="156"/>
        <v>1</v>
      </c>
      <c r="T993" s="10" t="b">
        <f t="shared" si="157"/>
        <v>1</v>
      </c>
      <c r="U993" s="8" t="str">
        <f t="shared" si="158"/>
        <v>FALSE</v>
      </c>
      <c r="V993" s="11" t="str">
        <f t="shared" si="159"/>
        <v>TRUE</v>
      </c>
    </row>
    <row r="994" spans="1:22" ht="15.75">
      <c r="A994" s="21">
        <v>992</v>
      </c>
      <c r="B994" s="5" t="s">
        <v>2870</v>
      </c>
      <c r="C994" s="23" t="s">
        <v>3759</v>
      </c>
      <c r="D994" s="23" t="s">
        <v>59</v>
      </c>
      <c r="E994" s="5" t="s">
        <v>2871</v>
      </c>
      <c r="F994" s="71" t="s">
        <v>6107</v>
      </c>
      <c r="G994" s="22" t="s">
        <v>3934</v>
      </c>
      <c r="H994" s="5" t="s">
        <v>13</v>
      </c>
      <c r="I994" s="5" t="s">
        <v>21</v>
      </c>
      <c r="J994" s="5" t="s">
        <v>5071</v>
      </c>
      <c r="K994" s="5" t="s">
        <v>2872</v>
      </c>
      <c r="L994" s="22"/>
      <c r="M994" s="8" t="str">
        <f t="shared" si="150"/>
        <v>Ok</v>
      </c>
      <c r="N994" s="9" t="b">
        <f t="shared" si="151"/>
        <v>0</v>
      </c>
      <c r="O994" s="9" t="b">
        <f t="shared" si="152"/>
        <v>1</v>
      </c>
      <c r="P994" s="8" t="str">
        <f t="shared" si="153"/>
        <v>FALSE</v>
      </c>
      <c r="Q994" s="8" t="str">
        <f t="shared" si="154"/>
        <v>FALSE</v>
      </c>
      <c r="R994" s="9" t="b">
        <f t="shared" si="155"/>
        <v>0</v>
      </c>
      <c r="S994" s="8" t="b">
        <f t="shared" si="156"/>
        <v>0</v>
      </c>
      <c r="T994" s="10" t="b">
        <f t="shared" si="157"/>
        <v>0</v>
      </c>
      <c r="U994" s="8" t="str">
        <f t="shared" si="158"/>
        <v>TRUE</v>
      </c>
      <c r="V994" s="11" t="str">
        <f t="shared" si="159"/>
        <v>TRUE</v>
      </c>
    </row>
    <row r="995" spans="1:22" ht="15.75">
      <c r="A995" s="21">
        <v>993</v>
      </c>
      <c r="B995" s="5" t="s">
        <v>2873</v>
      </c>
      <c r="C995" s="23" t="s">
        <v>3760</v>
      </c>
      <c r="D995" s="23" t="s">
        <v>59</v>
      </c>
      <c r="E995" s="5" t="s">
        <v>2874</v>
      </c>
      <c r="F995" s="71" t="s">
        <v>6107</v>
      </c>
      <c r="G995" s="22" t="s">
        <v>3934</v>
      </c>
      <c r="H995" s="5" t="s">
        <v>13</v>
      </c>
      <c r="I995" s="5" t="s">
        <v>50</v>
      </c>
      <c r="J995" s="5" t="s">
        <v>5639</v>
      </c>
      <c r="K995" s="5" t="s">
        <v>2875</v>
      </c>
      <c r="L995" s="22"/>
      <c r="M995" s="8" t="str">
        <f t="shared" si="150"/>
        <v>Ok</v>
      </c>
      <c r="N995" s="9" t="b">
        <f t="shared" si="151"/>
        <v>0</v>
      </c>
      <c r="O995" s="9" t="b">
        <f t="shared" si="152"/>
        <v>1</v>
      </c>
      <c r="P995" s="8" t="str">
        <f t="shared" si="153"/>
        <v>FALSE</v>
      </c>
      <c r="Q995" s="8" t="str">
        <f t="shared" si="154"/>
        <v>FALSE</v>
      </c>
      <c r="R995" s="9" t="b">
        <f t="shared" si="155"/>
        <v>0</v>
      </c>
      <c r="S995" s="8" t="b">
        <f t="shared" si="156"/>
        <v>0</v>
      </c>
      <c r="T995" s="10" t="b">
        <f t="shared" si="157"/>
        <v>0</v>
      </c>
      <c r="U995" s="8" t="str">
        <f t="shared" si="158"/>
        <v>FALSE</v>
      </c>
      <c r="V995" s="11" t="str">
        <f t="shared" si="159"/>
        <v>TRUE</v>
      </c>
    </row>
    <row r="996" spans="1:22" ht="15.75">
      <c r="A996" s="21">
        <v>994</v>
      </c>
      <c r="B996" s="5" t="s">
        <v>2876</v>
      </c>
      <c r="C996" s="23" t="s">
        <v>3433</v>
      </c>
      <c r="D996" s="23" t="s">
        <v>17</v>
      </c>
      <c r="E996" s="5" t="s">
        <v>2877</v>
      </c>
      <c r="F996" s="71" t="s">
        <v>6107</v>
      </c>
      <c r="G996" s="22" t="s">
        <v>216</v>
      </c>
      <c r="H996" s="5" t="s">
        <v>94</v>
      </c>
      <c r="I996" s="5" t="s">
        <v>42</v>
      </c>
      <c r="J996" s="5" t="s">
        <v>5548</v>
      </c>
      <c r="K996" s="5" t="s">
        <v>2878</v>
      </c>
      <c r="L996" s="22"/>
      <c r="M996" s="8" t="str">
        <f t="shared" si="150"/>
        <v>Ok</v>
      </c>
      <c r="N996" s="9" t="b">
        <f t="shared" si="151"/>
        <v>1</v>
      </c>
      <c r="O996" s="9" t="b">
        <f t="shared" si="152"/>
        <v>1</v>
      </c>
      <c r="P996" s="8" t="str">
        <f t="shared" si="153"/>
        <v>FALSE</v>
      </c>
      <c r="Q996" s="8" t="str">
        <f t="shared" si="154"/>
        <v>FALSE</v>
      </c>
      <c r="R996" s="9" t="b">
        <f t="shared" si="155"/>
        <v>0</v>
      </c>
      <c r="S996" s="8" t="b">
        <f t="shared" si="156"/>
        <v>0</v>
      </c>
      <c r="T996" s="10" t="b">
        <f t="shared" si="157"/>
        <v>1</v>
      </c>
      <c r="U996" s="8" t="str">
        <f t="shared" si="158"/>
        <v>FALSE</v>
      </c>
      <c r="V996" s="11" t="str">
        <f t="shared" si="159"/>
        <v>FALSE</v>
      </c>
    </row>
    <row r="997" spans="1:22" ht="15.75">
      <c r="A997" s="21">
        <v>995</v>
      </c>
      <c r="B997" s="5" t="s">
        <v>2879</v>
      </c>
      <c r="C997" s="23" t="s">
        <v>3540</v>
      </c>
      <c r="D997" s="23" t="s">
        <v>77</v>
      </c>
      <c r="E997" s="5" t="s">
        <v>2880</v>
      </c>
      <c r="F997" s="71" t="s">
        <v>6107</v>
      </c>
      <c r="G997" s="22" t="s">
        <v>54</v>
      </c>
      <c r="H997" s="5" t="s">
        <v>140</v>
      </c>
      <c r="I997" s="5" t="s">
        <v>42</v>
      </c>
      <c r="J997" s="5" t="s">
        <v>5380</v>
      </c>
      <c r="K997" s="5" t="s">
        <v>2881</v>
      </c>
      <c r="L997" s="22"/>
      <c r="M997" s="8" t="str">
        <f t="shared" si="150"/>
        <v>Ok</v>
      </c>
      <c r="N997" s="9" t="b">
        <f t="shared" si="151"/>
        <v>1</v>
      </c>
      <c r="O997" s="9" t="b">
        <f t="shared" si="152"/>
        <v>0</v>
      </c>
      <c r="P997" s="8" t="str">
        <f t="shared" si="153"/>
        <v>FALSE</v>
      </c>
      <c r="Q997" s="8" t="str">
        <f t="shared" si="154"/>
        <v>FALSE</v>
      </c>
      <c r="R997" s="9" t="b">
        <f t="shared" si="155"/>
        <v>1</v>
      </c>
      <c r="S997" s="8" t="b">
        <f t="shared" si="156"/>
        <v>1</v>
      </c>
      <c r="T997" s="10" t="b">
        <f t="shared" si="157"/>
        <v>1</v>
      </c>
      <c r="U997" s="8" t="str">
        <f t="shared" si="158"/>
        <v>TRUE</v>
      </c>
      <c r="V997" s="11" t="str">
        <f t="shared" si="159"/>
        <v>FALSE</v>
      </c>
    </row>
    <row r="998" spans="1:22" ht="15.75">
      <c r="A998" s="21">
        <v>996</v>
      </c>
      <c r="B998" s="5" t="s">
        <v>2882</v>
      </c>
      <c r="C998" s="23" t="s">
        <v>3761</v>
      </c>
      <c r="D998" s="23" t="s">
        <v>59</v>
      </c>
      <c r="E998" s="5" t="s">
        <v>2883</v>
      </c>
      <c r="F998" s="71" t="s">
        <v>6107</v>
      </c>
      <c r="G998" s="22" t="s">
        <v>3934</v>
      </c>
      <c r="H998" s="5" t="s">
        <v>13</v>
      </c>
      <c r="I998" s="5" t="s">
        <v>21</v>
      </c>
      <c r="J998" s="5" t="s">
        <v>5535</v>
      </c>
      <c r="K998" s="5" t="s">
        <v>2884</v>
      </c>
      <c r="L998" s="22"/>
      <c r="M998" s="8" t="str">
        <f t="shared" si="150"/>
        <v>Ok</v>
      </c>
      <c r="N998" s="9" t="b">
        <f t="shared" si="151"/>
        <v>0</v>
      </c>
      <c r="O998" s="9" t="b">
        <f t="shared" si="152"/>
        <v>1</v>
      </c>
      <c r="P998" s="8" t="str">
        <f t="shared" si="153"/>
        <v>FALSE</v>
      </c>
      <c r="Q998" s="8" t="str">
        <f t="shared" si="154"/>
        <v>FALSE</v>
      </c>
      <c r="R998" s="9" t="b">
        <f t="shared" si="155"/>
        <v>0</v>
      </c>
      <c r="S998" s="8" t="b">
        <f t="shared" si="156"/>
        <v>0</v>
      </c>
      <c r="T998" s="10" t="b">
        <f t="shared" si="157"/>
        <v>0</v>
      </c>
      <c r="U998" s="8" t="str">
        <f t="shared" si="158"/>
        <v>FALSE</v>
      </c>
      <c r="V998" s="11" t="str">
        <f t="shared" si="159"/>
        <v>TRUE</v>
      </c>
    </row>
    <row r="999" spans="1:22" ht="15.75">
      <c r="A999" s="21">
        <v>997</v>
      </c>
      <c r="B999" s="5" t="s">
        <v>2885</v>
      </c>
      <c r="C999" s="23" t="s">
        <v>3193</v>
      </c>
      <c r="D999" s="23" t="s">
        <v>77</v>
      </c>
      <c r="E999" s="5" t="s">
        <v>2886</v>
      </c>
      <c r="F999" s="71" t="s">
        <v>6107</v>
      </c>
      <c r="G999" s="22" t="s">
        <v>66</v>
      </c>
      <c r="H999" s="5" t="s">
        <v>20</v>
      </c>
      <c r="I999" s="5" t="s">
        <v>42</v>
      </c>
      <c r="J999" s="5" t="s">
        <v>4936</v>
      </c>
      <c r="K999" s="5" t="s">
        <v>2887</v>
      </c>
      <c r="L999" s="22"/>
      <c r="M999" s="8" t="str">
        <f t="shared" si="150"/>
        <v>Ok</v>
      </c>
      <c r="N999" s="9" t="b">
        <f t="shared" si="151"/>
        <v>1</v>
      </c>
      <c r="O999" s="9" t="b">
        <f t="shared" si="152"/>
        <v>0</v>
      </c>
      <c r="P999" s="8" t="str">
        <f t="shared" si="153"/>
        <v>FALSE</v>
      </c>
      <c r="Q999" s="8" t="str">
        <f t="shared" si="154"/>
        <v>FALSE</v>
      </c>
      <c r="R999" s="9" t="b">
        <f t="shared" si="155"/>
        <v>0</v>
      </c>
      <c r="S999" s="8" t="b">
        <f t="shared" si="156"/>
        <v>1</v>
      </c>
      <c r="T999" s="10" t="b">
        <f t="shared" si="157"/>
        <v>1</v>
      </c>
      <c r="U999" s="8" t="str">
        <f t="shared" si="158"/>
        <v>TRUE</v>
      </c>
      <c r="V999" s="11" t="str">
        <f t="shared" si="159"/>
        <v>TRUE</v>
      </c>
    </row>
    <row r="1000" spans="1:22" ht="15.75">
      <c r="A1000" s="21">
        <v>998</v>
      </c>
      <c r="B1000" s="5" t="s">
        <v>2888</v>
      </c>
      <c r="C1000" s="23" t="s">
        <v>3434</v>
      </c>
      <c r="D1000" s="23" t="s">
        <v>17</v>
      </c>
      <c r="E1000" s="5" t="s">
        <v>2889</v>
      </c>
      <c r="F1000" s="71" t="s">
        <v>6107</v>
      </c>
      <c r="G1000" s="22" t="s">
        <v>3933</v>
      </c>
      <c r="H1000" s="5" t="s">
        <v>3932</v>
      </c>
      <c r="I1000" s="5" t="s">
        <v>56</v>
      </c>
      <c r="J1000" s="5" t="s">
        <v>4827</v>
      </c>
      <c r="K1000" s="5" t="s">
        <v>2890</v>
      </c>
      <c r="L1000" s="22"/>
      <c r="M1000" s="8" t="str">
        <f t="shared" si="150"/>
        <v>Ok</v>
      </c>
      <c r="N1000" s="9" t="b">
        <f t="shared" si="151"/>
        <v>1</v>
      </c>
      <c r="O1000" s="9" t="b">
        <f t="shared" si="152"/>
        <v>1</v>
      </c>
      <c r="P1000" s="8" t="str">
        <f t="shared" si="153"/>
        <v>FALSE</v>
      </c>
      <c r="Q1000" s="8" t="str">
        <f t="shared" si="154"/>
        <v>FALSE</v>
      </c>
      <c r="R1000" s="9" t="b">
        <f t="shared" si="155"/>
        <v>0</v>
      </c>
      <c r="S1000" s="8" t="b">
        <f t="shared" si="156"/>
        <v>0</v>
      </c>
      <c r="T1000" s="10" t="b">
        <f t="shared" si="157"/>
        <v>1</v>
      </c>
      <c r="U1000" s="8" t="str">
        <f t="shared" si="158"/>
        <v>TRUE</v>
      </c>
      <c r="V1000" s="11" t="str">
        <f t="shared" si="159"/>
        <v>TRUE</v>
      </c>
    </row>
    <row r="1001" spans="1:22" ht="15.75">
      <c r="A1001" s="21">
        <v>999</v>
      </c>
      <c r="B1001" s="5" t="s">
        <v>2891</v>
      </c>
      <c r="C1001" s="23" t="s">
        <v>3282</v>
      </c>
      <c r="D1001" s="23" t="s">
        <v>77</v>
      </c>
      <c r="E1001" s="5" t="s">
        <v>1852</v>
      </c>
      <c r="F1001" s="71" t="s">
        <v>6107</v>
      </c>
      <c r="G1001" s="22" t="s">
        <v>179</v>
      </c>
      <c r="H1001" s="5" t="s">
        <v>3932</v>
      </c>
      <c r="I1001" s="5" t="s">
        <v>26</v>
      </c>
      <c r="J1001" s="5" t="s">
        <v>4823</v>
      </c>
      <c r="K1001" s="5" t="s">
        <v>2892</v>
      </c>
      <c r="L1001" s="22"/>
      <c r="M1001" s="8" t="str">
        <f t="shared" si="150"/>
        <v>Ok</v>
      </c>
      <c r="N1001" s="9" t="b">
        <f t="shared" si="151"/>
        <v>1</v>
      </c>
      <c r="O1001" s="9" t="b">
        <f t="shared" si="152"/>
        <v>0</v>
      </c>
      <c r="P1001" s="8" t="str">
        <f t="shared" si="153"/>
        <v>FALSE</v>
      </c>
      <c r="Q1001" s="8" t="str">
        <f t="shared" si="154"/>
        <v>FALSE</v>
      </c>
      <c r="R1001" s="9" t="b">
        <f t="shared" si="155"/>
        <v>1</v>
      </c>
      <c r="S1001" s="8" t="b">
        <f t="shared" si="156"/>
        <v>0</v>
      </c>
      <c r="T1001" s="10" t="b">
        <f t="shared" si="157"/>
        <v>0</v>
      </c>
      <c r="U1001" s="8" t="str">
        <f t="shared" si="158"/>
        <v>TRUE</v>
      </c>
      <c r="V1001" s="11" t="str">
        <f t="shared" si="159"/>
        <v>TRUE</v>
      </c>
    </row>
    <row r="1002" spans="1:22" ht="15.75">
      <c r="A1002" s="21">
        <v>1000</v>
      </c>
      <c r="B1002" s="5" t="s">
        <v>2893</v>
      </c>
      <c r="C1002" s="23" t="s">
        <v>2942</v>
      </c>
      <c r="D1002" s="23" t="s">
        <v>17</v>
      </c>
      <c r="E1002" s="5" t="s">
        <v>2894</v>
      </c>
      <c r="F1002" s="71" t="s">
        <v>6107</v>
      </c>
      <c r="G1002" s="22" t="s">
        <v>119</v>
      </c>
      <c r="H1002" s="5" t="s">
        <v>120</v>
      </c>
      <c r="I1002" s="5" t="s">
        <v>21</v>
      </c>
      <c r="J1002" s="5" t="s">
        <v>5489</v>
      </c>
      <c r="K1002" s="5" t="s">
        <v>2895</v>
      </c>
      <c r="L1002" s="22"/>
      <c r="M1002" s="8" t="str">
        <f t="shared" si="150"/>
        <v>Ok</v>
      </c>
      <c r="N1002" s="9" t="b">
        <f t="shared" si="151"/>
        <v>0</v>
      </c>
      <c r="O1002" s="9" t="b">
        <f t="shared" si="152"/>
        <v>1</v>
      </c>
      <c r="P1002" s="8" t="str">
        <f t="shared" si="153"/>
        <v>FALSE</v>
      </c>
      <c r="Q1002" s="8" t="str">
        <f t="shared" si="154"/>
        <v>FALSE</v>
      </c>
      <c r="R1002" s="9" t="b">
        <f t="shared" si="155"/>
        <v>0</v>
      </c>
      <c r="S1002" s="8" t="b">
        <f t="shared" si="156"/>
        <v>1</v>
      </c>
      <c r="T1002" s="10" t="b">
        <f t="shared" si="157"/>
        <v>0</v>
      </c>
      <c r="U1002" s="8" t="str">
        <f t="shared" si="158"/>
        <v>FALSE</v>
      </c>
      <c r="V1002" s="11" t="str">
        <f t="shared" si="159"/>
        <v>TRUE</v>
      </c>
    </row>
  </sheetData>
  <autoFilter ref="A2:V1002">
    <filterColumn colId="11"/>
    <sortState ref="A3:U1002">
      <sortCondition ref="B2:B1002"/>
    </sortState>
  </autoFilter>
  <mergeCells count="2">
    <mergeCell ref="M1:V1"/>
    <mergeCell ref="A1:K1"/>
  </mergeCells>
  <hyperlinks>
    <hyperlink ref="J352" r:id="rId1" display="erniati@email.com"/>
  </hyperlinks>
  <pageMargins left="0.75" right="0.75" top="1" bottom="1" header="0.5" footer="0.5"/>
</worksheet>
</file>

<file path=xl/worksheets/sheet4.xml><?xml version="1.0" encoding="utf-8"?>
<worksheet xmlns="http://schemas.openxmlformats.org/spreadsheetml/2006/main" xmlns:r="http://schemas.openxmlformats.org/officeDocument/2006/relationships">
  <sheetPr>
    <tabColor theme="5" tint="0.39997558519241921"/>
  </sheetPr>
  <dimension ref="A1:L1002"/>
  <sheetViews>
    <sheetView zoomScale="85" zoomScaleNormal="85" workbookViewId="0">
      <selection activeCell="C10" sqref="C10"/>
    </sheetView>
  </sheetViews>
  <sheetFormatPr defaultRowHeight="15"/>
  <cols>
    <col min="1" max="1" width="6.42578125" bestFit="1" customWidth="1"/>
    <col min="2" max="2" width="14.42578125" bestFit="1" customWidth="1"/>
    <col min="3" max="3" width="32.85546875" bestFit="1" customWidth="1"/>
    <col min="4" max="4" width="9.42578125" bestFit="1" customWidth="1"/>
    <col min="5" max="5" width="10.42578125" bestFit="1" customWidth="1"/>
    <col min="6" max="6" width="11.85546875" bestFit="1" customWidth="1"/>
    <col min="7" max="7" width="13.28515625" bestFit="1" customWidth="1"/>
    <col min="8" max="8" width="15.42578125" bestFit="1" customWidth="1"/>
    <col min="9" max="9" width="9" bestFit="1" customWidth="1"/>
    <col min="10" max="10" width="40.28515625" bestFit="1" customWidth="1"/>
    <col min="11" max="11" width="13.140625" bestFit="1" customWidth="1"/>
  </cols>
  <sheetData>
    <row r="1" spans="1:12" s="36" customFormat="1">
      <c r="A1" s="102" t="s">
        <v>2926</v>
      </c>
      <c r="B1" s="102"/>
      <c r="C1" s="102"/>
      <c r="D1" s="102"/>
      <c r="E1" s="102"/>
      <c r="F1" s="102"/>
      <c r="G1" s="102"/>
      <c r="H1" s="102"/>
      <c r="I1" s="102"/>
      <c r="J1" s="102"/>
      <c r="K1" s="103"/>
    </row>
    <row r="2" spans="1:12" s="36" customFormat="1">
      <c r="A2" s="104" t="s">
        <v>2933</v>
      </c>
      <c r="B2" s="104" t="s">
        <v>0</v>
      </c>
      <c r="C2" s="104" t="s">
        <v>1</v>
      </c>
      <c r="D2" s="104" t="s">
        <v>2</v>
      </c>
      <c r="E2" s="104" t="s">
        <v>3</v>
      </c>
      <c r="F2" s="104" t="s">
        <v>4</v>
      </c>
      <c r="G2" s="104" t="s">
        <v>5</v>
      </c>
      <c r="H2" s="104" t="s">
        <v>6</v>
      </c>
      <c r="I2" s="104" t="s">
        <v>7</v>
      </c>
      <c r="J2" s="104" t="s">
        <v>8</v>
      </c>
      <c r="K2" s="104" t="s">
        <v>9</v>
      </c>
    </row>
    <row r="3" spans="1:12">
      <c r="A3" s="27">
        <v>1</v>
      </c>
      <c r="B3" s="28" t="s">
        <v>10</v>
      </c>
      <c r="C3" s="29" t="s">
        <v>3541</v>
      </c>
      <c r="D3" s="29" t="s">
        <v>17</v>
      </c>
      <c r="E3" s="32">
        <v>32288</v>
      </c>
      <c r="F3" s="74">
        <v>45964</v>
      </c>
      <c r="G3" s="30" t="s">
        <v>179</v>
      </c>
      <c r="H3" s="28" t="s">
        <v>36</v>
      </c>
      <c r="I3" s="28" t="s">
        <v>14</v>
      </c>
      <c r="J3" s="28" t="s">
        <v>5177</v>
      </c>
      <c r="K3" s="28" t="s">
        <v>15</v>
      </c>
    </row>
    <row r="4" spans="1:12">
      <c r="A4" s="27">
        <v>2</v>
      </c>
      <c r="B4" s="28" t="s">
        <v>16</v>
      </c>
      <c r="C4" s="29" t="s">
        <v>3973</v>
      </c>
      <c r="D4" s="29" t="s">
        <v>59</v>
      </c>
      <c r="E4" s="32">
        <v>31687</v>
      </c>
      <c r="F4" s="74">
        <v>45964</v>
      </c>
      <c r="G4" s="30" t="s">
        <v>179</v>
      </c>
      <c r="H4" s="28" t="s">
        <v>36</v>
      </c>
      <c r="I4" s="28" t="s">
        <v>14</v>
      </c>
      <c r="J4" s="28" t="s">
        <v>5275</v>
      </c>
      <c r="K4" s="28" t="s">
        <v>5811</v>
      </c>
    </row>
    <row r="5" spans="1:12">
      <c r="A5" s="27">
        <v>3</v>
      </c>
      <c r="B5" s="28" t="s">
        <v>22</v>
      </c>
      <c r="C5" s="29" t="s">
        <v>3974</v>
      </c>
      <c r="D5" s="29" t="s">
        <v>59</v>
      </c>
      <c r="E5" s="32">
        <v>34609</v>
      </c>
      <c r="F5" s="74">
        <v>45964</v>
      </c>
      <c r="G5" s="30" t="s">
        <v>24</v>
      </c>
      <c r="H5" s="28" t="s">
        <v>25</v>
      </c>
      <c r="I5" s="28" t="s">
        <v>42</v>
      </c>
      <c r="J5" s="28" t="s">
        <v>4696</v>
      </c>
      <c r="K5" s="28" t="s">
        <v>27</v>
      </c>
    </row>
    <row r="6" spans="1:12">
      <c r="A6" s="27">
        <v>4</v>
      </c>
      <c r="B6" s="28" t="s">
        <v>28</v>
      </c>
      <c r="C6" s="29" t="s">
        <v>3656</v>
      </c>
      <c r="D6" s="29" t="s">
        <v>59</v>
      </c>
      <c r="E6" s="32">
        <v>37745</v>
      </c>
      <c r="F6" s="74">
        <v>45964</v>
      </c>
      <c r="G6" s="30" t="s">
        <v>207</v>
      </c>
      <c r="H6" s="28" t="s">
        <v>31</v>
      </c>
      <c r="I6" s="28" t="s">
        <v>14</v>
      </c>
      <c r="J6" s="28" t="s">
        <v>4596</v>
      </c>
      <c r="K6" s="28" t="s">
        <v>32</v>
      </c>
    </row>
    <row r="7" spans="1:12">
      <c r="A7" s="27">
        <v>5</v>
      </c>
      <c r="B7" s="28" t="s">
        <v>33</v>
      </c>
      <c r="C7" s="29" t="s">
        <v>3542</v>
      </c>
      <c r="D7" s="29" t="s">
        <v>59</v>
      </c>
      <c r="E7" s="32">
        <v>35757</v>
      </c>
      <c r="F7" s="74">
        <v>45964</v>
      </c>
      <c r="G7" s="30" t="s">
        <v>179</v>
      </c>
      <c r="H7" s="28" t="s">
        <v>36</v>
      </c>
      <c r="I7" s="28" t="s">
        <v>14</v>
      </c>
      <c r="J7" s="28" t="s">
        <v>4645</v>
      </c>
      <c r="K7" s="28" t="s">
        <v>37</v>
      </c>
    </row>
    <row r="8" spans="1:12">
      <c r="A8" s="27">
        <v>6</v>
      </c>
      <c r="B8" s="28" t="s">
        <v>38</v>
      </c>
      <c r="C8" s="29" t="s">
        <v>3975</v>
      </c>
      <c r="D8" s="29" t="s">
        <v>17</v>
      </c>
      <c r="E8" s="32">
        <v>37423</v>
      </c>
      <c r="F8" s="74">
        <v>45964</v>
      </c>
      <c r="G8" s="30" t="s">
        <v>179</v>
      </c>
      <c r="H8" s="28" t="s">
        <v>36</v>
      </c>
      <c r="I8" s="28" t="s">
        <v>56</v>
      </c>
      <c r="J8" s="28" t="s">
        <v>4756</v>
      </c>
      <c r="K8" s="28" t="s">
        <v>43</v>
      </c>
    </row>
    <row r="9" spans="1:12">
      <c r="A9" s="27">
        <v>7</v>
      </c>
      <c r="B9" s="28" t="s">
        <v>44</v>
      </c>
      <c r="C9" s="29" t="s">
        <v>3976</v>
      </c>
      <c r="D9" s="29" t="s">
        <v>59</v>
      </c>
      <c r="E9" s="32">
        <v>31710</v>
      </c>
      <c r="F9" s="74">
        <v>45964</v>
      </c>
      <c r="G9" s="30" t="s">
        <v>24</v>
      </c>
      <c r="H9" s="28" t="s">
        <v>25</v>
      </c>
      <c r="I9" s="28" t="s">
        <v>14</v>
      </c>
      <c r="J9" s="28" t="s">
        <v>4528</v>
      </c>
      <c r="K9" s="28" t="s">
        <v>47</v>
      </c>
    </row>
    <row r="10" spans="1:12">
      <c r="A10" s="27">
        <v>8</v>
      </c>
      <c r="B10" s="28" t="s">
        <v>48</v>
      </c>
      <c r="C10" s="29" t="s">
        <v>3657</v>
      </c>
      <c r="D10" s="29" t="s">
        <v>59</v>
      </c>
      <c r="E10" s="32">
        <v>32421</v>
      </c>
      <c r="F10" s="74">
        <v>45964</v>
      </c>
      <c r="G10" s="30" t="s">
        <v>207</v>
      </c>
      <c r="H10" s="28" t="s">
        <v>31</v>
      </c>
      <c r="I10" s="28" t="s">
        <v>14</v>
      </c>
      <c r="J10" s="28" t="s">
        <v>4888</v>
      </c>
      <c r="K10" s="28" t="s">
        <v>51</v>
      </c>
    </row>
    <row r="11" spans="1:12">
      <c r="A11" s="27">
        <v>9</v>
      </c>
      <c r="B11" s="28" t="s">
        <v>52</v>
      </c>
      <c r="C11" s="29" t="s">
        <v>3435</v>
      </c>
      <c r="D11" s="29" t="s">
        <v>17</v>
      </c>
      <c r="E11" s="32">
        <v>34269</v>
      </c>
      <c r="F11" s="74">
        <v>45964</v>
      </c>
      <c r="G11" s="30" t="s">
        <v>179</v>
      </c>
      <c r="H11" s="28" t="s">
        <v>36</v>
      </c>
      <c r="I11" s="28" t="s">
        <v>56</v>
      </c>
      <c r="J11" s="28" t="s">
        <v>4743</v>
      </c>
      <c r="K11" s="28" t="s">
        <v>57</v>
      </c>
    </row>
    <row r="12" spans="1:12">
      <c r="A12" s="27">
        <v>10</v>
      </c>
      <c r="B12" s="28" t="s">
        <v>58</v>
      </c>
      <c r="C12" s="29" t="s">
        <v>3283</v>
      </c>
      <c r="D12" s="29" t="s">
        <v>59</v>
      </c>
      <c r="E12" s="32">
        <v>32216</v>
      </c>
      <c r="F12" s="74">
        <v>45964</v>
      </c>
      <c r="G12" s="30" t="s">
        <v>179</v>
      </c>
      <c r="H12" s="28" t="s">
        <v>36</v>
      </c>
      <c r="I12" s="28" t="s">
        <v>42</v>
      </c>
      <c r="J12" s="28" t="s">
        <v>5384</v>
      </c>
      <c r="K12" s="28" t="s">
        <v>63</v>
      </c>
      <c r="L12" s="33"/>
    </row>
    <row r="13" spans="1:12">
      <c r="A13" s="27">
        <v>11</v>
      </c>
      <c r="B13" s="28" t="s">
        <v>64</v>
      </c>
      <c r="C13" s="29" t="s">
        <v>3977</v>
      </c>
      <c r="D13" s="29" t="s">
        <v>17</v>
      </c>
      <c r="E13" s="32">
        <v>35882</v>
      </c>
      <c r="F13" s="74">
        <v>45964</v>
      </c>
      <c r="G13" s="30" t="s">
        <v>198</v>
      </c>
      <c r="H13" s="28" t="s">
        <v>20</v>
      </c>
      <c r="I13" s="28" t="s">
        <v>56</v>
      </c>
      <c r="J13" s="28" t="s">
        <v>4522</v>
      </c>
      <c r="K13" s="28" t="s">
        <v>68</v>
      </c>
    </row>
    <row r="14" spans="1:12">
      <c r="A14" s="27">
        <v>12</v>
      </c>
      <c r="B14" s="28" t="s">
        <v>69</v>
      </c>
      <c r="C14" s="29" t="s">
        <v>3978</v>
      </c>
      <c r="D14" s="29" t="s">
        <v>17</v>
      </c>
      <c r="E14" s="32">
        <v>36101</v>
      </c>
      <c r="F14" s="74">
        <v>45964</v>
      </c>
      <c r="G14" s="30" t="s">
        <v>40</v>
      </c>
      <c r="H14" s="28" t="s">
        <v>71</v>
      </c>
      <c r="I14" s="28" t="s">
        <v>14</v>
      </c>
      <c r="J14" s="28" t="s">
        <v>4673</v>
      </c>
      <c r="K14" s="28" t="s">
        <v>5843</v>
      </c>
    </row>
    <row r="15" spans="1:12">
      <c r="A15" s="27">
        <v>13</v>
      </c>
      <c r="B15" s="28" t="s">
        <v>72</v>
      </c>
      <c r="C15" s="29" t="s">
        <v>3979</v>
      </c>
      <c r="D15" s="29" t="s">
        <v>17</v>
      </c>
      <c r="E15" s="32">
        <v>37102</v>
      </c>
      <c r="F15" s="74">
        <v>45964</v>
      </c>
      <c r="G15" s="30" t="s">
        <v>179</v>
      </c>
      <c r="H15" s="28" t="s">
        <v>36</v>
      </c>
      <c r="I15" s="28" t="s">
        <v>56</v>
      </c>
      <c r="J15" s="28" t="s">
        <v>4915</v>
      </c>
      <c r="K15" s="28" t="s">
        <v>5871</v>
      </c>
    </row>
    <row r="16" spans="1:12">
      <c r="A16" s="27">
        <v>14</v>
      </c>
      <c r="B16" s="28" t="s">
        <v>76</v>
      </c>
      <c r="C16" s="29" t="s">
        <v>3980</v>
      </c>
      <c r="D16" s="29" t="s">
        <v>59</v>
      </c>
      <c r="E16" s="32">
        <v>37906</v>
      </c>
      <c r="F16" s="74">
        <v>45964</v>
      </c>
      <c r="G16" s="30" t="s">
        <v>179</v>
      </c>
      <c r="H16" s="28" t="s">
        <v>36</v>
      </c>
      <c r="I16" s="28" t="s">
        <v>14</v>
      </c>
      <c r="J16" s="28" t="s">
        <v>5145</v>
      </c>
      <c r="K16" s="28" t="s">
        <v>79</v>
      </c>
    </row>
    <row r="17" spans="1:11">
      <c r="A17" s="27">
        <v>15</v>
      </c>
      <c r="B17" s="28" t="s">
        <v>80</v>
      </c>
      <c r="C17" s="29" t="s">
        <v>3194</v>
      </c>
      <c r="D17" s="29" t="s">
        <v>59</v>
      </c>
      <c r="E17" s="32">
        <v>36327</v>
      </c>
      <c r="F17" s="74">
        <v>45964</v>
      </c>
      <c r="G17" s="30" t="s">
        <v>179</v>
      </c>
      <c r="H17" s="28" t="s">
        <v>36</v>
      </c>
      <c r="I17" s="28" t="s">
        <v>56</v>
      </c>
      <c r="J17" s="28" t="s">
        <v>5146</v>
      </c>
      <c r="K17" s="28" t="s">
        <v>5824</v>
      </c>
    </row>
    <row r="18" spans="1:11">
      <c r="A18" s="27">
        <v>16</v>
      </c>
      <c r="B18" s="28" t="s">
        <v>83</v>
      </c>
      <c r="C18" s="29" t="s">
        <v>3981</v>
      </c>
      <c r="D18" s="29" t="s">
        <v>17</v>
      </c>
      <c r="E18" s="32">
        <v>37988</v>
      </c>
      <c r="F18" s="74">
        <v>45964</v>
      </c>
      <c r="G18" s="30" t="s">
        <v>85</v>
      </c>
      <c r="H18" s="28" t="s">
        <v>120</v>
      </c>
      <c r="I18" s="28" t="s">
        <v>56</v>
      </c>
      <c r="J18" s="28" t="s">
        <v>5400</v>
      </c>
      <c r="K18" s="28" t="s">
        <v>87</v>
      </c>
    </row>
    <row r="19" spans="1:11">
      <c r="A19" s="27">
        <v>17</v>
      </c>
      <c r="B19" s="28" t="s">
        <v>88</v>
      </c>
      <c r="C19" s="29" t="s">
        <v>3982</v>
      </c>
      <c r="D19" s="29" t="s">
        <v>59</v>
      </c>
      <c r="E19" s="32">
        <v>32097</v>
      </c>
      <c r="F19" s="74">
        <v>45964</v>
      </c>
      <c r="G19" s="30" t="s">
        <v>198</v>
      </c>
      <c r="H19" s="28" t="s">
        <v>20</v>
      </c>
      <c r="I19" s="28" t="s">
        <v>56</v>
      </c>
      <c r="J19" s="28" t="s">
        <v>5082</v>
      </c>
      <c r="K19" s="28" t="s">
        <v>90</v>
      </c>
    </row>
    <row r="20" spans="1:11">
      <c r="A20" s="27">
        <v>18</v>
      </c>
      <c r="B20" s="28" t="s">
        <v>91</v>
      </c>
      <c r="C20" s="29" t="s">
        <v>3324</v>
      </c>
      <c r="D20" s="29" t="s">
        <v>17</v>
      </c>
      <c r="E20" s="32">
        <v>31515</v>
      </c>
      <c r="F20" s="74">
        <v>45964</v>
      </c>
      <c r="G20" s="30" t="s">
        <v>216</v>
      </c>
      <c r="H20" s="28" t="s">
        <v>217</v>
      </c>
      <c r="I20" s="28" t="s">
        <v>14</v>
      </c>
      <c r="J20" s="28" t="s">
        <v>5011</v>
      </c>
      <c r="K20" s="28" t="s">
        <v>95</v>
      </c>
    </row>
    <row r="21" spans="1:11">
      <c r="A21" s="27">
        <v>19</v>
      </c>
      <c r="B21" s="28" t="s">
        <v>96</v>
      </c>
      <c r="C21" s="29" t="s">
        <v>3195</v>
      </c>
      <c r="D21" s="29" t="s">
        <v>17</v>
      </c>
      <c r="E21" s="32">
        <v>36356</v>
      </c>
      <c r="F21" s="74">
        <v>45964</v>
      </c>
      <c r="G21" s="30" t="s">
        <v>179</v>
      </c>
      <c r="H21" s="28" t="s">
        <v>36</v>
      </c>
      <c r="I21" s="28" t="s">
        <v>56</v>
      </c>
      <c r="J21" s="28" t="s">
        <v>5346</v>
      </c>
      <c r="K21" s="28" t="s">
        <v>99</v>
      </c>
    </row>
    <row r="22" spans="1:11">
      <c r="A22" s="27">
        <v>20</v>
      </c>
      <c r="B22" s="28" t="s">
        <v>100</v>
      </c>
      <c r="C22" s="29" t="s">
        <v>3436</v>
      </c>
      <c r="D22" s="29" t="s">
        <v>17</v>
      </c>
      <c r="E22" s="32">
        <v>36732</v>
      </c>
      <c r="F22" s="74">
        <v>45964</v>
      </c>
      <c r="G22" s="30" t="s">
        <v>54</v>
      </c>
      <c r="H22" s="28" t="s">
        <v>140</v>
      </c>
      <c r="I22" s="28" t="s">
        <v>14</v>
      </c>
      <c r="J22" s="28" t="s">
        <v>4490</v>
      </c>
      <c r="K22" s="28" t="s">
        <v>103</v>
      </c>
    </row>
    <row r="23" spans="1:11">
      <c r="A23" s="27">
        <v>21</v>
      </c>
      <c r="B23" s="28" t="s">
        <v>104</v>
      </c>
      <c r="C23" s="29" t="s">
        <v>3983</v>
      </c>
      <c r="D23" s="29" t="s">
        <v>17</v>
      </c>
      <c r="E23" s="32">
        <v>34535</v>
      </c>
      <c r="F23" s="74">
        <v>45964</v>
      </c>
      <c r="G23" s="30" t="s">
        <v>40</v>
      </c>
      <c r="H23" s="28" t="s">
        <v>71</v>
      </c>
      <c r="I23" s="28" t="s">
        <v>14</v>
      </c>
      <c r="J23" s="28" t="s">
        <v>4467</v>
      </c>
      <c r="K23" s="28" t="s">
        <v>106</v>
      </c>
    </row>
    <row r="24" spans="1:11">
      <c r="A24" s="27">
        <v>22</v>
      </c>
      <c r="B24" s="28" t="s">
        <v>107</v>
      </c>
      <c r="C24" s="29" t="s">
        <v>3984</v>
      </c>
      <c r="D24" s="29" t="s">
        <v>17</v>
      </c>
      <c r="E24" s="32">
        <v>32047</v>
      </c>
      <c r="F24" s="74">
        <v>45964</v>
      </c>
      <c r="G24" s="30" t="s">
        <v>179</v>
      </c>
      <c r="H24" s="28" t="s">
        <v>36</v>
      </c>
      <c r="I24" s="28" t="s">
        <v>56</v>
      </c>
      <c r="J24" s="28" t="s">
        <v>5120</v>
      </c>
      <c r="K24" s="28" t="s">
        <v>109</v>
      </c>
    </row>
    <row r="25" spans="1:11">
      <c r="A25" s="27">
        <v>23</v>
      </c>
      <c r="B25" s="28" t="s">
        <v>110</v>
      </c>
      <c r="C25" s="29" t="s">
        <v>3437</v>
      </c>
      <c r="D25" s="29" t="s">
        <v>17</v>
      </c>
      <c r="E25" s="32">
        <v>31275</v>
      </c>
      <c r="F25" s="74">
        <v>45964</v>
      </c>
      <c r="G25" s="30" t="s">
        <v>54</v>
      </c>
      <c r="H25" s="28" t="s">
        <v>140</v>
      </c>
      <c r="I25" s="28" t="s">
        <v>14</v>
      </c>
      <c r="J25" s="28" t="s">
        <v>4919</v>
      </c>
      <c r="K25" s="28" t="s">
        <v>112</v>
      </c>
    </row>
    <row r="26" spans="1:11">
      <c r="A26" s="27">
        <v>24</v>
      </c>
      <c r="B26" s="28" t="s">
        <v>113</v>
      </c>
      <c r="C26" s="29" t="s">
        <v>3658</v>
      </c>
      <c r="D26" s="29" t="s">
        <v>59</v>
      </c>
      <c r="E26" s="32">
        <v>31228</v>
      </c>
      <c r="F26" s="74">
        <v>45964</v>
      </c>
      <c r="G26" s="30" t="s">
        <v>179</v>
      </c>
      <c r="H26" s="28" t="s">
        <v>36</v>
      </c>
      <c r="I26" s="28" t="s">
        <v>42</v>
      </c>
      <c r="J26" s="28" t="s">
        <v>5289</v>
      </c>
      <c r="K26" s="28" t="s">
        <v>116</v>
      </c>
    </row>
    <row r="27" spans="1:11">
      <c r="A27" s="27">
        <v>25</v>
      </c>
      <c r="B27" s="28" t="s">
        <v>117</v>
      </c>
      <c r="C27" s="29" t="s">
        <v>3985</v>
      </c>
      <c r="D27" s="29" t="s">
        <v>17</v>
      </c>
      <c r="E27" s="32">
        <v>34822</v>
      </c>
      <c r="F27" s="74">
        <v>45964</v>
      </c>
      <c r="G27" s="30" t="s">
        <v>85</v>
      </c>
      <c r="H27" s="28" t="s">
        <v>120</v>
      </c>
      <c r="I27" s="28" t="s">
        <v>42</v>
      </c>
      <c r="J27" s="28" t="s">
        <v>4951</v>
      </c>
      <c r="K27" s="28" t="s">
        <v>121</v>
      </c>
    </row>
    <row r="28" spans="1:11">
      <c r="A28" s="27">
        <v>26</v>
      </c>
      <c r="B28" s="28" t="s">
        <v>122</v>
      </c>
      <c r="C28" s="29" t="s">
        <v>3543</v>
      </c>
      <c r="D28" s="29" t="s">
        <v>59</v>
      </c>
      <c r="E28" s="32">
        <v>31108</v>
      </c>
      <c r="F28" s="74">
        <v>45964</v>
      </c>
      <c r="G28" s="30" t="s">
        <v>179</v>
      </c>
      <c r="H28" s="28" t="s">
        <v>36</v>
      </c>
      <c r="I28" s="28" t="s">
        <v>56</v>
      </c>
      <c r="J28" s="28" t="s">
        <v>5073</v>
      </c>
      <c r="K28" s="28" t="s">
        <v>124</v>
      </c>
    </row>
    <row r="29" spans="1:11">
      <c r="A29" s="27">
        <v>27</v>
      </c>
      <c r="B29" s="28" t="s">
        <v>125</v>
      </c>
      <c r="C29" s="29" t="s">
        <v>3986</v>
      </c>
      <c r="D29" s="29" t="s">
        <v>17</v>
      </c>
      <c r="E29" s="32">
        <v>34378</v>
      </c>
      <c r="F29" s="74">
        <v>45964</v>
      </c>
      <c r="G29" s="30" t="s">
        <v>179</v>
      </c>
      <c r="H29" s="28" t="s">
        <v>36</v>
      </c>
      <c r="I29" s="28" t="s">
        <v>56</v>
      </c>
      <c r="J29" s="28" t="s">
        <v>5202</v>
      </c>
      <c r="K29" s="28" t="s">
        <v>127</v>
      </c>
    </row>
    <row r="30" spans="1:11">
      <c r="A30" s="27">
        <v>28</v>
      </c>
      <c r="B30" s="28" t="s">
        <v>128</v>
      </c>
      <c r="C30" s="29" t="s">
        <v>3987</v>
      </c>
      <c r="D30" s="29" t="s">
        <v>59</v>
      </c>
      <c r="E30" s="32">
        <v>35570</v>
      </c>
      <c r="F30" s="74">
        <v>45964</v>
      </c>
      <c r="G30" s="30" t="s">
        <v>198</v>
      </c>
      <c r="H30" s="28" t="s">
        <v>20</v>
      </c>
      <c r="I30" s="28" t="s">
        <v>56</v>
      </c>
      <c r="J30" s="28" t="s">
        <v>4751</v>
      </c>
      <c r="K30" s="28" t="s">
        <v>131</v>
      </c>
    </row>
    <row r="31" spans="1:11">
      <c r="A31" s="27">
        <v>29</v>
      </c>
      <c r="B31" s="28" t="s">
        <v>132</v>
      </c>
      <c r="C31" s="29" t="s">
        <v>3988</v>
      </c>
      <c r="D31" s="29" t="s">
        <v>17</v>
      </c>
      <c r="E31" s="32">
        <v>34354</v>
      </c>
      <c r="F31" s="74">
        <v>45964</v>
      </c>
      <c r="G31" s="30" t="s">
        <v>179</v>
      </c>
      <c r="H31" s="28" t="s">
        <v>36</v>
      </c>
      <c r="I31" s="28" t="s">
        <v>14</v>
      </c>
      <c r="J31" s="28" t="s">
        <v>4787</v>
      </c>
      <c r="K31" s="28" t="s">
        <v>134</v>
      </c>
    </row>
    <row r="32" spans="1:11">
      <c r="A32" s="27">
        <v>30</v>
      </c>
      <c r="B32" s="28" t="s">
        <v>135</v>
      </c>
      <c r="C32" s="29" t="s">
        <v>3989</v>
      </c>
      <c r="D32" s="29" t="s">
        <v>17</v>
      </c>
      <c r="E32" s="32">
        <v>35301</v>
      </c>
      <c r="F32" s="74">
        <v>45964</v>
      </c>
      <c r="G32" s="30" t="s">
        <v>179</v>
      </c>
      <c r="H32" s="28" t="s">
        <v>36</v>
      </c>
      <c r="I32" s="28" t="s">
        <v>56</v>
      </c>
      <c r="J32" s="28" t="s">
        <v>5221</v>
      </c>
      <c r="K32" s="28" t="s">
        <v>137</v>
      </c>
    </row>
    <row r="33" spans="1:11">
      <c r="A33" s="27">
        <v>31</v>
      </c>
      <c r="B33" s="28" t="s">
        <v>138</v>
      </c>
      <c r="C33" s="29" t="s">
        <v>3438</v>
      </c>
      <c r="D33" s="29" t="s">
        <v>59</v>
      </c>
      <c r="E33" s="32">
        <v>36178</v>
      </c>
      <c r="F33" s="74">
        <v>45964</v>
      </c>
      <c r="G33" s="30" t="s">
        <v>179</v>
      </c>
      <c r="H33" s="28" t="s">
        <v>36</v>
      </c>
      <c r="I33" s="28" t="s">
        <v>42</v>
      </c>
      <c r="J33" s="28" t="s">
        <v>5100</v>
      </c>
      <c r="K33" s="28" t="s">
        <v>5874</v>
      </c>
    </row>
    <row r="34" spans="1:11">
      <c r="A34" s="27">
        <v>32</v>
      </c>
      <c r="B34" s="28" t="s">
        <v>142</v>
      </c>
      <c r="C34" s="29" t="s">
        <v>3990</v>
      </c>
      <c r="D34" s="29" t="s">
        <v>59</v>
      </c>
      <c r="E34" s="32">
        <v>36796</v>
      </c>
      <c r="F34" s="74">
        <v>45964</v>
      </c>
      <c r="G34" s="30" t="s">
        <v>24</v>
      </c>
      <c r="H34" s="28" t="s">
        <v>25</v>
      </c>
      <c r="I34" s="28" t="s">
        <v>42</v>
      </c>
      <c r="J34" s="28" t="s">
        <v>5251</v>
      </c>
      <c r="K34" s="28" t="s">
        <v>145</v>
      </c>
    </row>
    <row r="35" spans="1:11">
      <c r="A35" s="27">
        <v>33</v>
      </c>
      <c r="B35" s="28" t="s">
        <v>146</v>
      </c>
      <c r="C35" s="29" t="s">
        <v>3439</v>
      </c>
      <c r="D35" s="29" t="s">
        <v>59</v>
      </c>
      <c r="E35" s="32">
        <v>37698</v>
      </c>
      <c r="F35" s="74">
        <v>45964</v>
      </c>
      <c r="G35" s="30" t="s">
        <v>179</v>
      </c>
      <c r="H35" s="28" t="s">
        <v>36</v>
      </c>
      <c r="I35" s="28" t="s">
        <v>42</v>
      </c>
      <c r="J35" s="28" t="s">
        <v>4484</v>
      </c>
      <c r="K35" s="28" t="s">
        <v>148</v>
      </c>
    </row>
    <row r="36" spans="1:11">
      <c r="A36" s="27">
        <v>34</v>
      </c>
      <c r="B36" s="28" t="s">
        <v>149</v>
      </c>
      <c r="C36" s="29" t="s">
        <v>3991</v>
      </c>
      <c r="D36" s="29" t="s">
        <v>59</v>
      </c>
      <c r="E36" s="32">
        <v>35515</v>
      </c>
      <c r="F36" s="74">
        <v>45964</v>
      </c>
      <c r="G36" s="30" t="s">
        <v>179</v>
      </c>
      <c r="H36" s="28" t="s">
        <v>36</v>
      </c>
      <c r="I36" s="28" t="s">
        <v>14</v>
      </c>
      <c r="J36" s="28" t="s">
        <v>5192</v>
      </c>
      <c r="K36" s="28" t="s">
        <v>5849</v>
      </c>
    </row>
    <row r="37" spans="1:11">
      <c r="A37" s="27">
        <v>35</v>
      </c>
      <c r="B37" s="28" t="s">
        <v>152</v>
      </c>
      <c r="C37" s="29" t="s">
        <v>3992</v>
      </c>
      <c r="D37" s="29" t="s">
        <v>17</v>
      </c>
      <c r="E37" s="32">
        <v>37793</v>
      </c>
      <c r="F37" s="74">
        <v>45964</v>
      </c>
      <c r="G37" s="30" t="s">
        <v>179</v>
      </c>
      <c r="H37" s="28" t="s">
        <v>36</v>
      </c>
      <c r="I37" s="28" t="s">
        <v>56</v>
      </c>
      <c r="J37" s="28" t="s">
        <v>5007</v>
      </c>
      <c r="K37" s="28" t="s">
        <v>5873</v>
      </c>
    </row>
    <row r="38" spans="1:11">
      <c r="A38" s="27">
        <v>36</v>
      </c>
      <c r="B38" s="28" t="s">
        <v>155</v>
      </c>
      <c r="C38" s="29" t="s">
        <v>3196</v>
      </c>
      <c r="D38" s="29" t="s">
        <v>17</v>
      </c>
      <c r="E38" s="32">
        <v>36620</v>
      </c>
      <c r="F38" s="74">
        <v>45964</v>
      </c>
      <c r="G38" s="30" t="s">
        <v>172</v>
      </c>
      <c r="H38" s="28" t="s">
        <v>62</v>
      </c>
      <c r="I38" s="28" t="s">
        <v>14</v>
      </c>
      <c r="J38" s="28" t="s">
        <v>4492</v>
      </c>
      <c r="K38" s="28" t="s">
        <v>5940</v>
      </c>
    </row>
    <row r="39" spans="1:11">
      <c r="A39" s="27">
        <v>37</v>
      </c>
      <c r="B39" s="28" t="s">
        <v>158</v>
      </c>
      <c r="C39" s="29" t="s">
        <v>3575</v>
      </c>
      <c r="D39" s="29" t="s">
        <v>59</v>
      </c>
      <c r="E39" s="32">
        <v>32816</v>
      </c>
      <c r="F39" s="74">
        <v>45964</v>
      </c>
      <c r="G39" s="30" t="s">
        <v>179</v>
      </c>
      <c r="H39" s="28" t="s">
        <v>36</v>
      </c>
      <c r="I39" s="28" t="s">
        <v>42</v>
      </c>
      <c r="J39" s="28" t="s">
        <v>5200</v>
      </c>
      <c r="K39" s="28" t="s">
        <v>161</v>
      </c>
    </row>
    <row r="40" spans="1:11">
      <c r="A40" s="27">
        <v>38</v>
      </c>
      <c r="B40" s="28" t="s">
        <v>162</v>
      </c>
      <c r="C40" s="29" t="s">
        <v>3544</v>
      </c>
      <c r="D40" s="29" t="s">
        <v>17</v>
      </c>
      <c r="E40" s="32">
        <v>36959</v>
      </c>
      <c r="F40" s="74">
        <v>45964</v>
      </c>
      <c r="G40" s="30" t="s">
        <v>179</v>
      </c>
      <c r="H40" s="28" t="s">
        <v>36</v>
      </c>
      <c r="I40" s="28" t="s">
        <v>14</v>
      </c>
      <c r="J40" s="28" t="s">
        <v>4613</v>
      </c>
      <c r="K40" s="28" t="s">
        <v>5831</v>
      </c>
    </row>
    <row r="41" spans="1:11">
      <c r="A41" s="27">
        <v>39</v>
      </c>
      <c r="B41" s="28" t="s">
        <v>164</v>
      </c>
      <c r="C41" s="29" t="s">
        <v>3197</v>
      </c>
      <c r="D41" s="29" t="s">
        <v>59</v>
      </c>
      <c r="E41" s="32">
        <v>38011</v>
      </c>
      <c r="F41" s="74">
        <v>45964</v>
      </c>
      <c r="G41" s="30" t="s">
        <v>172</v>
      </c>
      <c r="H41" s="28" t="s">
        <v>62</v>
      </c>
      <c r="I41" s="28" t="s">
        <v>14</v>
      </c>
      <c r="J41" s="28" t="s">
        <v>5386</v>
      </c>
      <c r="K41" s="28" t="s">
        <v>166</v>
      </c>
    </row>
    <row r="42" spans="1:11">
      <c r="A42" s="27">
        <v>40</v>
      </c>
      <c r="B42" s="28" t="s">
        <v>167</v>
      </c>
      <c r="C42" s="29" t="s">
        <v>3659</v>
      </c>
      <c r="D42" s="29" t="s">
        <v>17</v>
      </c>
      <c r="E42" s="32">
        <v>32168</v>
      </c>
      <c r="F42" s="74">
        <v>45964</v>
      </c>
      <c r="G42" s="30" t="s">
        <v>179</v>
      </c>
      <c r="H42" s="28" t="s">
        <v>36</v>
      </c>
      <c r="I42" s="28" t="s">
        <v>42</v>
      </c>
      <c r="J42" s="28" t="s">
        <v>4525</v>
      </c>
      <c r="K42" s="28" t="s">
        <v>169</v>
      </c>
    </row>
    <row r="43" spans="1:11">
      <c r="A43" s="27">
        <v>41</v>
      </c>
      <c r="B43" s="28" t="s">
        <v>170</v>
      </c>
      <c r="C43" s="29" t="s">
        <v>3198</v>
      </c>
      <c r="D43" s="29" t="s">
        <v>59</v>
      </c>
      <c r="E43" s="32">
        <v>32105</v>
      </c>
      <c r="F43" s="74">
        <v>45964</v>
      </c>
      <c r="G43" s="30" t="s">
        <v>179</v>
      </c>
      <c r="H43" s="28" t="s">
        <v>36</v>
      </c>
      <c r="I43" s="28" t="s">
        <v>56</v>
      </c>
      <c r="J43" s="28" t="s">
        <v>4758</v>
      </c>
      <c r="K43" s="28" t="s">
        <v>5894</v>
      </c>
    </row>
    <row r="44" spans="1:11">
      <c r="A44" s="27">
        <v>42</v>
      </c>
      <c r="B44" s="28" t="s">
        <v>174</v>
      </c>
      <c r="C44" s="29" t="s">
        <v>3660</v>
      </c>
      <c r="D44" s="29" t="s">
        <v>17</v>
      </c>
      <c r="E44" s="32">
        <v>32994</v>
      </c>
      <c r="F44" s="74">
        <v>45964</v>
      </c>
      <c r="G44" s="30" t="s">
        <v>207</v>
      </c>
      <c r="H44" s="28" t="s">
        <v>31</v>
      </c>
      <c r="I44" s="28" t="s">
        <v>14</v>
      </c>
      <c r="J44" s="28" t="s">
        <v>4608</v>
      </c>
      <c r="K44" s="28" t="s">
        <v>176</v>
      </c>
    </row>
    <row r="45" spans="1:11">
      <c r="A45" s="27">
        <v>43</v>
      </c>
      <c r="B45" s="28" t="s">
        <v>177</v>
      </c>
      <c r="C45" s="29" t="s">
        <v>3576</v>
      </c>
      <c r="D45" s="29" t="s">
        <v>17</v>
      </c>
      <c r="E45" s="32">
        <v>32883</v>
      </c>
      <c r="F45" s="74">
        <v>45964</v>
      </c>
      <c r="G45" s="30" t="s">
        <v>179</v>
      </c>
      <c r="H45" s="28" t="s">
        <v>36</v>
      </c>
      <c r="I45" s="28" t="s">
        <v>14</v>
      </c>
      <c r="J45" s="28" t="s">
        <v>5213</v>
      </c>
      <c r="K45" s="28" t="s">
        <v>180</v>
      </c>
    </row>
    <row r="46" spans="1:11">
      <c r="A46" s="27">
        <v>44</v>
      </c>
      <c r="B46" s="28" t="s">
        <v>181</v>
      </c>
      <c r="C46" s="29" t="s">
        <v>3325</v>
      </c>
      <c r="D46" s="29" t="s">
        <v>17</v>
      </c>
      <c r="E46" s="32">
        <v>31785</v>
      </c>
      <c r="F46" s="74">
        <v>45964</v>
      </c>
      <c r="G46" s="30" t="s">
        <v>179</v>
      </c>
      <c r="H46" s="28" t="s">
        <v>36</v>
      </c>
      <c r="I46" s="28" t="s">
        <v>56</v>
      </c>
      <c r="J46" s="28" t="s">
        <v>4674</v>
      </c>
      <c r="K46" s="28" t="s">
        <v>183</v>
      </c>
    </row>
    <row r="47" spans="1:11">
      <c r="A47" s="27">
        <v>45</v>
      </c>
      <c r="B47" s="28" t="s">
        <v>184</v>
      </c>
      <c r="C47" s="29" t="s">
        <v>3577</v>
      </c>
      <c r="D47" s="29" t="s">
        <v>59</v>
      </c>
      <c r="E47" s="32">
        <v>32864</v>
      </c>
      <c r="F47" s="74">
        <v>45964</v>
      </c>
      <c r="G47" s="30" t="s">
        <v>179</v>
      </c>
      <c r="H47" s="28" t="s">
        <v>36</v>
      </c>
      <c r="I47" s="28" t="s">
        <v>14</v>
      </c>
      <c r="J47" s="28" t="s">
        <v>5383</v>
      </c>
      <c r="K47" s="28" t="s">
        <v>186</v>
      </c>
    </row>
    <row r="48" spans="1:11">
      <c r="A48" s="27">
        <v>46</v>
      </c>
      <c r="B48" s="28" t="s">
        <v>187</v>
      </c>
      <c r="C48" s="29" t="s">
        <v>3284</v>
      </c>
      <c r="D48" s="29" t="s">
        <v>59</v>
      </c>
      <c r="E48" s="32">
        <v>35356</v>
      </c>
      <c r="F48" s="74">
        <v>45964</v>
      </c>
      <c r="G48" s="30" t="s">
        <v>179</v>
      </c>
      <c r="H48" s="28" t="s">
        <v>36</v>
      </c>
      <c r="I48" s="28" t="s">
        <v>14</v>
      </c>
      <c r="J48" s="28" t="s">
        <v>4803</v>
      </c>
      <c r="K48" s="28" t="s">
        <v>189</v>
      </c>
    </row>
    <row r="49" spans="1:11">
      <c r="A49" s="27">
        <v>47</v>
      </c>
      <c r="B49" s="28" t="s">
        <v>190</v>
      </c>
      <c r="C49" s="29" t="s">
        <v>3578</v>
      </c>
      <c r="D49" s="29" t="s">
        <v>59</v>
      </c>
      <c r="E49" s="32">
        <v>34248</v>
      </c>
      <c r="F49" s="74">
        <v>45964</v>
      </c>
      <c r="G49" s="30" t="s">
        <v>179</v>
      </c>
      <c r="H49" s="28" t="s">
        <v>36</v>
      </c>
      <c r="I49" s="28" t="s">
        <v>56</v>
      </c>
      <c r="J49" s="28" t="s">
        <v>4601</v>
      </c>
      <c r="K49" s="28" t="s">
        <v>192</v>
      </c>
    </row>
    <row r="50" spans="1:11">
      <c r="A50" s="27">
        <v>48</v>
      </c>
      <c r="B50" s="28" t="s">
        <v>193</v>
      </c>
      <c r="C50" s="29" t="s">
        <v>3993</v>
      </c>
      <c r="D50" s="29" t="s">
        <v>17</v>
      </c>
      <c r="E50" s="32">
        <v>31089</v>
      </c>
      <c r="F50" s="74">
        <v>45964</v>
      </c>
      <c r="G50" s="30" t="s">
        <v>85</v>
      </c>
      <c r="H50" s="28" t="s">
        <v>120</v>
      </c>
      <c r="I50" s="28" t="s">
        <v>14</v>
      </c>
      <c r="J50" s="28" t="s">
        <v>4810</v>
      </c>
      <c r="K50" s="28" t="s">
        <v>195</v>
      </c>
    </row>
    <row r="51" spans="1:11">
      <c r="A51" s="27">
        <v>49</v>
      </c>
      <c r="B51" s="28" t="s">
        <v>196</v>
      </c>
      <c r="C51" s="29" t="s">
        <v>3994</v>
      </c>
      <c r="D51" s="29" t="s">
        <v>59</v>
      </c>
      <c r="E51" s="32">
        <v>35789</v>
      </c>
      <c r="F51" s="74">
        <v>45964</v>
      </c>
      <c r="G51" s="30" t="s">
        <v>179</v>
      </c>
      <c r="H51" s="28" t="s">
        <v>36</v>
      </c>
      <c r="I51" s="28" t="s">
        <v>14</v>
      </c>
      <c r="J51" s="28" t="s">
        <v>5099</v>
      </c>
      <c r="K51" s="28" t="s">
        <v>199</v>
      </c>
    </row>
    <row r="52" spans="1:11">
      <c r="A52" s="27">
        <v>50</v>
      </c>
      <c r="B52" s="28" t="s">
        <v>200</v>
      </c>
      <c r="C52" s="29" t="s">
        <v>3199</v>
      </c>
      <c r="D52" s="29" t="s">
        <v>59</v>
      </c>
      <c r="E52" s="32">
        <v>34925</v>
      </c>
      <c r="F52" s="74">
        <v>45964</v>
      </c>
      <c r="G52" s="30" t="s">
        <v>179</v>
      </c>
      <c r="H52" s="28" t="s">
        <v>36</v>
      </c>
      <c r="I52" s="28" t="s">
        <v>56</v>
      </c>
      <c r="J52" s="28" t="s">
        <v>5188</v>
      </c>
      <c r="K52" s="28" t="s">
        <v>202</v>
      </c>
    </row>
    <row r="53" spans="1:11">
      <c r="A53" s="27">
        <v>51</v>
      </c>
      <c r="B53" s="28" t="s">
        <v>203</v>
      </c>
      <c r="C53" s="29" t="s">
        <v>3995</v>
      </c>
      <c r="D53" s="29" t="s">
        <v>17</v>
      </c>
      <c r="E53" s="32">
        <v>37414</v>
      </c>
      <c r="F53" s="74">
        <v>45964</v>
      </c>
      <c r="G53" s="30" t="s">
        <v>179</v>
      </c>
      <c r="H53" s="28" t="s">
        <v>36</v>
      </c>
      <c r="I53" s="28" t="s">
        <v>56</v>
      </c>
      <c r="J53" s="28" t="s">
        <v>5233</v>
      </c>
      <c r="K53" s="28" t="s">
        <v>205</v>
      </c>
    </row>
    <row r="54" spans="1:11">
      <c r="A54" s="27">
        <v>52</v>
      </c>
      <c r="B54" s="28" t="s">
        <v>3935</v>
      </c>
      <c r="C54" s="29" t="s">
        <v>3661</v>
      </c>
      <c r="D54" s="29" t="s">
        <v>59</v>
      </c>
      <c r="E54" s="32">
        <v>33058</v>
      </c>
      <c r="F54" s="74">
        <v>45964</v>
      </c>
      <c r="G54" s="30" t="s">
        <v>207</v>
      </c>
      <c r="H54" s="28" t="s">
        <v>31</v>
      </c>
      <c r="I54" s="28" t="s">
        <v>14</v>
      </c>
      <c r="J54" s="28" t="s">
        <v>4582</v>
      </c>
      <c r="K54" s="28" t="s">
        <v>208</v>
      </c>
    </row>
    <row r="55" spans="1:11">
      <c r="A55" s="27">
        <v>53</v>
      </c>
      <c r="B55" s="28" t="s">
        <v>209</v>
      </c>
      <c r="C55" s="29" t="s">
        <v>3996</v>
      </c>
      <c r="D55" s="29" t="s">
        <v>17</v>
      </c>
      <c r="E55" s="32">
        <v>36565</v>
      </c>
      <c r="F55" s="74">
        <v>45964</v>
      </c>
      <c r="G55" s="30" t="s">
        <v>85</v>
      </c>
      <c r="H55" s="28" t="s">
        <v>120</v>
      </c>
      <c r="I55" s="28" t="s">
        <v>56</v>
      </c>
      <c r="J55" s="28" t="s">
        <v>5201</v>
      </c>
      <c r="K55" s="28" t="s">
        <v>211</v>
      </c>
    </row>
    <row r="56" spans="1:11">
      <c r="A56" s="27">
        <v>54</v>
      </c>
      <c r="B56" s="28" t="s">
        <v>3936</v>
      </c>
      <c r="C56" s="29" t="s">
        <v>3662</v>
      </c>
      <c r="D56" s="29" t="s">
        <v>59</v>
      </c>
      <c r="E56" s="32">
        <v>37270</v>
      </c>
      <c r="F56" s="74">
        <v>45964</v>
      </c>
      <c r="G56" s="30" t="s">
        <v>207</v>
      </c>
      <c r="H56" s="28" t="s">
        <v>31</v>
      </c>
      <c r="I56" s="28" t="s">
        <v>14</v>
      </c>
      <c r="J56" s="28" t="s">
        <v>5108</v>
      </c>
      <c r="K56" s="28" t="s">
        <v>213</v>
      </c>
    </row>
    <row r="57" spans="1:11">
      <c r="A57" s="27">
        <v>55</v>
      </c>
      <c r="B57" s="28" t="s">
        <v>214</v>
      </c>
      <c r="C57" s="29" t="s">
        <v>3326</v>
      </c>
      <c r="D57" s="29" t="s">
        <v>17</v>
      </c>
      <c r="E57" s="32">
        <v>36871</v>
      </c>
      <c r="F57" s="74">
        <v>45964</v>
      </c>
      <c r="G57" s="30" t="s">
        <v>216</v>
      </c>
      <c r="H57" s="28" t="s">
        <v>217</v>
      </c>
      <c r="I57" s="28" t="s">
        <v>14</v>
      </c>
      <c r="J57" s="28" t="s">
        <v>4703</v>
      </c>
      <c r="K57" s="28" t="s">
        <v>218</v>
      </c>
    </row>
    <row r="58" spans="1:11">
      <c r="A58" s="27">
        <v>56</v>
      </c>
      <c r="B58" s="28" t="s">
        <v>3937</v>
      </c>
      <c r="C58" s="29" t="s">
        <v>3997</v>
      </c>
      <c r="D58" s="29" t="s">
        <v>59</v>
      </c>
      <c r="E58" s="32">
        <v>35230</v>
      </c>
      <c r="F58" s="74">
        <v>45964</v>
      </c>
      <c r="G58" s="30" t="s">
        <v>179</v>
      </c>
      <c r="H58" s="28" t="s">
        <v>36</v>
      </c>
      <c r="I58" s="28" t="s">
        <v>14</v>
      </c>
      <c r="J58" s="28" t="s">
        <v>5098</v>
      </c>
      <c r="K58" s="28" t="s">
        <v>220</v>
      </c>
    </row>
    <row r="59" spans="1:11">
      <c r="A59" s="27">
        <v>57</v>
      </c>
      <c r="B59" s="28" t="s">
        <v>221</v>
      </c>
      <c r="C59" s="29" t="s">
        <v>3200</v>
      </c>
      <c r="D59" s="29" t="s">
        <v>59</v>
      </c>
      <c r="E59" s="32">
        <v>37356</v>
      </c>
      <c r="F59" s="74">
        <v>45964</v>
      </c>
      <c r="G59" s="30" t="s">
        <v>179</v>
      </c>
      <c r="H59" s="28" t="s">
        <v>36</v>
      </c>
      <c r="I59" s="28" t="s">
        <v>56</v>
      </c>
      <c r="J59" s="28" t="s">
        <v>4496</v>
      </c>
      <c r="K59" s="28" t="s">
        <v>223</v>
      </c>
    </row>
    <row r="60" spans="1:11">
      <c r="A60" s="27">
        <v>58</v>
      </c>
      <c r="B60" s="28" t="s">
        <v>224</v>
      </c>
      <c r="C60" s="29" t="s">
        <v>3440</v>
      </c>
      <c r="D60" s="29" t="s">
        <v>59</v>
      </c>
      <c r="E60" s="32">
        <v>32379</v>
      </c>
      <c r="F60" s="74">
        <v>45964</v>
      </c>
      <c r="G60" s="30" t="s">
        <v>179</v>
      </c>
      <c r="H60" s="28" t="s">
        <v>36</v>
      </c>
      <c r="I60" s="28" t="s">
        <v>42</v>
      </c>
      <c r="J60" s="28" t="s">
        <v>5410</v>
      </c>
      <c r="K60" s="28" t="s">
        <v>226</v>
      </c>
    </row>
    <row r="61" spans="1:11">
      <c r="A61" s="27">
        <v>59</v>
      </c>
      <c r="B61" s="28" t="s">
        <v>227</v>
      </c>
      <c r="C61" s="29" t="s">
        <v>3998</v>
      </c>
      <c r="D61" s="29" t="s">
        <v>17</v>
      </c>
      <c r="E61" s="32">
        <v>32026</v>
      </c>
      <c r="F61" s="74">
        <v>45964</v>
      </c>
      <c r="G61" s="30" t="s">
        <v>179</v>
      </c>
      <c r="H61" s="28" t="s">
        <v>36</v>
      </c>
      <c r="I61" s="28" t="s">
        <v>56</v>
      </c>
      <c r="J61" s="28" t="s">
        <v>5088</v>
      </c>
      <c r="K61" s="28" t="s">
        <v>229</v>
      </c>
    </row>
    <row r="62" spans="1:11">
      <c r="A62" s="27">
        <v>60</v>
      </c>
      <c r="B62" s="28" t="s">
        <v>230</v>
      </c>
      <c r="C62" s="29" t="s">
        <v>3999</v>
      </c>
      <c r="D62" s="29" t="s">
        <v>17</v>
      </c>
      <c r="E62" s="32">
        <v>32596</v>
      </c>
      <c r="F62" s="74">
        <v>45964</v>
      </c>
      <c r="G62" s="30" t="s">
        <v>85</v>
      </c>
      <c r="H62" s="28" t="s">
        <v>120</v>
      </c>
      <c r="I62" s="28" t="s">
        <v>14</v>
      </c>
      <c r="J62" s="28" t="s">
        <v>4587</v>
      </c>
      <c r="K62" s="28" t="s">
        <v>232</v>
      </c>
    </row>
    <row r="63" spans="1:11">
      <c r="A63" s="27">
        <v>61</v>
      </c>
      <c r="B63" s="28" t="s">
        <v>233</v>
      </c>
      <c r="C63" s="29" t="s">
        <v>4000</v>
      </c>
      <c r="D63" s="29" t="s">
        <v>59</v>
      </c>
      <c r="E63" s="32">
        <v>33736</v>
      </c>
      <c r="F63" s="74">
        <v>45964</v>
      </c>
      <c r="G63" s="30" t="s">
        <v>198</v>
      </c>
      <c r="H63" s="28" t="s">
        <v>20</v>
      </c>
      <c r="I63" s="28" t="s">
        <v>56</v>
      </c>
      <c r="J63" s="28" t="s">
        <v>5374</v>
      </c>
      <c r="K63" s="28" t="s">
        <v>235</v>
      </c>
    </row>
    <row r="64" spans="1:11">
      <c r="A64" s="27">
        <v>62</v>
      </c>
      <c r="B64" s="28" t="s">
        <v>236</v>
      </c>
      <c r="C64" s="29" t="s">
        <v>3579</v>
      </c>
      <c r="D64" s="29" t="s">
        <v>59</v>
      </c>
      <c r="E64" s="32">
        <v>33888</v>
      </c>
      <c r="F64" s="74">
        <v>45964</v>
      </c>
      <c r="G64" s="30" t="s">
        <v>179</v>
      </c>
      <c r="H64" s="28" t="s">
        <v>36</v>
      </c>
      <c r="I64" s="28" t="s">
        <v>42</v>
      </c>
      <c r="J64" s="28" t="s">
        <v>4924</v>
      </c>
      <c r="K64" s="28" t="s">
        <v>238</v>
      </c>
    </row>
    <row r="65" spans="1:11">
      <c r="A65" s="27">
        <v>63</v>
      </c>
      <c r="B65" s="28" t="s">
        <v>239</v>
      </c>
      <c r="C65" s="29" t="s">
        <v>3441</v>
      </c>
      <c r="D65" s="29" t="s">
        <v>17</v>
      </c>
      <c r="E65" s="32">
        <v>31878</v>
      </c>
      <c r="F65" s="74">
        <v>45964</v>
      </c>
      <c r="G65" s="30" t="s">
        <v>179</v>
      </c>
      <c r="H65" s="28" t="s">
        <v>36</v>
      </c>
      <c r="I65" s="28" t="s">
        <v>42</v>
      </c>
      <c r="J65" s="28" t="s">
        <v>4612</v>
      </c>
      <c r="K65" s="28" t="s">
        <v>241</v>
      </c>
    </row>
    <row r="66" spans="1:11">
      <c r="A66" s="27">
        <v>64</v>
      </c>
      <c r="B66" s="28" t="s">
        <v>242</v>
      </c>
      <c r="C66" s="29" t="s">
        <v>4001</v>
      </c>
      <c r="D66" s="29" t="s">
        <v>17</v>
      </c>
      <c r="E66" s="32">
        <v>34176</v>
      </c>
      <c r="F66" s="74">
        <v>45964</v>
      </c>
      <c r="G66" s="30" t="s">
        <v>216</v>
      </c>
      <c r="H66" s="28" t="s">
        <v>217</v>
      </c>
      <c r="I66" s="28" t="s">
        <v>14</v>
      </c>
      <c r="J66" s="28" t="s">
        <v>5016</v>
      </c>
      <c r="K66" s="28" t="s">
        <v>244</v>
      </c>
    </row>
    <row r="67" spans="1:11">
      <c r="A67" s="27">
        <v>65</v>
      </c>
      <c r="B67" s="28" t="s">
        <v>245</v>
      </c>
      <c r="C67" s="29" t="s">
        <v>4002</v>
      </c>
      <c r="D67" s="29" t="s">
        <v>17</v>
      </c>
      <c r="E67" s="32">
        <v>32956</v>
      </c>
      <c r="F67" s="74">
        <v>45964</v>
      </c>
      <c r="G67" s="30" t="s">
        <v>85</v>
      </c>
      <c r="H67" s="28" t="s">
        <v>120</v>
      </c>
      <c r="I67" s="28" t="s">
        <v>42</v>
      </c>
      <c r="J67" s="28" t="s">
        <v>4631</v>
      </c>
      <c r="K67" s="28" t="s">
        <v>247</v>
      </c>
    </row>
    <row r="68" spans="1:11">
      <c r="A68" s="27">
        <v>66</v>
      </c>
      <c r="B68" s="28" t="s">
        <v>248</v>
      </c>
      <c r="C68" s="29" t="s">
        <v>4003</v>
      </c>
      <c r="D68" s="29" t="s">
        <v>59</v>
      </c>
      <c r="E68" s="32">
        <v>32585</v>
      </c>
      <c r="F68" s="74">
        <v>45964</v>
      </c>
      <c r="G68" s="30" t="s">
        <v>179</v>
      </c>
      <c r="H68" s="28" t="s">
        <v>36</v>
      </c>
      <c r="I68" s="28" t="s">
        <v>14</v>
      </c>
      <c r="J68" s="28" t="s">
        <v>5427</v>
      </c>
      <c r="K68" s="28" t="s">
        <v>250</v>
      </c>
    </row>
    <row r="69" spans="1:11">
      <c r="A69" s="27">
        <v>67</v>
      </c>
      <c r="B69" s="28" t="s">
        <v>251</v>
      </c>
      <c r="C69" s="29" t="s">
        <v>4004</v>
      </c>
      <c r="D69" s="29" t="s">
        <v>59</v>
      </c>
      <c r="E69" s="32">
        <v>35965</v>
      </c>
      <c r="F69" s="74">
        <v>45964</v>
      </c>
      <c r="G69" s="30" t="s">
        <v>198</v>
      </c>
      <c r="H69" s="28" t="s">
        <v>20</v>
      </c>
      <c r="I69" s="28" t="s">
        <v>56</v>
      </c>
      <c r="J69" s="28" t="s">
        <v>4873</v>
      </c>
      <c r="K69" s="28" t="s">
        <v>253</v>
      </c>
    </row>
    <row r="70" spans="1:11">
      <c r="A70" s="27">
        <v>68</v>
      </c>
      <c r="B70" s="28" t="s">
        <v>254</v>
      </c>
      <c r="C70" s="29" t="s">
        <v>3442</v>
      </c>
      <c r="D70" s="29" t="s">
        <v>59</v>
      </c>
      <c r="E70" s="32">
        <v>31574</v>
      </c>
      <c r="F70" s="74">
        <v>45964</v>
      </c>
      <c r="G70" s="30" t="s">
        <v>179</v>
      </c>
      <c r="H70" s="28" t="s">
        <v>36</v>
      </c>
      <c r="I70" s="28" t="s">
        <v>56</v>
      </c>
      <c r="J70" s="28" t="s">
        <v>4843</v>
      </c>
      <c r="K70" s="28" t="s">
        <v>256</v>
      </c>
    </row>
    <row r="71" spans="1:11">
      <c r="A71" s="27">
        <v>69</v>
      </c>
      <c r="B71" s="28" t="s">
        <v>257</v>
      </c>
      <c r="C71" s="29" t="s">
        <v>4005</v>
      </c>
      <c r="D71" s="29" t="s">
        <v>17</v>
      </c>
      <c r="E71" s="32">
        <v>37199</v>
      </c>
      <c r="F71" s="74">
        <v>45964</v>
      </c>
      <c r="G71" s="30" t="s">
        <v>24</v>
      </c>
      <c r="H71" s="28" t="s">
        <v>25</v>
      </c>
      <c r="I71" s="28" t="s">
        <v>14</v>
      </c>
      <c r="J71" s="28" t="s">
        <v>4630</v>
      </c>
      <c r="K71" s="28" t="s">
        <v>259</v>
      </c>
    </row>
    <row r="72" spans="1:11">
      <c r="A72" s="27">
        <v>70</v>
      </c>
      <c r="B72" s="28" t="s">
        <v>260</v>
      </c>
      <c r="C72" s="29" t="s">
        <v>4006</v>
      </c>
      <c r="D72" s="29" t="s">
        <v>59</v>
      </c>
      <c r="E72" s="32">
        <v>32448</v>
      </c>
      <c r="F72" s="74">
        <v>45964</v>
      </c>
      <c r="G72" s="30" t="s">
        <v>24</v>
      </c>
      <c r="H72" s="28" t="s">
        <v>25</v>
      </c>
      <c r="I72" s="28" t="s">
        <v>14</v>
      </c>
      <c r="J72" s="28" t="s">
        <v>5241</v>
      </c>
      <c r="K72" s="28" t="s">
        <v>262</v>
      </c>
    </row>
    <row r="73" spans="1:11">
      <c r="A73" s="27">
        <v>71</v>
      </c>
      <c r="B73" s="28" t="s">
        <v>263</v>
      </c>
      <c r="C73" s="29" t="s">
        <v>3327</v>
      </c>
      <c r="D73" s="29" t="s">
        <v>17</v>
      </c>
      <c r="E73" s="32">
        <v>36395</v>
      </c>
      <c r="F73" s="74">
        <v>45964</v>
      </c>
      <c r="G73" s="30" t="s">
        <v>216</v>
      </c>
      <c r="H73" s="28" t="s">
        <v>217</v>
      </c>
      <c r="I73" s="28" t="s">
        <v>14</v>
      </c>
      <c r="J73" s="28" t="s">
        <v>4709</v>
      </c>
      <c r="K73" s="28" t="s">
        <v>5813</v>
      </c>
    </row>
    <row r="74" spans="1:11">
      <c r="A74" s="27">
        <v>72</v>
      </c>
      <c r="B74" s="28" t="s">
        <v>265</v>
      </c>
      <c r="C74" s="29" t="s">
        <v>4007</v>
      </c>
      <c r="D74" s="29" t="s">
        <v>17</v>
      </c>
      <c r="E74" s="32">
        <v>34218</v>
      </c>
      <c r="F74" s="74">
        <v>45964</v>
      </c>
      <c r="G74" s="30" t="s">
        <v>179</v>
      </c>
      <c r="H74" s="28" t="s">
        <v>36</v>
      </c>
      <c r="I74" s="28" t="s">
        <v>14</v>
      </c>
      <c r="J74" s="28" t="s">
        <v>4623</v>
      </c>
      <c r="K74" s="28" t="s">
        <v>267</v>
      </c>
    </row>
    <row r="75" spans="1:11">
      <c r="A75" s="27">
        <v>73</v>
      </c>
      <c r="B75" s="28" t="s">
        <v>268</v>
      </c>
      <c r="C75" s="29" t="s">
        <v>3663</v>
      </c>
      <c r="D75" s="29" t="s">
        <v>17</v>
      </c>
      <c r="E75" s="32">
        <v>35090</v>
      </c>
      <c r="F75" s="74">
        <v>45964</v>
      </c>
      <c r="G75" s="30" t="s">
        <v>179</v>
      </c>
      <c r="H75" s="28" t="s">
        <v>36</v>
      </c>
      <c r="I75" s="28" t="s">
        <v>42</v>
      </c>
      <c r="J75" s="28" t="s">
        <v>4636</v>
      </c>
      <c r="K75" s="28" t="s">
        <v>270</v>
      </c>
    </row>
    <row r="76" spans="1:11">
      <c r="A76" s="27">
        <v>74</v>
      </c>
      <c r="B76" s="28" t="s">
        <v>271</v>
      </c>
      <c r="C76" s="29" t="s">
        <v>4008</v>
      </c>
      <c r="D76" s="29" t="s">
        <v>17</v>
      </c>
      <c r="E76" s="32">
        <v>37490</v>
      </c>
      <c r="F76" s="74">
        <v>45964</v>
      </c>
      <c r="G76" s="30" t="s">
        <v>179</v>
      </c>
      <c r="H76" s="28" t="s">
        <v>36</v>
      </c>
      <c r="I76" s="28" t="s">
        <v>56</v>
      </c>
      <c r="J76" s="28" t="s">
        <v>5320</v>
      </c>
      <c r="K76" s="28" t="s">
        <v>273</v>
      </c>
    </row>
    <row r="77" spans="1:11">
      <c r="A77" s="27">
        <v>75</v>
      </c>
      <c r="B77" s="28" t="s">
        <v>274</v>
      </c>
      <c r="C77" s="29" t="s">
        <v>3443</v>
      </c>
      <c r="D77" s="29" t="s">
        <v>17</v>
      </c>
      <c r="E77" s="32">
        <v>37916</v>
      </c>
      <c r="F77" s="74">
        <v>45964</v>
      </c>
      <c r="G77" s="30" t="s">
        <v>54</v>
      </c>
      <c r="H77" s="28" t="s">
        <v>140</v>
      </c>
      <c r="I77" s="28" t="s">
        <v>14</v>
      </c>
      <c r="J77" s="28" t="s">
        <v>4715</v>
      </c>
      <c r="K77" s="28" t="s">
        <v>276</v>
      </c>
    </row>
    <row r="78" spans="1:11">
      <c r="A78" s="27">
        <v>76</v>
      </c>
      <c r="B78" s="28" t="s">
        <v>277</v>
      </c>
      <c r="C78" s="29" t="s">
        <v>3580</v>
      </c>
      <c r="D78" s="29" t="s">
        <v>59</v>
      </c>
      <c r="E78" s="32">
        <v>34916</v>
      </c>
      <c r="F78" s="74">
        <v>45964</v>
      </c>
      <c r="G78" s="30" t="s">
        <v>179</v>
      </c>
      <c r="H78" s="28" t="s">
        <v>36</v>
      </c>
      <c r="I78" s="28" t="s">
        <v>42</v>
      </c>
      <c r="J78" s="28" t="s">
        <v>4912</v>
      </c>
      <c r="K78" s="28" t="s">
        <v>279</v>
      </c>
    </row>
    <row r="79" spans="1:11">
      <c r="A79" s="27">
        <v>77</v>
      </c>
      <c r="B79" s="28" t="s">
        <v>280</v>
      </c>
      <c r="C79" s="29" t="s">
        <v>3664</v>
      </c>
      <c r="D79" s="29" t="s">
        <v>59</v>
      </c>
      <c r="E79" s="32">
        <v>35270</v>
      </c>
      <c r="F79" s="74">
        <v>45964</v>
      </c>
      <c r="G79" s="30" t="s">
        <v>179</v>
      </c>
      <c r="H79" s="28" t="s">
        <v>36</v>
      </c>
      <c r="I79" s="28" t="s">
        <v>56</v>
      </c>
      <c r="J79" s="28" t="s">
        <v>4913</v>
      </c>
      <c r="K79" s="28" t="s">
        <v>282</v>
      </c>
    </row>
    <row r="80" spans="1:11">
      <c r="A80" s="27">
        <v>78</v>
      </c>
      <c r="B80" s="28" t="s">
        <v>283</v>
      </c>
      <c r="C80" s="29" t="s">
        <v>4009</v>
      </c>
      <c r="D80" s="29" t="s">
        <v>17</v>
      </c>
      <c r="E80" s="32">
        <v>32874</v>
      </c>
      <c r="F80" s="74">
        <v>45964</v>
      </c>
      <c r="G80" s="30" t="s">
        <v>179</v>
      </c>
      <c r="H80" s="28" t="s">
        <v>36</v>
      </c>
      <c r="I80" s="28" t="s">
        <v>42</v>
      </c>
      <c r="J80" s="28" t="s">
        <v>5140</v>
      </c>
      <c r="K80" s="28" t="s">
        <v>5804</v>
      </c>
    </row>
    <row r="81" spans="1:11">
      <c r="A81" s="27">
        <v>79</v>
      </c>
      <c r="B81" s="28" t="s">
        <v>285</v>
      </c>
      <c r="C81" s="29" t="s">
        <v>4010</v>
      </c>
      <c r="D81" s="29" t="s">
        <v>17</v>
      </c>
      <c r="E81" s="32">
        <v>34300</v>
      </c>
      <c r="F81" s="74">
        <v>45964</v>
      </c>
      <c r="G81" s="30" t="s">
        <v>179</v>
      </c>
      <c r="H81" s="28" t="s">
        <v>36</v>
      </c>
      <c r="I81" s="28" t="s">
        <v>56</v>
      </c>
      <c r="J81" s="28" t="s">
        <v>5350</v>
      </c>
      <c r="K81" s="28" t="s">
        <v>5904</v>
      </c>
    </row>
    <row r="82" spans="1:11">
      <c r="A82" s="27">
        <v>80</v>
      </c>
      <c r="B82" s="28" t="s">
        <v>1994</v>
      </c>
      <c r="C82" s="29" t="s">
        <v>3328</v>
      </c>
      <c r="D82" s="29" t="s">
        <v>17</v>
      </c>
      <c r="E82" s="32">
        <v>32878</v>
      </c>
      <c r="F82" s="74">
        <v>45964</v>
      </c>
      <c r="G82" s="30" t="s">
        <v>179</v>
      </c>
      <c r="H82" s="28" t="s">
        <v>36</v>
      </c>
      <c r="I82" s="28" t="s">
        <v>42</v>
      </c>
      <c r="J82" s="28" t="s">
        <v>4585</v>
      </c>
      <c r="K82" s="28" t="s">
        <v>289</v>
      </c>
    </row>
    <row r="83" spans="1:11">
      <c r="A83" s="27">
        <v>81</v>
      </c>
      <c r="B83" s="28" t="s">
        <v>290</v>
      </c>
      <c r="C83" s="29" t="s">
        <v>4011</v>
      </c>
      <c r="D83" s="29" t="s">
        <v>17</v>
      </c>
      <c r="E83" s="32">
        <v>37966</v>
      </c>
      <c r="F83" s="74">
        <v>45964</v>
      </c>
      <c r="G83" s="30" t="s">
        <v>40</v>
      </c>
      <c r="H83" s="28" t="s">
        <v>71</v>
      </c>
      <c r="I83" s="28" t="s">
        <v>14</v>
      </c>
      <c r="J83" s="28" t="s">
        <v>5170</v>
      </c>
      <c r="K83" s="28" t="s">
        <v>292</v>
      </c>
    </row>
    <row r="84" spans="1:11">
      <c r="A84" s="27">
        <v>82</v>
      </c>
      <c r="B84" s="28" t="s">
        <v>293</v>
      </c>
      <c r="C84" s="29" t="s">
        <v>3581</v>
      </c>
      <c r="D84" s="29" t="s">
        <v>59</v>
      </c>
      <c r="E84" s="32">
        <v>31207</v>
      </c>
      <c r="F84" s="74">
        <v>45964</v>
      </c>
      <c r="G84" s="30" t="s">
        <v>179</v>
      </c>
      <c r="H84" s="28" t="s">
        <v>36</v>
      </c>
      <c r="I84" s="28" t="s">
        <v>42</v>
      </c>
      <c r="J84" s="28" t="s">
        <v>4485</v>
      </c>
      <c r="K84" s="28" t="s">
        <v>295</v>
      </c>
    </row>
    <row r="85" spans="1:11">
      <c r="A85" s="27">
        <v>83</v>
      </c>
      <c r="B85" s="28" t="s">
        <v>296</v>
      </c>
      <c r="C85" s="29" t="s">
        <v>4012</v>
      </c>
      <c r="D85" s="29" t="s">
        <v>17</v>
      </c>
      <c r="E85" s="32">
        <v>31530</v>
      </c>
      <c r="F85" s="74">
        <v>45964</v>
      </c>
      <c r="G85" s="30" t="s">
        <v>24</v>
      </c>
      <c r="H85" s="28" t="s">
        <v>25</v>
      </c>
      <c r="I85" s="28" t="s">
        <v>14</v>
      </c>
      <c r="J85" s="28" t="s">
        <v>4786</v>
      </c>
      <c r="K85" s="28" t="s">
        <v>298</v>
      </c>
    </row>
    <row r="86" spans="1:11">
      <c r="A86" s="27">
        <v>84</v>
      </c>
      <c r="B86" s="28" t="s">
        <v>299</v>
      </c>
      <c r="C86" s="29" t="s">
        <v>3665</v>
      </c>
      <c r="D86" s="29" t="s">
        <v>59</v>
      </c>
      <c r="E86" s="32">
        <v>37944</v>
      </c>
      <c r="F86" s="74">
        <v>45964</v>
      </c>
      <c r="G86" s="30" t="s">
        <v>207</v>
      </c>
      <c r="H86" s="28" t="s">
        <v>31</v>
      </c>
      <c r="I86" s="28" t="s">
        <v>14</v>
      </c>
      <c r="J86" s="28" t="s">
        <v>4814</v>
      </c>
      <c r="K86" s="28" t="s">
        <v>301</v>
      </c>
    </row>
    <row r="87" spans="1:11">
      <c r="A87" s="27">
        <v>85</v>
      </c>
      <c r="B87" s="28" t="s">
        <v>302</v>
      </c>
      <c r="C87" s="29" t="s">
        <v>3582</v>
      </c>
      <c r="D87" s="29" t="s">
        <v>59</v>
      </c>
      <c r="E87" s="32">
        <v>35210</v>
      </c>
      <c r="F87" s="74">
        <v>45964</v>
      </c>
      <c r="G87" s="30" t="s">
        <v>179</v>
      </c>
      <c r="H87" s="28" t="s">
        <v>36</v>
      </c>
      <c r="I87" s="28" t="s">
        <v>14</v>
      </c>
      <c r="J87" s="28" t="s">
        <v>5256</v>
      </c>
      <c r="K87" s="28" t="s">
        <v>5812</v>
      </c>
    </row>
    <row r="88" spans="1:11">
      <c r="A88" s="27">
        <v>86</v>
      </c>
      <c r="B88" s="28" t="s">
        <v>304</v>
      </c>
      <c r="C88" s="29" t="s">
        <v>3583</v>
      </c>
      <c r="D88" s="29" t="s">
        <v>59</v>
      </c>
      <c r="E88" s="32">
        <v>36123</v>
      </c>
      <c r="F88" s="74">
        <v>45964</v>
      </c>
      <c r="G88" s="30" t="s">
        <v>179</v>
      </c>
      <c r="H88" s="28" t="s">
        <v>36</v>
      </c>
      <c r="I88" s="28" t="s">
        <v>56</v>
      </c>
      <c r="J88" s="28" t="s">
        <v>5204</v>
      </c>
      <c r="K88" s="28" t="s">
        <v>306</v>
      </c>
    </row>
    <row r="89" spans="1:11">
      <c r="A89" s="27">
        <v>87</v>
      </c>
      <c r="B89" s="28" t="s">
        <v>307</v>
      </c>
      <c r="C89" s="29" t="s">
        <v>3329</v>
      </c>
      <c r="D89" s="29" t="s">
        <v>17</v>
      </c>
      <c r="E89" s="32">
        <v>34904</v>
      </c>
      <c r="F89" s="74">
        <v>45964</v>
      </c>
      <c r="G89" s="30" t="s">
        <v>179</v>
      </c>
      <c r="H89" s="28" t="s">
        <v>36</v>
      </c>
      <c r="I89" s="28" t="s">
        <v>56</v>
      </c>
      <c r="J89" s="28" t="s">
        <v>4767</v>
      </c>
      <c r="K89" s="28" t="s">
        <v>309</v>
      </c>
    </row>
    <row r="90" spans="1:11">
      <c r="A90" s="27">
        <v>88</v>
      </c>
      <c r="B90" s="28" t="s">
        <v>310</v>
      </c>
      <c r="C90" s="29" t="s">
        <v>3666</v>
      </c>
      <c r="D90" s="29" t="s">
        <v>59</v>
      </c>
      <c r="E90" s="32">
        <v>37598</v>
      </c>
      <c r="F90" s="74">
        <v>45964</v>
      </c>
      <c r="G90" s="30" t="s">
        <v>179</v>
      </c>
      <c r="H90" s="28" t="s">
        <v>36</v>
      </c>
      <c r="I90" s="28" t="s">
        <v>56</v>
      </c>
      <c r="J90" s="28" t="s">
        <v>4523</v>
      </c>
      <c r="K90" s="28" t="s">
        <v>312</v>
      </c>
    </row>
    <row r="91" spans="1:11">
      <c r="A91" s="27">
        <v>89</v>
      </c>
      <c r="B91" s="28" t="s">
        <v>3938</v>
      </c>
      <c r="C91" s="29" t="s">
        <v>4013</v>
      </c>
      <c r="D91" s="29" t="s">
        <v>59</v>
      </c>
      <c r="E91" s="32">
        <v>34227</v>
      </c>
      <c r="F91" s="74">
        <v>45964</v>
      </c>
      <c r="G91" s="30" t="s">
        <v>24</v>
      </c>
      <c r="H91" s="28" t="s">
        <v>25</v>
      </c>
      <c r="I91" s="28" t="s">
        <v>56</v>
      </c>
      <c r="J91" s="28" t="s">
        <v>4826</v>
      </c>
      <c r="K91" s="28" t="s">
        <v>5807</v>
      </c>
    </row>
    <row r="92" spans="1:11">
      <c r="A92" s="27">
        <v>90</v>
      </c>
      <c r="B92" s="28" t="s">
        <v>314</v>
      </c>
      <c r="C92" s="29" t="s">
        <v>4014</v>
      </c>
      <c r="D92" s="29" t="s">
        <v>59</v>
      </c>
      <c r="E92" s="32">
        <v>36185</v>
      </c>
      <c r="F92" s="74">
        <v>45964</v>
      </c>
      <c r="G92" s="30" t="s">
        <v>24</v>
      </c>
      <c r="H92" s="28" t="s">
        <v>25</v>
      </c>
      <c r="I92" s="28" t="s">
        <v>14</v>
      </c>
      <c r="J92" s="28" t="s">
        <v>4494</v>
      </c>
      <c r="K92" s="28" t="s">
        <v>316</v>
      </c>
    </row>
    <row r="93" spans="1:11">
      <c r="A93" s="27">
        <v>91</v>
      </c>
      <c r="B93" s="28" t="s">
        <v>317</v>
      </c>
      <c r="C93" s="29" t="s">
        <v>4015</v>
      </c>
      <c r="D93" s="29" t="s">
        <v>59</v>
      </c>
      <c r="E93" s="32">
        <v>31494</v>
      </c>
      <c r="F93" s="74">
        <v>45964</v>
      </c>
      <c r="G93" s="30" t="s">
        <v>24</v>
      </c>
      <c r="H93" s="28" t="s">
        <v>25</v>
      </c>
      <c r="I93" s="28" t="s">
        <v>42</v>
      </c>
      <c r="J93" s="28" t="s">
        <v>4536</v>
      </c>
      <c r="K93" s="28" t="s">
        <v>319</v>
      </c>
    </row>
    <row r="94" spans="1:11">
      <c r="A94" s="27">
        <v>92</v>
      </c>
      <c r="B94" s="28" t="s">
        <v>320</v>
      </c>
      <c r="C94" s="29" t="s">
        <v>4016</v>
      </c>
      <c r="D94" s="29" t="s">
        <v>17</v>
      </c>
      <c r="E94" s="32">
        <v>37349</v>
      </c>
      <c r="F94" s="74">
        <v>45964</v>
      </c>
      <c r="G94" s="30" t="s">
        <v>179</v>
      </c>
      <c r="H94" s="28" t="s">
        <v>36</v>
      </c>
      <c r="I94" s="28" t="s">
        <v>14</v>
      </c>
      <c r="J94" s="28" t="s">
        <v>4798</v>
      </c>
      <c r="K94" s="28" t="s">
        <v>322</v>
      </c>
    </row>
    <row r="95" spans="1:11">
      <c r="A95" s="27">
        <v>93</v>
      </c>
      <c r="B95" s="28" t="s">
        <v>323</v>
      </c>
      <c r="C95" s="29" t="s">
        <v>4017</v>
      </c>
      <c r="D95" s="29" t="s">
        <v>17</v>
      </c>
      <c r="E95" s="32">
        <v>32461</v>
      </c>
      <c r="F95" s="74">
        <v>45964</v>
      </c>
      <c r="G95" s="30" t="s">
        <v>85</v>
      </c>
      <c r="H95" s="28" t="s">
        <v>120</v>
      </c>
      <c r="I95" s="28" t="s">
        <v>42</v>
      </c>
      <c r="J95" s="28" t="s">
        <v>4488</v>
      </c>
      <c r="K95" s="28" t="s">
        <v>325</v>
      </c>
    </row>
    <row r="96" spans="1:11">
      <c r="A96" s="27">
        <v>94</v>
      </c>
      <c r="B96" s="28" t="s">
        <v>326</v>
      </c>
      <c r="C96" s="29" t="s">
        <v>4018</v>
      </c>
      <c r="D96" s="29" t="s">
        <v>17</v>
      </c>
      <c r="E96" s="32">
        <v>33878</v>
      </c>
      <c r="F96" s="74">
        <v>45964</v>
      </c>
      <c r="G96" s="30" t="s">
        <v>40</v>
      </c>
      <c r="H96" s="28" t="s">
        <v>71</v>
      </c>
      <c r="I96" s="28" t="s">
        <v>14</v>
      </c>
      <c r="J96" s="28" t="s">
        <v>4487</v>
      </c>
      <c r="K96" s="28" t="s">
        <v>328</v>
      </c>
    </row>
    <row r="97" spans="1:11">
      <c r="A97" s="27">
        <v>95</v>
      </c>
      <c r="B97" s="28" t="s">
        <v>329</v>
      </c>
      <c r="C97" s="29" t="s">
        <v>3330</v>
      </c>
      <c r="D97" s="29" t="s">
        <v>17</v>
      </c>
      <c r="E97" s="32">
        <v>34902</v>
      </c>
      <c r="F97" s="74">
        <v>45964</v>
      </c>
      <c r="G97" s="30" t="s">
        <v>179</v>
      </c>
      <c r="H97" s="28" t="s">
        <v>36</v>
      </c>
      <c r="I97" s="28" t="s">
        <v>56</v>
      </c>
      <c r="J97" s="28" t="s">
        <v>5081</v>
      </c>
      <c r="K97" s="28" t="s">
        <v>331</v>
      </c>
    </row>
    <row r="98" spans="1:11">
      <c r="A98" s="27">
        <v>96</v>
      </c>
      <c r="B98" s="28" t="s">
        <v>332</v>
      </c>
      <c r="C98" s="29" t="s">
        <v>3201</v>
      </c>
      <c r="D98" s="29" t="s">
        <v>59</v>
      </c>
      <c r="E98" s="32">
        <v>33298</v>
      </c>
      <c r="F98" s="74">
        <v>45964</v>
      </c>
      <c r="G98" s="30" t="s">
        <v>179</v>
      </c>
      <c r="H98" s="28" t="s">
        <v>36</v>
      </c>
      <c r="I98" s="28" t="s">
        <v>56</v>
      </c>
      <c r="J98" s="28" t="s">
        <v>5228</v>
      </c>
      <c r="K98" s="28" t="s">
        <v>5853</v>
      </c>
    </row>
    <row r="99" spans="1:11">
      <c r="A99" s="27">
        <v>97</v>
      </c>
      <c r="B99" s="28" t="s">
        <v>335</v>
      </c>
      <c r="C99" s="29" t="s">
        <v>4019</v>
      </c>
      <c r="D99" s="29" t="s">
        <v>59</v>
      </c>
      <c r="E99" s="32">
        <v>36452</v>
      </c>
      <c r="F99" s="74">
        <v>45964</v>
      </c>
      <c r="G99" s="30" t="s">
        <v>179</v>
      </c>
      <c r="H99" s="28" t="s">
        <v>36</v>
      </c>
      <c r="I99" s="28" t="s">
        <v>56</v>
      </c>
      <c r="J99" s="28" t="s">
        <v>5370</v>
      </c>
      <c r="K99" s="28" t="s">
        <v>337</v>
      </c>
    </row>
    <row r="100" spans="1:11">
      <c r="A100" s="27">
        <v>98</v>
      </c>
      <c r="B100" s="28" t="s">
        <v>338</v>
      </c>
      <c r="C100" s="29" t="s">
        <v>4020</v>
      </c>
      <c r="D100" s="29" t="s">
        <v>59</v>
      </c>
      <c r="E100" s="32">
        <v>33206</v>
      </c>
      <c r="F100" s="74">
        <v>45964</v>
      </c>
      <c r="G100" s="30" t="s">
        <v>24</v>
      </c>
      <c r="H100" s="28" t="s">
        <v>25</v>
      </c>
      <c r="I100" s="28" t="s">
        <v>14</v>
      </c>
      <c r="J100" s="28" t="s">
        <v>4812</v>
      </c>
      <c r="K100" s="28" t="s">
        <v>340</v>
      </c>
    </row>
    <row r="101" spans="1:11">
      <c r="A101" s="27">
        <v>99</v>
      </c>
      <c r="B101" s="28" t="s">
        <v>341</v>
      </c>
      <c r="C101" s="29" t="s">
        <v>3444</v>
      </c>
      <c r="D101" s="29" t="s">
        <v>59</v>
      </c>
      <c r="E101" s="32">
        <v>31185</v>
      </c>
      <c r="F101" s="74">
        <v>45964</v>
      </c>
      <c r="G101" s="30" t="s">
        <v>179</v>
      </c>
      <c r="H101" s="28" t="s">
        <v>36</v>
      </c>
      <c r="I101" s="28" t="s">
        <v>56</v>
      </c>
      <c r="J101" s="28" t="s">
        <v>5103</v>
      </c>
      <c r="K101" s="28" t="s">
        <v>5924</v>
      </c>
    </row>
    <row r="102" spans="1:11">
      <c r="A102" s="27">
        <v>100</v>
      </c>
      <c r="B102" s="28" t="s">
        <v>344</v>
      </c>
      <c r="C102" s="29" t="s">
        <v>3331</v>
      </c>
      <c r="D102" s="29" t="s">
        <v>17</v>
      </c>
      <c r="E102" s="32">
        <v>32569</v>
      </c>
      <c r="F102" s="74">
        <v>45964</v>
      </c>
      <c r="G102" s="30" t="s">
        <v>179</v>
      </c>
      <c r="H102" s="28" t="s">
        <v>36</v>
      </c>
      <c r="I102" s="28" t="s">
        <v>56</v>
      </c>
      <c r="J102" s="28" t="s">
        <v>4969</v>
      </c>
      <c r="K102" s="28" t="s">
        <v>346</v>
      </c>
    </row>
    <row r="103" spans="1:11">
      <c r="A103" s="27">
        <v>101</v>
      </c>
      <c r="B103" s="28" t="s">
        <v>347</v>
      </c>
      <c r="C103" s="29" t="s">
        <v>4021</v>
      </c>
      <c r="D103" s="29" t="s">
        <v>17</v>
      </c>
      <c r="E103" s="32">
        <v>34217</v>
      </c>
      <c r="F103" s="74">
        <v>45964</v>
      </c>
      <c r="G103" s="30" t="s">
        <v>40</v>
      </c>
      <c r="H103" s="28" t="s">
        <v>71</v>
      </c>
      <c r="I103" s="28" t="s">
        <v>14</v>
      </c>
      <c r="J103" s="28" t="s">
        <v>5393</v>
      </c>
      <c r="K103" s="28" t="s">
        <v>349</v>
      </c>
    </row>
    <row r="104" spans="1:11">
      <c r="A104" s="27">
        <v>102</v>
      </c>
      <c r="B104" s="28" t="s">
        <v>350</v>
      </c>
      <c r="C104" s="29" t="s">
        <v>3332</v>
      </c>
      <c r="D104" s="29" t="s">
        <v>17</v>
      </c>
      <c r="E104" s="32">
        <v>31742</v>
      </c>
      <c r="F104" s="74">
        <v>45964</v>
      </c>
      <c r="G104" s="30" t="s">
        <v>216</v>
      </c>
      <c r="H104" s="28" t="s">
        <v>217</v>
      </c>
      <c r="I104" s="28" t="s">
        <v>14</v>
      </c>
      <c r="J104" s="28" t="s">
        <v>4985</v>
      </c>
      <c r="K104" s="28" t="s">
        <v>352</v>
      </c>
    </row>
    <row r="105" spans="1:11">
      <c r="A105" s="27">
        <v>103</v>
      </c>
      <c r="B105" s="28" t="s">
        <v>353</v>
      </c>
      <c r="C105" s="29" t="s">
        <v>3667</v>
      </c>
      <c r="D105" s="29" t="s">
        <v>59</v>
      </c>
      <c r="E105" s="32">
        <v>33742</v>
      </c>
      <c r="F105" s="74">
        <v>45964</v>
      </c>
      <c r="G105" s="30" t="s">
        <v>179</v>
      </c>
      <c r="H105" s="28" t="s">
        <v>36</v>
      </c>
      <c r="I105" s="28" t="s">
        <v>56</v>
      </c>
      <c r="J105" s="28" t="s">
        <v>5266</v>
      </c>
      <c r="K105" s="28" t="s">
        <v>355</v>
      </c>
    </row>
    <row r="106" spans="1:11">
      <c r="A106" s="27">
        <v>104</v>
      </c>
      <c r="B106" s="28" t="s">
        <v>356</v>
      </c>
      <c r="C106" s="29" t="s">
        <v>3584</v>
      </c>
      <c r="D106" s="29" t="s">
        <v>59</v>
      </c>
      <c r="E106" s="32">
        <v>32556</v>
      </c>
      <c r="F106" s="74">
        <v>45964</v>
      </c>
      <c r="G106" s="30" t="s">
        <v>179</v>
      </c>
      <c r="H106" s="28" t="s">
        <v>36</v>
      </c>
      <c r="I106" s="28" t="s">
        <v>14</v>
      </c>
      <c r="J106" s="28" t="s">
        <v>4734</v>
      </c>
      <c r="K106" s="28" t="s">
        <v>358</v>
      </c>
    </row>
    <row r="107" spans="1:11">
      <c r="A107" s="27">
        <v>105</v>
      </c>
      <c r="B107" s="28" t="s">
        <v>359</v>
      </c>
      <c r="C107" s="29" t="s">
        <v>4022</v>
      </c>
      <c r="D107" s="29" t="s">
        <v>59</v>
      </c>
      <c r="E107" s="32">
        <v>33742</v>
      </c>
      <c r="F107" s="74">
        <v>45964</v>
      </c>
      <c r="G107" s="30" t="s">
        <v>179</v>
      </c>
      <c r="H107" s="28" t="s">
        <v>36</v>
      </c>
      <c r="I107" s="28" t="s">
        <v>14</v>
      </c>
      <c r="J107" s="28" t="s">
        <v>5401</v>
      </c>
      <c r="K107" s="28" t="s">
        <v>360</v>
      </c>
    </row>
    <row r="108" spans="1:11">
      <c r="A108" s="27">
        <v>106</v>
      </c>
      <c r="B108" s="28" t="s">
        <v>361</v>
      </c>
      <c r="C108" s="29" t="s">
        <v>3545</v>
      </c>
      <c r="D108" s="29" t="s">
        <v>59</v>
      </c>
      <c r="E108" s="32">
        <v>32168</v>
      </c>
      <c r="F108" s="74">
        <v>45964</v>
      </c>
      <c r="G108" s="30" t="s">
        <v>179</v>
      </c>
      <c r="H108" s="28" t="s">
        <v>36</v>
      </c>
      <c r="I108" s="28" t="s">
        <v>42</v>
      </c>
      <c r="J108" s="28" t="s">
        <v>4688</v>
      </c>
      <c r="K108" s="28" t="s">
        <v>362</v>
      </c>
    </row>
    <row r="109" spans="1:11">
      <c r="A109" s="27">
        <v>107</v>
      </c>
      <c r="B109" s="28" t="s">
        <v>363</v>
      </c>
      <c r="C109" s="29" t="s">
        <v>3445</v>
      </c>
      <c r="D109" s="29" t="s">
        <v>59</v>
      </c>
      <c r="E109" s="32">
        <v>31086</v>
      </c>
      <c r="F109" s="74">
        <v>45964</v>
      </c>
      <c r="G109" s="30" t="s">
        <v>54</v>
      </c>
      <c r="H109" s="28" t="s">
        <v>140</v>
      </c>
      <c r="I109" s="28" t="s">
        <v>14</v>
      </c>
      <c r="J109" s="28" t="s">
        <v>5163</v>
      </c>
      <c r="K109" s="28" t="s">
        <v>365</v>
      </c>
    </row>
    <row r="110" spans="1:11">
      <c r="A110" s="27">
        <v>108</v>
      </c>
      <c r="B110" s="28" t="s">
        <v>366</v>
      </c>
      <c r="C110" s="29" t="s">
        <v>3546</v>
      </c>
      <c r="D110" s="29" t="s">
        <v>59</v>
      </c>
      <c r="E110" s="32">
        <v>31727</v>
      </c>
      <c r="F110" s="74">
        <v>45964</v>
      </c>
      <c r="G110" s="30" t="s">
        <v>179</v>
      </c>
      <c r="H110" s="28" t="s">
        <v>36</v>
      </c>
      <c r="I110" s="28" t="s">
        <v>14</v>
      </c>
      <c r="J110" s="28" t="s">
        <v>5057</v>
      </c>
      <c r="K110" s="28" t="s">
        <v>368</v>
      </c>
    </row>
    <row r="111" spans="1:11">
      <c r="A111" s="27">
        <v>109</v>
      </c>
      <c r="B111" s="28" t="s">
        <v>369</v>
      </c>
      <c r="C111" s="29" t="s">
        <v>4023</v>
      </c>
      <c r="D111" s="29" t="s">
        <v>17</v>
      </c>
      <c r="E111" s="32">
        <v>38046</v>
      </c>
      <c r="F111" s="74">
        <v>45964</v>
      </c>
      <c r="G111" s="30" t="s">
        <v>179</v>
      </c>
      <c r="H111" s="28" t="s">
        <v>36</v>
      </c>
      <c r="I111" s="28" t="s">
        <v>56</v>
      </c>
      <c r="J111" s="28" t="s">
        <v>4811</v>
      </c>
      <c r="K111" s="28" t="s">
        <v>371</v>
      </c>
    </row>
    <row r="112" spans="1:11">
      <c r="A112" s="27">
        <v>110</v>
      </c>
      <c r="B112" s="28" t="s">
        <v>372</v>
      </c>
      <c r="C112" s="29" t="s">
        <v>4024</v>
      </c>
      <c r="D112" s="29" t="s">
        <v>17</v>
      </c>
      <c r="E112" s="32">
        <v>31522</v>
      </c>
      <c r="F112" s="74">
        <v>45964</v>
      </c>
      <c r="G112" s="30" t="s">
        <v>85</v>
      </c>
      <c r="H112" s="28" t="s">
        <v>120</v>
      </c>
      <c r="I112" s="28" t="s">
        <v>42</v>
      </c>
      <c r="J112" s="28" t="s">
        <v>5292</v>
      </c>
      <c r="K112" s="28" t="s">
        <v>374</v>
      </c>
    </row>
    <row r="113" spans="1:11">
      <c r="A113" s="27">
        <v>111</v>
      </c>
      <c r="B113" s="28" t="s">
        <v>375</v>
      </c>
      <c r="C113" s="29" t="s">
        <v>3585</v>
      </c>
      <c r="D113" s="29" t="s">
        <v>59</v>
      </c>
      <c r="E113" s="32">
        <v>36498</v>
      </c>
      <c r="F113" s="74">
        <v>45964</v>
      </c>
      <c r="G113" s="30" t="s">
        <v>179</v>
      </c>
      <c r="H113" s="28" t="s">
        <v>36</v>
      </c>
      <c r="I113" s="28" t="s">
        <v>56</v>
      </c>
      <c r="J113" s="28" t="s">
        <v>5281</v>
      </c>
      <c r="K113" s="28" t="s">
        <v>377</v>
      </c>
    </row>
    <row r="114" spans="1:11">
      <c r="A114" s="27">
        <v>112</v>
      </c>
      <c r="B114" s="28" t="s">
        <v>378</v>
      </c>
      <c r="C114" s="29" t="s">
        <v>3668</v>
      </c>
      <c r="D114" s="29" t="s">
        <v>59</v>
      </c>
      <c r="E114" s="32">
        <v>34151</v>
      </c>
      <c r="F114" s="74">
        <v>45964</v>
      </c>
      <c r="G114" s="30" t="s">
        <v>207</v>
      </c>
      <c r="H114" s="28" t="s">
        <v>31</v>
      </c>
      <c r="I114" s="28" t="s">
        <v>14</v>
      </c>
      <c r="J114" s="28" t="s">
        <v>5043</v>
      </c>
      <c r="K114" s="28" t="s">
        <v>380</v>
      </c>
    </row>
    <row r="115" spans="1:11">
      <c r="A115" s="27">
        <v>113</v>
      </c>
      <c r="B115" s="28" t="s">
        <v>381</v>
      </c>
      <c r="C115" s="29" t="s">
        <v>3202</v>
      </c>
      <c r="D115" s="29" t="s">
        <v>59</v>
      </c>
      <c r="E115" s="32">
        <v>33431</v>
      </c>
      <c r="F115" s="74">
        <v>45964</v>
      </c>
      <c r="G115" s="30" t="s">
        <v>179</v>
      </c>
      <c r="H115" s="28" t="s">
        <v>36</v>
      </c>
      <c r="I115" s="28" t="s">
        <v>56</v>
      </c>
      <c r="J115" s="28" t="s">
        <v>4789</v>
      </c>
      <c r="K115" s="28" t="s">
        <v>383</v>
      </c>
    </row>
    <row r="116" spans="1:11">
      <c r="A116" s="27">
        <v>114</v>
      </c>
      <c r="B116" s="28" t="s">
        <v>384</v>
      </c>
      <c r="C116" s="29" t="s">
        <v>3586</v>
      </c>
      <c r="D116" s="29" t="s">
        <v>59</v>
      </c>
      <c r="E116" s="32">
        <v>36733</v>
      </c>
      <c r="F116" s="74">
        <v>45964</v>
      </c>
      <c r="G116" s="30" t="s">
        <v>179</v>
      </c>
      <c r="H116" s="28" t="s">
        <v>36</v>
      </c>
      <c r="I116" s="28" t="s">
        <v>56</v>
      </c>
      <c r="J116" s="28" t="s">
        <v>5113</v>
      </c>
      <c r="K116" s="28" t="s">
        <v>5805</v>
      </c>
    </row>
    <row r="117" spans="1:11">
      <c r="A117" s="27">
        <v>115</v>
      </c>
      <c r="B117" s="28" t="s">
        <v>387</v>
      </c>
      <c r="C117" s="29" t="s">
        <v>3669</v>
      </c>
      <c r="D117" s="29" t="s">
        <v>59</v>
      </c>
      <c r="E117" s="32">
        <v>36966</v>
      </c>
      <c r="F117" s="74">
        <v>45964</v>
      </c>
      <c r="G117" s="30" t="s">
        <v>179</v>
      </c>
      <c r="H117" s="28" t="s">
        <v>36</v>
      </c>
      <c r="I117" s="28" t="s">
        <v>56</v>
      </c>
      <c r="J117" s="28" t="s">
        <v>5135</v>
      </c>
      <c r="K117" s="28" t="s">
        <v>386</v>
      </c>
    </row>
    <row r="118" spans="1:11">
      <c r="A118" s="27">
        <v>116</v>
      </c>
      <c r="B118" s="28" t="s">
        <v>3939</v>
      </c>
      <c r="C118" s="29" t="s">
        <v>3587</v>
      </c>
      <c r="D118" s="29" t="s">
        <v>17</v>
      </c>
      <c r="E118" s="32">
        <v>35571</v>
      </c>
      <c r="F118" s="74">
        <v>45964</v>
      </c>
      <c r="G118" s="30" t="s">
        <v>179</v>
      </c>
      <c r="H118" s="28" t="s">
        <v>36</v>
      </c>
      <c r="I118" s="28" t="s">
        <v>14</v>
      </c>
      <c r="J118" s="28" t="s">
        <v>4956</v>
      </c>
      <c r="K118" s="28" t="s">
        <v>5929</v>
      </c>
    </row>
    <row r="119" spans="1:11">
      <c r="A119" s="27">
        <v>117</v>
      </c>
      <c r="B119" s="28" t="s">
        <v>391</v>
      </c>
      <c r="C119" s="29" t="s">
        <v>4025</v>
      </c>
      <c r="D119" s="29" t="s">
        <v>17</v>
      </c>
      <c r="E119" s="32">
        <v>31802</v>
      </c>
      <c r="F119" s="74">
        <v>45964</v>
      </c>
      <c r="G119" s="30" t="s">
        <v>85</v>
      </c>
      <c r="H119" s="28" t="s">
        <v>120</v>
      </c>
      <c r="I119" s="28" t="s">
        <v>14</v>
      </c>
      <c r="J119" s="28" t="s">
        <v>5013</v>
      </c>
      <c r="K119" s="28" t="s">
        <v>393</v>
      </c>
    </row>
    <row r="120" spans="1:11">
      <c r="A120" s="27">
        <v>118</v>
      </c>
      <c r="B120" s="28" t="s">
        <v>394</v>
      </c>
      <c r="C120" s="29" t="s">
        <v>3333</v>
      </c>
      <c r="D120" s="29" t="s">
        <v>17</v>
      </c>
      <c r="E120" s="32">
        <v>34221</v>
      </c>
      <c r="F120" s="74">
        <v>45964</v>
      </c>
      <c r="G120" s="30" t="s">
        <v>179</v>
      </c>
      <c r="H120" s="28" t="s">
        <v>36</v>
      </c>
      <c r="I120" s="28" t="s">
        <v>42</v>
      </c>
      <c r="J120" s="28" t="s">
        <v>4676</v>
      </c>
      <c r="K120" s="28" t="s">
        <v>396</v>
      </c>
    </row>
    <row r="121" spans="1:11">
      <c r="A121" s="27">
        <v>119</v>
      </c>
      <c r="B121" s="28" t="s">
        <v>397</v>
      </c>
      <c r="C121" s="29" t="s">
        <v>3670</v>
      </c>
      <c r="D121" s="29" t="s">
        <v>59</v>
      </c>
      <c r="E121" s="32">
        <v>34553</v>
      </c>
      <c r="F121" s="74">
        <v>45964</v>
      </c>
      <c r="G121" s="30" t="s">
        <v>179</v>
      </c>
      <c r="H121" s="28" t="s">
        <v>36</v>
      </c>
      <c r="I121" s="28" t="s">
        <v>56</v>
      </c>
      <c r="J121" s="28" t="s">
        <v>4866</v>
      </c>
      <c r="K121" s="28" t="s">
        <v>399</v>
      </c>
    </row>
    <row r="122" spans="1:11">
      <c r="A122" s="27">
        <v>120</v>
      </c>
      <c r="B122" s="28" t="s">
        <v>400</v>
      </c>
      <c r="C122" s="29" t="s">
        <v>3588</v>
      </c>
      <c r="D122" s="29" t="s">
        <v>59</v>
      </c>
      <c r="E122" s="32">
        <v>34627</v>
      </c>
      <c r="F122" s="74">
        <v>45964</v>
      </c>
      <c r="G122" s="30" t="s">
        <v>179</v>
      </c>
      <c r="H122" s="28" t="s">
        <v>36</v>
      </c>
      <c r="I122" s="28" t="s">
        <v>42</v>
      </c>
      <c r="J122" s="28" t="s">
        <v>4667</v>
      </c>
      <c r="K122" s="28" t="s">
        <v>402</v>
      </c>
    </row>
    <row r="123" spans="1:11">
      <c r="A123" s="27">
        <v>121</v>
      </c>
      <c r="B123" s="28" t="s">
        <v>403</v>
      </c>
      <c r="C123" s="29" t="s">
        <v>3203</v>
      </c>
      <c r="D123" s="29" t="s">
        <v>59</v>
      </c>
      <c r="E123" s="32">
        <v>31580</v>
      </c>
      <c r="F123" s="74">
        <v>45964</v>
      </c>
      <c r="G123" s="30" t="s">
        <v>172</v>
      </c>
      <c r="H123" s="28" t="s">
        <v>62</v>
      </c>
      <c r="I123" s="28" t="s">
        <v>14</v>
      </c>
      <c r="J123" s="28" t="s">
        <v>4769</v>
      </c>
      <c r="K123" s="28" t="s">
        <v>405</v>
      </c>
    </row>
    <row r="124" spans="1:11">
      <c r="A124" s="27">
        <v>122</v>
      </c>
      <c r="B124" s="28" t="s">
        <v>406</v>
      </c>
      <c r="C124" s="29" t="s">
        <v>3334</v>
      </c>
      <c r="D124" s="29" t="s">
        <v>17</v>
      </c>
      <c r="E124" s="32">
        <v>34861</v>
      </c>
      <c r="F124" s="74">
        <v>45964</v>
      </c>
      <c r="G124" s="30" t="s">
        <v>179</v>
      </c>
      <c r="H124" s="28" t="s">
        <v>36</v>
      </c>
      <c r="I124" s="28" t="s">
        <v>42</v>
      </c>
      <c r="J124" s="28" t="s">
        <v>4489</v>
      </c>
      <c r="K124" s="28" t="s">
        <v>408</v>
      </c>
    </row>
    <row r="125" spans="1:11">
      <c r="A125" s="27">
        <v>123</v>
      </c>
      <c r="B125" s="28" t="s">
        <v>409</v>
      </c>
      <c r="C125" s="29" t="s">
        <v>3285</v>
      </c>
      <c r="D125" s="29" t="s">
        <v>17</v>
      </c>
      <c r="E125" s="32">
        <v>32839</v>
      </c>
      <c r="F125" s="74">
        <v>45964</v>
      </c>
      <c r="G125" s="30" t="s">
        <v>179</v>
      </c>
      <c r="H125" s="28" t="s">
        <v>36</v>
      </c>
      <c r="I125" s="28" t="s">
        <v>14</v>
      </c>
      <c r="J125" s="28" t="s">
        <v>4869</v>
      </c>
      <c r="K125" s="28" t="s">
        <v>5817</v>
      </c>
    </row>
    <row r="126" spans="1:11">
      <c r="A126" s="27">
        <v>124</v>
      </c>
      <c r="B126" s="28" t="s">
        <v>411</v>
      </c>
      <c r="C126" s="29" t="s">
        <v>3204</v>
      </c>
      <c r="D126" s="29" t="s">
        <v>59</v>
      </c>
      <c r="E126" s="32">
        <v>33453</v>
      </c>
      <c r="F126" s="74">
        <v>45964</v>
      </c>
      <c r="G126" s="30" t="s">
        <v>172</v>
      </c>
      <c r="H126" s="28" t="s">
        <v>62</v>
      </c>
      <c r="I126" s="28" t="s">
        <v>42</v>
      </c>
      <c r="J126" s="28" t="s">
        <v>5051</v>
      </c>
      <c r="K126" s="28" t="s">
        <v>413</v>
      </c>
    </row>
    <row r="127" spans="1:11">
      <c r="A127" s="27">
        <v>125</v>
      </c>
      <c r="B127" s="28" t="s">
        <v>414</v>
      </c>
      <c r="C127" s="29" t="s">
        <v>3335</v>
      </c>
      <c r="D127" s="29" t="s">
        <v>17</v>
      </c>
      <c r="E127" s="32">
        <v>34918</v>
      </c>
      <c r="F127" s="74">
        <v>45964</v>
      </c>
      <c r="G127" s="30" t="s">
        <v>179</v>
      </c>
      <c r="H127" s="28" t="s">
        <v>36</v>
      </c>
      <c r="I127" s="28" t="s">
        <v>42</v>
      </c>
      <c r="J127" s="28" t="s">
        <v>5116</v>
      </c>
      <c r="K127" s="28" t="s">
        <v>416</v>
      </c>
    </row>
    <row r="128" spans="1:11">
      <c r="A128" s="27">
        <v>126</v>
      </c>
      <c r="B128" s="28" t="s">
        <v>417</v>
      </c>
      <c r="C128" s="29" t="s">
        <v>3336</v>
      </c>
      <c r="D128" s="29" t="s">
        <v>17</v>
      </c>
      <c r="E128" s="32">
        <v>35637</v>
      </c>
      <c r="F128" s="74">
        <v>45964</v>
      </c>
      <c r="G128" s="30" t="s">
        <v>216</v>
      </c>
      <c r="H128" s="28" t="s">
        <v>217</v>
      </c>
      <c r="I128" s="28" t="s">
        <v>14</v>
      </c>
      <c r="J128" s="28" t="s">
        <v>4987</v>
      </c>
      <c r="K128" s="28" t="s">
        <v>5927</v>
      </c>
    </row>
    <row r="129" spans="1:11">
      <c r="A129" s="27">
        <v>127</v>
      </c>
      <c r="B129" s="28" t="s">
        <v>3940</v>
      </c>
      <c r="C129" s="29" t="s">
        <v>3446</v>
      </c>
      <c r="D129" s="29" t="s">
        <v>17</v>
      </c>
      <c r="E129" s="32">
        <v>33537</v>
      </c>
      <c r="F129" s="74">
        <v>45964</v>
      </c>
      <c r="G129" s="30" t="s">
        <v>179</v>
      </c>
      <c r="H129" s="28" t="s">
        <v>36</v>
      </c>
      <c r="I129" s="28" t="s">
        <v>56</v>
      </c>
      <c r="J129" s="28" t="s">
        <v>5173</v>
      </c>
      <c r="K129" s="28" t="s">
        <v>5823</v>
      </c>
    </row>
    <row r="130" spans="1:11">
      <c r="A130" s="27">
        <v>128</v>
      </c>
      <c r="B130" s="28" t="s">
        <v>421</v>
      </c>
      <c r="C130" s="29" t="s">
        <v>4026</v>
      </c>
      <c r="D130" s="29" t="s">
        <v>17</v>
      </c>
      <c r="E130" s="32">
        <v>36887</v>
      </c>
      <c r="F130" s="74">
        <v>45964</v>
      </c>
      <c r="G130" s="30" t="s">
        <v>85</v>
      </c>
      <c r="H130" s="28" t="s">
        <v>120</v>
      </c>
      <c r="I130" s="28" t="s">
        <v>14</v>
      </c>
      <c r="J130" s="28" t="s">
        <v>5239</v>
      </c>
      <c r="K130" s="28" t="s">
        <v>423</v>
      </c>
    </row>
    <row r="131" spans="1:11">
      <c r="A131" s="27">
        <v>129</v>
      </c>
      <c r="B131" s="28" t="s">
        <v>3941</v>
      </c>
      <c r="C131" s="29" t="s">
        <v>3671</v>
      </c>
      <c r="D131" s="29" t="s">
        <v>59</v>
      </c>
      <c r="E131" s="32">
        <v>35425</v>
      </c>
      <c r="F131" s="74">
        <v>45964</v>
      </c>
      <c r="G131" s="30" t="s">
        <v>207</v>
      </c>
      <c r="H131" s="28" t="s">
        <v>31</v>
      </c>
      <c r="I131" s="28" t="s">
        <v>14</v>
      </c>
      <c r="J131" s="28" t="s">
        <v>4837</v>
      </c>
      <c r="K131" s="28" t="s">
        <v>425</v>
      </c>
    </row>
    <row r="132" spans="1:11">
      <c r="A132" s="27">
        <v>130</v>
      </c>
      <c r="B132" s="28" t="s">
        <v>426</v>
      </c>
      <c r="C132" s="29" t="s">
        <v>4027</v>
      </c>
      <c r="D132" s="29" t="s">
        <v>17</v>
      </c>
      <c r="E132" s="32">
        <v>37554</v>
      </c>
      <c r="F132" s="74">
        <v>45964</v>
      </c>
      <c r="G132" s="30" t="s">
        <v>179</v>
      </c>
      <c r="H132" s="28" t="s">
        <v>36</v>
      </c>
      <c r="I132" s="28" t="s">
        <v>14</v>
      </c>
      <c r="J132" s="28" t="s">
        <v>4882</v>
      </c>
      <c r="K132" s="28" t="s">
        <v>428</v>
      </c>
    </row>
    <row r="133" spans="1:11">
      <c r="A133" s="27">
        <v>131</v>
      </c>
      <c r="B133" s="28" t="s">
        <v>429</v>
      </c>
      <c r="C133" s="29" t="s">
        <v>3447</v>
      </c>
      <c r="D133" s="29" t="s">
        <v>59</v>
      </c>
      <c r="E133" s="32">
        <v>37717</v>
      </c>
      <c r="F133" s="74">
        <v>45964</v>
      </c>
      <c r="G133" s="30" t="s">
        <v>179</v>
      </c>
      <c r="H133" s="28" t="s">
        <v>36</v>
      </c>
      <c r="I133" s="28" t="s">
        <v>42</v>
      </c>
      <c r="J133" s="28" t="s">
        <v>4606</v>
      </c>
      <c r="K133" s="28" t="s">
        <v>431</v>
      </c>
    </row>
    <row r="134" spans="1:11">
      <c r="A134" s="27">
        <v>132</v>
      </c>
      <c r="B134" s="28" t="s">
        <v>432</v>
      </c>
      <c r="C134" s="29" t="s">
        <v>3672</v>
      </c>
      <c r="D134" s="29" t="s">
        <v>59</v>
      </c>
      <c r="E134" s="32">
        <v>37890</v>
      </c>
      <c r="F134" s="74">
        <v>45964</v>
      </c>
      <c r="G134" s="30" t="s">
        <v>179</v>
      </c>
      <c r="H134" s="28" t="s">
        <v>36</v>
      </c>
      <c r="I134" s="28" t="s">
        <v>56</v>
      </c>
      <c r="J134" s="28" t="s">
        <v>5288</v>
      </c>
      <c r="K134" s="28" t="s">
        <v>434</v>
      </c>
    </row>
    <row r="135" spans="1:11">
      <c r="A135" s="27">
        <v>133</v>
      </c>
      <c r="B135" s="28" t="s">
        <v>435</v>
      </c>
      <c r="C135" s="29" t="s">
        <v>3205</v>
      </c>
      <c r="D135" s="29" t="s">
        <v>59</v>
      </c>
      <c r="E135" s="32">
        <v>33869</v>
      </c>
      <c r="F135" s="74">
        <v>45964</v>
      </c>
      <c r="G135" s="30" t="s">
        <v>172</v>
      </c>
      <c r="H135" s="28" t="s">
        <v>62</v>
      </c>
      <c r="I135" s="28" t="s">
        <v>14</v>
      </c>
      <c r="J135" s="28" t="s">
        <v>4627</v>
      </c>
      <c r="K135" s="28" t="s">
        <v>437</v>
      </c>
    </row>
    <row r="136" spans="1:11">
      <c r="A136" s="27">
        <v>134</v>
      </c>
      <c r="B136" s="28" t="s">
        <v>438</v>
      </c>
      <c r="C136" s="29" t="s">
        <v>3589</v>
      </c>
      <c r="D136" s="29" t="s">
        <v>59</v>
      </c>
      <c r="E136" s="32">
        <v>33737</v>
      </c>
      <c r="F136" s="74">
        <v>45964</v>
      </c>
      <c r="G136" s="30" t="s">
        <v>179</v>
      </c>
      <c r="H136" s="28" t="s">
        <v>36</v>
      </c>
      <c r="I136" s="28" t="s">
        <v>42</v>
      </c>
      <c r="J136" s="28" t="s">
        <v>5424</v>
      </c>
      <c r="K136" s="28" t="s">
        <v>5847</v>
      </c>
    </row>
    <row r="137" spans="1:11">
      <c r="A137" s="27">
        <v>135</v>
      </c>
      <c r="B137" s="28" t="s">
        <v>440</v>
      </c>
      <c r="C137" s="29" t="s">
        <v>4028</v>
      </c>
      <c r="D137" s="29" t="s">
        <v>59</v>
      </c>
      <c r="E137" s="32">
        <v>36776</v>
      </c>
      <c r="F137" s="74">
        <v>45964</v>
      </c>
      <c r="G137" s="30" t="s">
        <v>179</v>
      </c>
      <c r="H137" s="28" t="s">
        <v>36</v>
      </c>
      <c r="I137" s="28" t="s">
        <v>14</v>
      </c>
      <c r="J137" s="28" t="s">
        <v>4672</v>
      </c>
      <c r="K137" s="28" t="s">
        <v>442</v>
      </c>
    </row>
    <row r="138" spans="1:11">
      <c r="A138" s="27">
        <v>136</v>
      </c>
      <c r="B138" s="28" t="s">
        <v>443</v>
      </c>
      <c r="C138" s="29" t="s">
        <v>3286</v>
      </c>
      <c r="D138" s="29" t="s">
        <v>17</v>
      </c>
      <c r="E138" s="32">
        <v>32192</v>
      </c>
      <c r="F138" s="74">
        <v>45964</v>
      </c>
      <c r="G138" s="30" t="s">
        <v>179</v>
      </c>
      <c r="H138" s="28" t="s">
        <v>36</v>
      </c>
      <c r="I138" s="28" t="s">
        <v>42</v>
      </c>
      <c r="J138" s="28" t="s">
        <v>4955</v>
      </c>
      <c r="K138" s="28" t="s">
        <v>445</v>
      </c>
    </row>
    <row r="139" spans="1:11">
      <c r="A139" s="27">
        <v>137</v>
      </c>
      <c r="B139" s="28" t="s">
        <v>446</v>
      </c>
      <c r="C139" s="29" t="s">
        <v>4029</v>
      </c>
      <c r="D139" s="29" t="s">
        <v>59</v>
      </c>
      <c r="E139" s="32">
        <v>32015</v>
      </c>
      <c r="F139" s="74">
        <v>45964</v>
      </c>
      <c r="G139" s="30" t="s">
        <v>24</v>
      </c>
      <c r="H139" s="28" t="s">
        <v>25</v>
      </c>
      <c r="I139" s="28" t="s">
        <v>42</v>
      </c>
      <c r="J139" s="28" t="s">
        <v>5152</v>
      </c>
      <c r="K139" s="28" t="s">
        <v>448</v>
      </c>
    </row>
    <row r="140" spans="1:11">
      <c r="A140" s="27">
        <v>138</v>
      </c>
      <c r="B140" s="28" t="s">
        <v>449</v>
      </c>
      <c r="C140" s="29" t="s">
        <v>3673</v>
      </c>
      <c r="D140" s="29" t="s">
        <v>59</v>
      </c>
      <c r="E140" s="32">
        <v>35820</v>
      </c>
      <c r="F140" s="74">
        <v>45964</v>
      </c>
      <c r="G140" s="30" t="s">
        <v>179</v>
      </c>
      <c r="H140" s="28" t="s">
        <v>36</v>
      </c>
      <c r="I140" s="28" t="s">
        <v>42</v>
      </c>
      <c r="J140" s="28" t="s">
        <v>5439</v>
      </c>
      <c r="K140" s="28" t="s">
        <v>451</v>
      </c>
    </row>
    <row r="141" spans="1:11">
      <c r="A141" s="27">
        <v>139</v>
      </c>
      <c r="B141" s="28" t="s">
        <v>452</v>
      </c>
      <c r="C141" s="29" t="s">
        <v>4030</v>
      </c>
      <c r="D141" s="29" t="s">
        <v>17</v>
      </c>
      <c r="E141" s="32">
        <v>33497</v>
      </c>
      <c r="F141" s="74">
        <v>45964</v>
      </c>
      <c r="G141" s="30" t="s">
        <v>179</v>
      </c>
      <c r="H141" s="28" t="s">
        <v>36</v>
      </c>
      <c r="I141" s="28" t="s">
        <v>56</v>
      </c>
      <c r="J141" s="28" t="s">
        <v>4518</v>
      </c>
      <c r="K141" s="28" t="s">
        <v>454</v>
      </c>
    </row>
    <row r="142" spans="1:11">
      <c r="A142" s="27">
        <v>140</v>
      </c>
      <c r="B142" s="28" t="s">
        <v>455</v>
      </c>
      <c r="C142" s="29" t="s">
        <v>3590</v>
      </c>
      <c r="D142" s="29" t="s">
        <v>59</v>
      </c>
      <c r="E142" s="32">
        <v>31158</v>
      </c>
      <c r="F142" s="74">
        <v>45964</v>
      </c>
      <c r="G142" s="30" t="s">
        <v>179</v>
      </c>
      <c r="H142" s="28" t="s">
        <v>36</v>
      </c>
      <c r="I142" s="28" t="s">
        <v>42</v>
      </c>
      <c r="J142" s="28" t="s">
        <v>4853</v>
      </c>
      <c r="K142" s="28" t="s">
        <v>457</v>
      </c>
    </row>
    <row r="143" spans="1:11">
      <c r="A143" s="27">
        <v>141</v>
      </c>
      <c r="B143" s="28" t="s">
        <v>458</v>
      </c>
      <c r="C143" s="29" t="s">
        <v>4031</v>
      </c>
      <c r="D143" s="29" t="s">
        <v>17</v>
      </c>
      <c r="E143" s="32">
        <v>32758</v>
      </c>
      <c r="F143" s="74">
        <v>45964</v>
      </c>
      <c r="G143" s="30" t="s">
        <v>85</v>
      </c>
      <c r="H143" s="28" t="s">
        <v>120</v>
      </c>
      <c r="I143" s="28" t="s">
        <v>42</v>
      </c>
      <c r="J143" s="28" t="s">
        <v>5005</v>
      </c>
      <c r="K143" s="28" t="s">
        <v>460</v>
      </c>
    </row>
    <row r="144" spans="1:11">
      <c r="A144" s="27">
        <v>142</v>
      </c>
      <c r="B144" s="28" t="s">
        <v>461</v>
      </c>
      <c r="C144" s="29" t="s">
        <v>4032</v>
      </c>
      <c r="D144" s="29" t="s">
        <v>59</v>
      </c>
      <c r="E144" s="32">
        <v>36147</v>
      </c>
      <c r="F144" s="74">
        <v>45964</v>
      </c>
      <c r="G144" s="30" t="s">
        <v>179</v>
      </c>
      <c r="H144" s="28" t="s">
        <v>36</v>
      </c>
      <c r="I144" s="28" t="s">
        <v>14</v>
      </c>
      <c r="J144" s="28" t="s">
        <v>4639</v>
      </c>
      <c r="K144" s="28" t="s">
        <v>463</v>
      </c>
    </row>
    <row r="145" spans="1:11">
      <c r="A145" s="27">
        <v>143</v>
      </c>
      <c r="B145" s="28" t="s">
        <v>464</v>
      </c>
      <c r="C145" s="29" t="s">
        <v>3206</v>
      </c>
      <c r="D145" s="29" t="s">
        <v>59</v>
      </c>
      <c r="E145" s="32">
        <v>35752</v>
      </c>
      <c r="F145" s="74">
        <v>45964</v>
      </c>
      <c r="G145" s="30" t="s">
        <v>172</v>
      </c>
      <c r="H145" s="28" t="s">
        <v>62</v>
      </c>
      <c r="I145" s="28" t="s">
        <v>14</v>
      </c>
      <c r="J145" s="28" t="s">
        <v>4590</v>
      </c>
      <c r="K145" s="28" t="s">
        <v>466</v>
      </c>
    </row>
    <row r="146" spans="1:11">
      <c r="A146" s="27">
        <v>144</v>
      </c>
      <c r="B146" s="28" t="s">
        <v>467</v>
      </c>
      <c r="C146" s="29" t="s">
        <v>3337</v>
      </c>
      <c r="D146" s="29" t="s">
        <v>17</v>
      </c>
      <c r="E146" s="32">
        <v>32238</v>
      </c>
      <c r="F146" s="74">
        <v>45964</v>
      </c>
      <c r="G146" s="30" t="s">
        <v>179</v>
      </c>
      <c r="H146" s="28" t="s">
        <v>36</v>
      </c>
      <c r="I146" s="28" t="s">
        <v>42</v>
      </c>
      <c r="J146" s="28" t="s">
        <v>4503</v>
      </c>
      <c r="K146" s="28" t="s">
        <v>469</v>
      </c>
    </row>
    <row r="147" spans="1:11">
      <c r="A147" s="27">
        <v>145</v>
      </c>
      <c r="B147" s="28" t="s">
        <v>470</v>
      </c>
      <c r="C147" s="29" t="s">
        <v>4033</v>
      </c>
      <c r="D147" s="29" t="s">
        <v>17</v>
      </c>
      <c r="E147" s="32">
        <v>37845</v>
      </c>
      <c r="F147" s="74">
        <v>45964</v>
      </c>
      <c r="G147" s="30" t="s">
        <v>85</v>
      </c>
      <c r="H147" s="28" t="s">
        <v>120</v>
      </c>
      <c r="I147" s="28" t="s">
        <v>42</v>
      </c>
      <c r="J147" s="28" t="s">
        <v>5408</v>
      </c>
      <c r="K147" s="28" t="s">
        <v>472</v>
      </c>
    </row>
    <row r="148" spans="1:11">
      <c r="A148" s="27">
        <v>146</v>
      </c>
      <c r="B148" s="28" t="s">
        <v>473</v>
      </c>
      <c r="C148" s="29" t="s">
        <v>3591</v>
      </c>
      <c r="D148" s="29" t="s">
        <v>59</v>
      </c>
      <c r="E148" s="32">
        <v>35747</v>
      </c>
      <c r="F148" s="74">
        <v>45964</v>
      </c>
      <c r="G148" s="30" t="s">
        <v>179</v>
      </c>
      <c r="H148" s="28" t="s">
        <v>36</v>
      </c>
      <c r="I148" s="28" t="s">
        <v>14</v>
      </c>
      <c r="J148" s="28" t="s">
        <v>5141</v>
      </c>
      <c r="K148" s="28" t="s">
        <v>475</v>
      </c>
    </row>
    <row r="149" spans="1:11">
      <c r="A149" s="27">
        <v>147</v>
      </c>
      <c r="B149" s="28" t="s">
        <v>476</v>
      </c>
      <c r="C149" s="29" t="s">
        <v>3674</v>
      </c>
      <c r="D149" s="29" t="s">
        <v>59</v>
      </c>
      <c r="E149" s="32">
        <v>34650</v>
      </c>
      <c r="F149" s="74">
        <v>45964</v>
      </c>
      <c r="G149" s="30" t="s">
        <v>207</v>
      </c>
      <c r="H149" s="28" t="s">
        <v>31</v>
      </c>
      <c r="I149" s="28" t="s">
        <v>14</v>
      </c>
      <c r="J149" s="28" t="s">
        <v>5295</v>
      </c>
      <c r="K149" s="28" t="s">
        <v>478</v>
      </c>
    </row>
    <row r="150" spans="1:11">
      <c r="A150" s="27">
        <v>148</v>
      </c>
      <c r="B150" s="28" t="s">
        <v>479</v>
      </c>
      <c r="C150" s="29" t="s">
        <v>4034</v>
      </c>
      <c r="D150" s="29" t="s">
        <v>17</v>
      </c>
      <c r="E150" s="32">
        <v>31387</v>
      </c>
      <c r="F150" s="74">
        <v>45964</v>
      </c>
      <c r="G150" s="30" t="s">
        <v>85</v>
      </c>
      <c r="H150" s="28" t="s">
        <v>120</v>
      </c>
      <c r="I150" s="28" t="s">
        <v>14</v>
      </c>
      <c r="J150" s="28" t="s">
        <v>5326</v>
      </c>
      <c r="K150" s="28" t="s">
        <v>481</v>
      </c>
    </row>
    <row r="151" spans="1:11">
      <c r="A151" s="27">
        <v>149</v>
      </c>
      <c r="B151" s="28" t="s">
        <v>482</v>
      </c>
      <c r="C151" s="29" t="s">
        <v>3448</v>
      </c>
      <c r="D151" s="29" t="s">
        <v>59</v>
      </c>
      <c r="E151" s="32">
        <v>35650</v>
      </c>
      <c r="F151" s="74">
        <v>45964</v>
      </c>
      <c r="G151" s="30" t="s">
        <v>179</v>
      </c>
      <c r="H151" s="28" t="s">
        <v>36</v>
      </c>
      <c r="I151" s="28" t="s">
        <v>56</v>
      </c>
      <c r="J151" s="28" t="s">
        <v>5055</v>
      </c>
      <c r="K151" s="28" t="s">
        <v>484</v>
      </c>
    </row>
    <row r="152" spans="1:11">
      <c r="A152" s="27">
        <v>150</v>
      </c>
      <c r="B152" s="28" t="s">
        <v>485</v>
      </c>
      <c r="C152" s="29" t="s">
        <v>3207</v>
      </c>
      <c r="D152" s="29" t="s">
        <v>59</v>
      </c>
      <c r="E152" s="32">
        <v>33101</v>
      </c>
      <c r="F152" s="74">
        <v>45964</v>
      </c>
      <c r="G152" s="30" t="s">
        <v>179</v>
      </c>
      <c r="H152" s="28" t="s">
        <v>36</v>
      </c>
      <c r="I152" s="28" t="s">
        <v>56</v>
      </c>
      <c r="J152" s="28" t="s">
        <v>4830</v>
      </c>
      <c r="K152" s="28" t="s">
        <v>487</v>
      </c>
    </row>
    <row r="153" spans="1:11">
      <c r="A153" s="27">
        <v>151</v>
      </c>
      <c r="B153" s="28" t="s">
        <v>488</v>
      </c>
      <c r="C153" s="29" t="s">
        <v>4035</v>
      </c>
      <c r="D153" s="29" t="s">
        <v>17</v>
      </c>
      <c r="E153" s="32">
        <v>37766</v>
      </c>
      <c r="F153" s="74">
        <v>45964</v>
      </c>
      <c r="G153" s="30" t="s">
        <v>40</v>
      </c>
      <c r="H153" s="28" t="s">
        <v>71</v>
      </c>
      <c r="I153" s="28" t="s">
        <v>42</v>
      </c>
      <c r="J153" s="28" t="s">
        <v>4637</v>
      </c>
      <c r="K153" s="28" t="s">
        <v>490</v>
      </c>
    </row>
    <row r="154" spans="1:11">
      <c r="A154" s="27">
        <v>152</v>
      </c>
      <c r="B154" s="28" t="s">
        <v>491</v>
      </c>
      <c r="C154" s="29" t="s">
        <v>3338</v>
      </c>
      <c r="D154" s="29" t="s">
        <v>17</v>
      </c>
      <c r="E154" s="32">
        <v>31280</v>
      </c>
      <c r="F154" s="74">
        <v>45964</v>
      </c>
      <c r="G154" s="30" t="s">
        <v>179</v>
      </c>
      <c r="H154" s="28" t="s">
        <v>36</v>
      </c>
      <c r="I154" s="28" t="s">
        <v>56</v>
      </c>
      <c r="J154" s="28" t="s">
        <v>5132</v>
      </c>
      <c r="K154" s="28" t="s">
        <v>493</v>
      </c>
    </row>
    <row r="155" spans="1:11">
      <c r="A155" s="27">
        <v>153</v>
      </c>
      <c r="B155" s="28" t="s">
        <v>494</v>
      </c>
      <c r="C155" s="29" t="s">
        <v>3208</v>
      </c>
      <c r="D155" s="29" t="s">
        <v>17</v>
      </c>
      <c r="E155" s="32">
        <v>33155</v>
      </c>
      <c r="F155" s="74">
        <v>45964</v>
      </c>
      <c r="G155" s="30" t="s">
        <v>179</v>
      </c>
      <c r="H155" s="28" t="s">
        <v>36</v>
      </c>
      <c r="I155" s="28" t="s">
        <v>56</v>
      </c>
      <c r="J155" s="28" t="s">
        <v>4948</v>
      </c>
      <c r="K155" s="28" t="s">
        <v>496</v>
      </c>
    </row>
    <row r="156" spans="1:11">
      <c r="A156" s="27">
        <v>154</v>
      </c>
      <c r="B156" s="28" t="s">
        <v>497</v>
      </c>
      <c r="C156" s="29" t="s">
        <v>4036</v>
      </c>
      <c r="D156" s="29" t="s">
        <v>59</v>
      </c>
      <c r="E156" s="32">
        <v>32159</v>
      </c>
      <c r="F156" s="74">
        <v>45964</v>
      </c>
      <c r="G156" s="30" t="s">
        <v>179</v>
      </c>
      <c r="H156" s="28" t="s">
        <v>36</v>
      </c>
      <c r="I156" s="28" t="s">
        <v>14</v>
      </c>
      <c r="J156" s="28" t="s">
        <v>5280</v>
      </c>
      <c r="K156" s="28" t="s">
        <v>499</v>
      </c>
    </row>
    <row r="157" spans="1:11">
      <c r="A157" s="27">
        <v>155</v>
      </c>
      <c r="B157" s="28" t="s">
        <v>500</v>
      </c>
      <c r="C157" s="29" t="s">
        <v>4037</v>
      </c>
      <c r="D157" s="29" t="s">
        <v>17</v>
      </c>
      <c r="E157" s="32">
        <v>37487</v>
      </c>
      <c r="F157" s="74">
        <v>45964</v>
      </c>
      <c r="G157" s="30" t="s">
        <v>24</v>
      </c>
      <c r="H157" s="28" t="s">
        <v>25</v>
      </c>
      <c r="I157" s="28" t="s">
        <v>56</v>
      </c>
      <c r="J157" s="28" t="s">
        <v>4777</v>
      </c>
      <c r="K157" s="28" t="s">
        <v>502</v>
      </c>
    </row>
    <row r="158" spans="1:11">
      <c r="A158" s="27">
        <v>156</v>
      </c>
      <c r="B158" s="28" t="s">
        <v>503</v>
      </c>
      <c r="C158" s="29" t="s">
        <v>3675</v>
      </c>
      <c r="D158" s="29" t="s">
        <v>59</v>
      </c>
      <c r="E158" s="32">
        <v>31407</v>
      </c>
      <c r="F158" s="74">
        <v>45964</v>
      </c>
      <c r="G158" s="30" t="s">
        <v>179</v>
      </c>
      <c r="H158" s="28" t="s">
        <v>36</v>
      </c>
      <c r="I158" s="28" t="s">
        <v>56</v>
      </c>
      <c r="J158" s="28" t="s">
        <v>5276</v>
      </c>
      <c r="K158" s="28" t="s">
        <v>505</v>
      </c>
    </row>
    <row r="159" spans="1:11">
      <c r="A159" s="27">
        <v>157</v>
      </c>
      <c r="B159" s="28" t="s">
        <v>506</v>
      </c>
      <c r="C159" s="29" t="s">
        <v>3676</v>
      </c>
      <c r="D159" s="29" t="s">
        <v>17</v>
      </c>
      <c r="E159" s="32">
        <v>32218</v>
      </c>
      <c r="F159" s="74">
        <v>45992</v>
      </c>
      <c r="G159" s="30" t="s">
        <v>179</v>
      </c>
      <c r="H159" s="28" t="s">
        <v>36</v>
      </c>
      <c r="I159" s="28" t="s">
        <v>56</v>
      </c>
      <c r="J159" s="28" t="s">
        <v>5097</v>
      </c>
      <c r="K159" s="28" t="s">
        <v>5773</v>
      </c>
    </row>
    <row r="160" spans="1:11">
      <c r="A160" s="27">
        <v>158</v>
      </c>
      <c r="B160" s="28" t="s">
        <v>508</v>
      </c>
      <c r="C160" s="29" t="s">
        <v>4038</v>
      </c>
      <c r="D160" s="29" t="s">
        <v>17</v>
      </c>
      <c r="E160" s="32">
        <v>32230</v>
      </c>
      <c r="F160" s="74">
        <v>45992</v>
      </c>
      <c r="G160" s="30" t="s">
        <v>179</v>
      </c>
      <c r="H160" s="28" t="s">
        <v>36</v>
      </c>
      <c r="I160" s="28" t="s">
        <v>14</v>
      </c>
      <c r="J160" s="28" t="s">
        <v>5316</v>
      </c>
      <c r="K160" s="28" t="s">
        <v>510</v>
      </c>
    </row>
    <row r="161" spans="1:11">
      <c r="A161" s="27">
        <v>159</v>
      </c>
      <c r="B161" s="28" t="s">
        <v>511</v>
      </c>
      <c r="C161" s="29" t="s">
        <v>3677</v>
      </c>
      <c r="D161" s="29" t="s">
        <v>59</v>
      </c>
      <c r="E161" s="32">
        <v>36810</v>
      </c>
      <c r="F161" s="74">
        <v>45992</v>
      </c>
      <c r="G161" s="30" t="s">
        <v>179</v>
      </c>
      <c r="H161" s="28" t="s">
        <v>36</v>
      </c>
      <c r="I161" s="28" t="s">
        <v>42</v>
      </c>
      <c r="J161" s="28" t="s">
        <v>5127</v>
      </c>
      <c r="K161" s="28" t="s">
        <v>513</v>
      </c>
    </row>
    <row r="162" spans="1:11">
      <c r="A162" s="27">
        <v>160</v>
      </c>
      <c r="B162" s="28" t="s">
        <v>514</v>
      </c>
      <c r="C162" s="29" t="s">
        <v>3678</v>
      </c>
      <c r="D162" s="29" t="s">
        <v>17</v>
      </c>
      <c r="E162" s="32">
        <v>38013</v>
      </c>
      <c r="F162" s="74">
        <v>45992</v>
      </c>
      <c r="G162" s="30" t="s">
        <v>179</v>
      </c>
      <c r="H162" s="28" t="s">
        <v>36</v>
      </c>
      <c r="I162" s="28" t="s">
        <v>14</v>
      </c>
      <c r="J162" s="28" t="s">
        <v>5059</v>
      </c>
      <c r="K162" s="28" t="s">
        <v>516</v>
      </c>
    </row>
    <row r="163" spans="1:11">
      <c r="A163" s="27">
        <v>161</v>
      </c>
      <c r="B163" s="28" t="s">
        <v>517</v>
      </c>
      <c r="C163" s="29" t="s">
        <v>3339</v>
      </c>
      <c r="D163" s="29" t="s">
        <v>17</v>
      </c>
      <c r="E163" s="32">
        <v>37896</v>
      </c>
      <c r="F163" s="74">
        <v>45992</v>
      </c>
      <c r="G163" s="30" t="s">
        <v>179</v>
      </c>
      <c r="H163" s="28" t="s">
        <v>36</v>
      </c>
      <c r="I163" s="28" t="s">
        <v>56</v>
      </c>
      <c r="J163" s="28" t="s">
        <v>4805</v>
      </c>
      <c r="K163" s="28" t="s">
        <v>5842</v>
      </c>
    </row>
    <row r="164" spans="1:11">
      <c r="A164" s="27">
        <v>162</v>
      </c>
      <c r="B164" s="28" t="s">
        <v>519</v>
      </c>
      <c r="C164" s="29" t="s">
        <v>3209</v>
      </c>
      <c r="D164" s="29" t="s">
        <v>17</v>
      </c>
      <c r="E164" s="32">
        <v>31163</v>
      </c>
      <c r="F164" s="74">
        <v>45992</v>
      </c>
      <c r="G164" s="30" t="s">
        <v>179</v>
      </c>
      <c r="H164" s="28" t="s">
        <v>36</v>
      </c>
      <c r="I164" s="28" t="s">
        <v>14</v>
      </c>
      <c r="J164" s="28" t="s">
        <v>5115</v>
      </c>
      <c r="K164" s="28" t="s">
        <v>5948</v>
      </c>
    </row>
    <row r="165" spans="1:11">
      <c r="A165" s="27">
        <v>163</v>
      </c>
      <c r="B165" s="28" t="s">
        <v>522</v>
      </c>
      <c r="C165" s="29" t="s">
        <v>3287</v>
      </c>
      <c r="D165" s="29" t="s">
        <v>59</v>
      </c>
      <c r="E165" s="32">
        <v>33514</v>
      </c>
      <c r="F165" s="74">
        <v>45992</v>
      </c>
      <c r="G165" s="30" t="s">
        <v>179</v>
      </c>
      <c r="H165" s="28" t="s">
        <v>36</v>
      </c>
      <c r="I165" s="28" t="s">
        <v>56</v>
      </c>
      <c r="J165" s="28" t="s">
        <v>4851</v>
      </c>
      <c r="K165" s="28" t="s">
        <v>524</v>
      </c>
    </row>
    <row r="166" spans="1:11">
      <c r="A166" s="27">
        <v>164</v>
      </c>
      <c r="B166" s="28" t="s">
        <v>525</v>
      </c>
      <c r="C166" s="29" t="s">
        <v>4039</v>
      </c>
      <c r="D166" s="29" t="s">
        <v>17</v>
      </c>
      <c r="E166" s="32">
        <v>35255</v>
      </c>
      <c r="F166" s="74">
        <v>45992</v>
      </c>
      <c r="G166" s="30" t="s">
        <v>179</v>
      </c>
      <c r="H166" s="28" t="s">
        <v>36</v>
      </c>
      <c r="I166" s="28" t="s">
        <v>56</v>
      </c>
      <c r="J166" s="28" t="s">
        <v>5197</v>
      </c>
      <c r="K166" s="28" t="s">
        <v>527</v>
      </c>
    </row>
    <row r="167" spans="1:11">
      <c r="A167" s="27">
        <v>165</v>
      </c>
      <c r="B167" s="28" t="s">
        <v>528</v>
      </c>
      <c r="C167" s="29" t="s">
        <v>3288</v>
      </c>
      <c r="D167" s="29" t="s">
        <v>59</v>
      </c>
      <c r="E167" s="32">
        <v>35812</v>
      </c>
      <c r="F167" s="74">
        <v>45992</v>
      </c>
      <c r="G167" s="30" t="s">
        <v>179</v>
      </c>
      <c r="H167" s="28" t="s">
        <v>36</v>
      </c>
      <c r="I167" s="28" t="s">
        <v>14</v>
      </c>
      <c r="J167" s="28" t="s">
        <v>5363</v>
      </c>
      <c r="K167" s="28" t="s">
        <v>5916</v>
      </c>
    </row>
    <row r="168" spans="1:11">
      <c r="A168" s="27">
        <v>166</v>
      </c>
      <c r="B168" s="28" t="s">
        <v>531</v>
      </c>
      <c r="C168" s="29" t="s">
        <v>4040</v>
      </c>
      <c r="D168" s="29" t="s">
        <v>17</v>
      </c>
      <c r="E168" s="32">
        <v>34380</v>
      </c>
      <c r="F168" s="74">
        <v>45992</v>
      </c>
      <c r="G168" s="30" t="s">
        <v>85</v>
      </c>
      <c r="H168" s="28" t="s">
        <v>120</v>
      </c>
      <c r="I168" s="28" t="s">
        <v>14</v>
      </c>
      <c r="J168" s="28" t="s">
        <v>4844</v>
      </c>
      <c r="K168" s="28" t="s">
        <v>533</v>
      </c>
    </row>
    <row r="169" spans="1:11">
      <c r="A169" s="27">
        <v>167</v>
      </c>
      <c r="B169" s="28" t="s">
        <v>534</v>
      </c>
      <c r="C169" s="29" t="s">
        <v>3592</v>
      </c>
      <c r="D169" s="29" t="s">
        <v>59</v>
      </c>
      <c r="E169" s="32">
        <v>35227</v>
      </c>
      <c r="F169" s="74">
        <v>45992</v>
      </c>
      <c r="G169" s="30" t="s">
        <v>179</v>
      </c>
      <c r="H169" s="28" t="s">
        <v>36</v>
      </c>
      <c r="I169" s="28" t="s">
        <v>56</v>
      </c>
      <c r="J169" s="28" t="s">
        <v>4564</v>
      </c>
      <c r="K169" s="28" t="s">
        <v>536</v>
      </c>
    </row>
    <row r="170" spans="1:11">
      <c r="A170" s="27">
        <v>168</v>
      </c>
      <c r="B170" s="28" t="s">
        <v>537</v>
      </c>
      <c r="C170" s="29" t="s">
        <v>3547</v>
      </c>
      <c r="D170" s="29" t="s">
        <v>59</v>
      </c>
      <c r="E170" s="32">
        <v>36717</v>
      </c>
      <c r="F170" s="74">
        <v>45992</v>
      </c>
      <c r="G170" s="30" t="s">
        <v>179</v>
      </c>
      <c r="H170" s="28" t="s">
        <v>36</v>
      </c>
      <c r="I170" s="28" t="s">
        <v>56</v>
      </c>
      <c r="J170" s="28" t="s">
        <v>4846</v>
      </c>
      <c r="K170" s="28" t="s">
        <v>5806</v>
      </c>
    </row>
    <row r="171" spans="1:11">
      <c r="A171" s="27">
        <v>169</v>
      </c>
      <c r="B171" s="28" t="s">
        <v>539</v>
      </c>
      <c r="C171" s="29" t="s">
        <v>3593</v>
      </c>
      <c r="D171" s="29" t="s">
        <v>59</v>
      </c>
      <c r="E171" s="32">
        <v>34778</v>
      </c>
      <c r="F171" s="74">
        <v>45992</v>
      </c>
      <c r="G171" s="30" t="s">
        <v>179</v>
      </c>
      <c r="H171" s="28" t="s">
        <v>36</v>
      </c>
      <c r="I171" s="28" t="s">
        <v>42</v>
      </c>
      <c r="J171" s="28" t="s">
        <v>4865</v>
      </c>
      <c r="K171" s="28" t="s">
        <v>541</v>
      </c>
    </row>
    <row r="172" spans="1:11">
      <c r="A172" s="27">
        <v>170</v>
      </c>
      <c r="B172" s="28" t="s">
        <v>542</v>
      </c>
      <c r="C172" s="29" t="s">
        <v>3548</v>
      </c>
      <c r="D172" s="29" t="s">
        <v>59</v>
      </c>
      <c r="E172" s="32">
        <v>33509</v>
      </c>
      <c r="F172" s="74">
        <v>45992</v>
      </c>
      <c r="G172" s="30" t="s">
        <v>179</v>
      </c>
      <c r="H172" s="28" t="s">
        <v>36</v>
      </c>
      <c r="I172" s="28" t="s">
        <v>56</v>
      </c>
      <c r="J172" s="28" t="s">
        <v>5124</v>
      </c>
      <c r="K172" s="28" t="s">
        <v>544</v>
      </c>
    </row>
    <row r="173" spans="1:11">
      <c r="A173" s="27">
        <v>171</v>
      </c>
      <c r="B173" s="28" t="s">
        <v>545</v>
      </c>
      <c r="C173" s="29" t="s">
        <v>3549</v>
      </c>
      <c r="D173" s="29" t="s">
        <v>59</v>
      </c>
      <c r="E173" s="32">
        <v>35670</v>
      </c>
      <c r="F173" s="74">
        <v>45992</v>
      </c>
      <c r="G173" s="30" t="s">
        <v>179</v>
      </c>
      <c r="H173" s="28" t="s">
        <v>36</v>
      </c>
      <c r="I173" s="28" t="s">
        <v>14</v>
      </c>
      <c r="J173" s="28" t="s">
        <v>5422</v>
      </c>
      <c r="K173" s="28" t="s">
        <v>547</v>
      </c>
    </row>
    <row r="174" spans="1:11">
      <c r="A174" s="27">
        <v>172</v>
      </c>
      <c r="B174" s="28" t="s">
        <v>548</v>
      </c>
      <c r="C174" s="29" t="s">
        <v>3210</v>
      </c>
      <c r="D174" s="29" t="s">
        <v>17</v>
      </c>
      <c r="E174" s="32">
        <v>36144</v>
      </c>
      <c r="F174" s="74">
        <v>45992</v>
      </c>
      <c r="G174" s="30" t="s">
        <v>179</v>
      </c>
      <c r="H174" s="28" t="s">
        <v>36</v>
      </c>
      <c r="I174" s="28" t="s">
        <v>14</v>
      </c>
      <c r="J174" s="28" t="s">
        <v>5136</v>
      </c>
      <c r="K174" s="28" t="s">
        <v>550</v>
      </c>
    </row>
    <row r="175" spans="1:11">
      <c r="A175" s="27">
        <v>173</v>
      </c>
      <c r="B175" s="28" t="s">
        <v>551</v>
      </c>
      <c r="C175" s="29" t="s">
        <v>4041</v>
      </c>
      <c r="D175" s="29" t="s">
        <v>59</v>
      </c>
      <c r="E175" s="32">
        <v>31505</v>
      </c>
      <c r="F175" s="74">
        <v>45992</v>
      </c>
      <c r="G175" s="30" t="s">
        <v>179</v>
      </c>
      <c r="H175" s="28" t="s">
        <v>36</v>
      </c>
      <c r="I175" s="28" t="s">
        <v>56</v>
      </c>
      <c r="J175" s="28" t="s">
        <v>4729</v>
      </c>
      <c r="K175" s="28" t="s">
        <v>5915</v>
      </c>
    </row>
    <row r="176" spans="1:11">
      <c r="A176" s="27">
        <v>174</v>
      </c>
      <c r="B176" s="28" t="s">
        <v>554</v>
      </c>
      <c r="C176" s="29" t="s">
        <v>4042</v>
      </c>
      <c r="D176" s="29" t="s">
        <v>17</v>
      </c>
      <c r="E176" s="32">
        <v>33596</v>
      </c>
      <c r="F176" s="74">
        <v>45992</v>
      </c>
      <c r="G176" s="30" t="s">
        <v>24</v>
      </c>
      <c r="H176" s="28" t="s">
        <v>25</v>
      </c>
      <c r="I176" s="28" t="s">
        <v>56</v>
      </c>
      <c r="J176" s="28" t="s">
        <v>5138</v>
      </c>
      <c r="K176" s="28" t="s">
        <v>556</v>
      </c>
    </row>
    <row r="177" spans="1:11">
      <c r="A177" s="27">
        <v>175</v>
      </c>
      <c r="B177" s="28" t="s">
        <v>557</v>
      </c>
      <c r="C177" s="29" t="s">
        <v>3211</v>
      </c>
      <c r="D177" s="29" t="s">
        <v>59</v>
      </c>
      <c r="E177" s="32">
        <v>36388</v>
      </c>
      <c r="F177" s="74">
        <v>45992</v>
      </c>
      <c r="G177" s="30" t="s">
        <v>179</v>
      </c>
      <c r="H177" s="28" t="s">
        <v>36</v>
      </c>
      <c r="I177" s="28" t="s">
        <v>14</v>
      </c>
      <c r="J177" s="28" t="s">
        <v>4497</v>
      </c>
      <c r="K177" s="28" t="s">
        <v>5803</v>
      </c>
    </row>
    <row r="178" spans="1:11">
      <c r="A178" s="27">
        <v>176</v>
      </c>
      <c r="B178" s="28" t="s">
        <v>3942</v>
      </c>
      <c r="C178" s="29" t="s">
        <v>4043</v>
      </c>
      <c r="D178" s="29" t="s">
        <v>17</v>
      </c>
      <c r="E178" s="32">
        <v>37475</v>
      </c>
      <c r="F178" s="74">
        <v>45992</v>
      </c>
      <c r="G178" s="30" t="s">
        <v>179</v>
      </c>
      <c r="H178" s="28" t="s">
        <v>36</v>
      </c>
      <c r="I178" s="28" t="s">
        <v>14</v>
      </c>
      <c r="J178" s="28" t="s">
        <v>5176</v>
      </c>
      <c r="K178" s="28" t="s">
        <v>560</v>
      </c>
    </row>
    <row r="179" spans="1:11">
      <c r="A179" s="27">
        <v>177</v>
      </c>
      <c r="B179" s="28" t="s">
        <v>561</v>
      </c>
      <c r="C179" s="29" t="s">
        <v>3340</v>
      </c>
      <c r="D179" s="29" t="s">
        <v>17</v>
      </c>
      <c r="E179" s="32">
        <v>31668</v>
      </c>
      <c r="F179" s="74">
        <v>45992</v>
      </c>
      <c r="G179" s="30" t="s">
        <v>179</v>
      </c>
      <c r="H179" s="28" t="s">
        <v>36</v>
      </c>
      <c r="I179" s="28" t="s">
        <v>56</v>
      </c>
      <c r="J179" s="28" t="s">
        <v>5074</v>
      </c>
      <c r="K179" s="28" t="s">
        <v>563</v>
      </c>
    </row>
    <row r="180" spans="1:11">
      <c r="A180" s="27">
        <v>178</v>
      </c>
      <c r="B180" s="28" t="s">
        <v>564</v>
      </c>
      <c r="C180" s="29" t="s">
        <v>4044</v>
      </c>
      <c r="D180" s="29" t="s">
        <v>17</v>
      </c>
      <c r="E180" s="32">
        <v>35792</v>
      </c>
      <c r="F180" s="74">
        <v>45992</v>
      </c>
      <c r="G180" s="30" t="s">
        <v>85</v>
      </c>
      <c r="H180" s="28" t="s">
        <v>120</v>
      </c>
      <c r="I180" s="28" t="s">
        <v>14</v>
      </c>
      <c r="J180" s="28" t="s">
        <v>5437</v>
      </c>
      <c r="K180" s="28" t="s">
        <v>566</v>
      </c>
    </row>
    <row r="181" spans="1:11">
      <c r="A181" s="27">
        <v>179</v>
      </c>
      <c r="B181" s="28" t="s">
        <v>567</v>
      </c>
      <c r="C181" s="29" t="s">
        <v>4045</v>
      </c>
      <c r="D181" s="29" t="s">
        <v>17</v>
      </c>
      <c r="E181" s="32">
        <v>35608</v>
      </c>
      <c r="F181" s="74">
        <v>45992</v>
      </c>
      <c r="G181" s="30" t="s">
        <v>179</v>
      </c>
      <c r="H181" s="28" t="s">
        <v>36</v>
      </c>
      <c r="I181" s="28" t="s">
        <v>56</v>
      </c>
      <c r="J181" s="28" t="s">
        <v>5396</v>
      </c>
      <c r="K181" s="28" t="s">
        <v>569</v>
      </c>
    </row>
    <row r="182" spans="1:11">
      <c r="A182" s="27">
        <v>180</v>
      </c>
      <c r="B182" s="28" t="s">
        <v>570</v>
      </c>
      <c r="C182" s="29" t="s">
        <v>3594</v>
      </c>
      <c r="D182" s="29" t="s">
        <v>59</v>
      </c>
      <c r="E182" s="32">
        <v>35423</v>
      </c>
      <c r="F182" s="74">
        <v>45992</v>
      </c>
      <c r="G182" s="30" t="s">
        <v>179</v>
      </c>
      <c r="H182" s="28" t="s">
        <v>36</v>
      </c>
      <c r="I182" s="28" t="s">
        <v>14</v>
      </c>
      <c r="J182" s="28" t="s">
        <v>5444</v>
      </c>
      <c r="K182" s="28" t="s">
        <v>572</v>
      </c>
    </row>
    <row r="183" spans="1:11">
      <c r="A183" s="27">
        <v>181</v>
      </c>
      <c r="B183" s="28" t="s">
        <v>573</v>
      </c>
      <c r="C183" s="29" t="s">
        <v>4046</v>
      </c>
      <c r="D183" s="29" t="s">
        <v>17</v>
      </c>
      <c r="E183" s="32">
        <v>31559</v>
      </c>
      <c r="F183" s="74">
        <v>45992</v>
      </c>
      <c r="G183" s="30" t="s">
        <v>179</v>
      </c>
      <c r="H183" s="28" t="s">
        <v>36</v>
      </c>
      <c r="I183" s="28" t="s">
        <v>56</v>
      </c>
      <c r="J183" s="28" t="s">
        <v>4493</v>
      </c>
      <c r="K183" s="28" t="s">
        <v>575</v>
      </c>
    </row>
    <row r="184" spans="1:11">
      <c r="A184" s="27">
        <v>182</v>
      </c>
      <c r="B184" s="28" t="s">
        <v>576</v>
      </c>
      <c r="C184" s="29" t="s">
        <v>4047</v>
      </c>
      <c r="D184" s="29" t="s">
        <v>17</v>
      </c>
      <c r="E184" s="32">
        <v>31272</v>
      </c>
      <c r="F184" s="74">
        <v>45992</v>
      </c>
      <c r="G184" s="30" t="s">
        <v>179</v>
      </c>
      <c r="H184" s="28" t="s">
        <v>36</v>
      </c>
      <c r="I184" s="28" t="s">
        <v>56</v>
      </c>
      <c r="J184" s="28" t="s">
        <v>4570</v>
      </c>
      <c r="K184" s="28" t="s">
        <v>578</v>
      </c>
    </row>
    <row r="185" spans="1:11">
      <c r="A185" s="27">
        <v>183</v>
      </c>
      <c r="B185" s="28" t="s">
        <v>579</v>
      </c>
      <c r="C185" s="29" t="s">
        <v>3341</v>
      </c>
      <c r="D185" s="29" t="s">
        <v>17</v>
      </c>
      <c r="E185" s="32">
        <v>36820</v>
      </c>
      <c r="F185" s="74">
        <v>45992</v>
      </c>
      <c r="G185" s="30" t="s">
        <v>216</v>
      </c>
      <c r="H185" s="28" t="s">
        <v>217</v>
      </c>
      <c r="I185" s="28" t="s">
        <v>14</v>
      </c>
      <c r="J185" s="28" t="s">
        <v>4508</v>
      </c>
      <c r="K185" s="28" t="s">
        <v>581</v>
      </c>
    </row>
    <row r="186" spans="1:11">
      <c r="A186" s="27">
        <v>184</v>
      </c>
      <c r="B186" s="28" t="s">
        <v>582</v>
      </c>
      <c r="C186" s="29" t="s">
        <v>3595</v>
      </c>
      <c r="D186" s="29" t="s">
        <v>59</v>
      </c>
      <c r="E186" s="32">
        <v>33922</v>
      </c>
      <c r="F186" s="74">
        <v>45992</v>
      </c>
      <c r="G186" s="30" t="s">
        <v>179</v>
      </c>
      <c r="H186" s="28" t="s">
        <v>36</v>
      </c>
      <c r="I186" s="28" t="s">
        <v>14</v>
      </c>
      <c r="J186" s="28" t="s">
        <v>4884</v>
      </c>
      <c r="K186" s="28" t="s">
        <v>584</v>
      </c>
    </row>
    <row r="187" spans="1:11">
      <c r="A187" s="27">
        <v>185</v>
      </c>
      <c r="B187" s="28" t="s">
        <v>585</v>
      </c>
      <c r="C187" s="29" t="s">
        <v>4048</v>
      </c>
      <c r="D187" s="29" t="s">
        <v>59</v>
      </c>
      <c r="E187" s="32">
        <v>32373</v>
      </c>
      <c r="F187" s="74">
        <v>45992</v>
      </c>
      <c r="G187" s="30" t="s">
        <v>179</v>
      </c>
      <c r="H187" s="28" t="s">
        <v>36</v>
      </c>
      <c r="I187" s="28" t="s">
        <v>56</v>
      </c>
      <c r="J187" s="28" t="s">
        <v>4762</v>
      </c>
      <c r="K187" s="28" t="s">
        <v>587</v>
      </c>
    </row>
    <row r="188" spans="1:11">
      <c r="A188" s="27">
        <v>186</v>
      </c>
      <c r="B188" s="28" t="s">
        <v>588</v>
      </c>
      <c r="C188" s="29" t="s">
        <v>4049</v>
      </c>
      <c r="D188" s="29" t="s">
        <v>59</v>
      </c>
      <c r="E188" s="32">
        <v>34099</v>
      </c>
      <c r="F188" s="74">
        <v>45992</v>
      </c>
      <c r="G188" s="30" t="s">
        <v>24</v>
      </c>
      <c r="H188" s="28" t="s">
        <v>25</v>
      </c>
      <c r="I188" s="28" t="s">
        <v>56</v>
      </c>
      <c r="J188" s="28" t="s">
        <v>5418</v>
      </c>
      <c r="K188" s="28" t="s">
        <v>590</v>
      </c>
    </row>
    <row r="189" spans="1:11">
      <c r="A189" s="27">
        <v>187</v>
      </c>
      <c r="B189" s="28" t="s">
        <v>591</v>
      </c>
      <c r="C189" s="29" t="s">
        <v>3596</v>
      </c>
      <c r="D189" s="29" t="s">
        <v>59</v>
      </c>
      <c r="E189" s="32">
        <v>35158</v>
      </c>
      <c r="F189" s="74">
        <v>45992</v>
      </c>
      <c r="G189" s="30" t="s">
        <v>179</v>
      </c>
      <c r="H189" s="28" t="s">
        <v>36</v>
      </c>
      <c r="I189" s="28" t="s">
        <v>56</v>
      </c>
      <c r="J189" s="28" t="s">
        <v>5250</v>
      </c>
      <c r="K189" s="28" t="s">
        <v>5879</v>
      </c>
    </row>
    <row r="190" spans="1:11">
      <c r="A190" s="27">
        <v>188</v>
      </c>
      <c r="B190" s="28" t="s">
        <v>594</v>
      </c>
      <c r="C190" s="29" t="s">
        <v>3550</v>
      </c>
      <c r="D190" s="29" t="s">
        <v>59</v>
      </c>
      <c r="E190" s="32">
        <v>34477</v>
      </c>
      <c r="F190" s="74">
        <v>45992</v>
      </c>
      <c r="G190" s="30" t="s">
        <v>179</v>
      </c>
      <c r="H190" s="28" t="s">
        <v>36</v>
      </c>
      <c r="I190" s="28" t="s">
        <v>14</v>
      </c>
      <c r="J190" s="28" t="s">
        <v>4800</v>
      </c>
      <c r="K190" s="28" t="s">
        <v>596</v>
      </c>
    </row>
    <row r="191" spans="1:11">
      <c r="A191" s="27">
        <v>189</v>
      </c>
      <c r="B191" s="28" t="s">
        <v>597</v>
      </c>
      <c r="C191" s="29" t="s">
        <v>4050</v>
      </c>
      <c r="D191" s="29" t="s">
        <v>17</v>
      </c>
      <c r="E191" s="32">
        <v>31560</v>
      </c>
      <c r="F191" s="74">
        <v>45992</v>
      </c>
      <c r="G191" s="30" t="s">
        <v>85</v>
      </c>
      <c r="H191" s="28" t="s">
        <v>120</v>
      </c>
      <c r="I191" s="28" t="s">
        <v>14</v>
      </c>
      <c r="J191" s="28" t="s">
        <v>4979</v>
      </c>
      <c r="K191" s="28" t="s">
        <v>599</v>
      </c>
    </row>
    <row r="192" spans="1:11">
      <c r="A192" s="27">
        <v>190</v>
      </c>
      <c r="B192" s="28" t="s">
        <v>600</v>
      </c>
      <c r="C192" s="29" t="s">
        <v>3342</v>
      </c>
      <c r="D192" s="29" t="s">
        <v>17</v>
      </c>
      <c r="E192" s="32">
        <v>34492</v>
      </c>
      <c r="F192" s="74">
        <v>45992</v>
      </c>
      <c r="G192" s="30" t="s">
        <v>179</v>
      </c>
      <c r="H192" s="28" t="s">
        <v>36</v>
      </c>
      <c r="I192" s="28" t="s">
        <v>56</v>
      </c>
      <c r="J192" s="28" t="s">
        <v>5075</v>
      </c>
      <c r="K192" s="28" t="s">
        <v>602</v>
      </c>
    </row>
    <row r="193" spans="1:11">
      <c r="A193" s="27">
        <v>191</v>
      </c>
      <c r="B193" s="28" t="s">
        <v>603</v>
      </c>
      <c r="C193" s="29" t="s">
        <v>3212</v>
      </c>
      <c r="D193" s="29" t="s">
        <v>59</v>
      </c>
      <c r="E193" s="32">
        <v>31356</v>
      </c>
      <c r="F193" s="74">
        <v>45992</v>
      </c>
      <c r="G193" s="30" t="s">
        <v>179</v>
      </c>
      <c r="H193" s="28" t="s">
        <v>36</v>
      </c>
      <c r="I193" s="28" t="s">
        <v>56</v>
      </c>
      <c r="J193" s="28" t="s">
        <v>5279</v>
      </c>
      <c r="K193" s="28" t="s">
        <v>605</v>
      </c>
    </row>
    <row r="194" spans="1:11">
      <c r="A194" s="27">
        <v>192</v>
      </c>
      <c r="B194" s="28" t="s">
        <v>606</v>
      </c>
      <c r="C194" s="29" t="s">
        <v>3343</v>
      </c>
      <c r="D194" s="29" t="s">
        <v>17</v>
      </c>
      <c r="E194" s="32">
        <v>32652</v>
      </c>
      <c r="F194" s="74">
        <v>45992</v>
      </c>
      <c r="G194" s="30" t="s">
        <v>179</v>
      </c>
      <c r="H194" s="28" t="s">
        <v>36</v>
      </c>
      <c r="I194" s="28" t="s">
        <v>42</v>
      </c>
      <c r="J194" s="28" t="s">
        <v>5161</v>
      </c>
      <c r="K194" s="28" t="s">
        <v>608</v>
      </c>
    </row>
    <row r="195" spans="1:11">
      <c r="A195" s="27">
        <v>193</v>
      </c>
      <c r="B195" s="28" t="s">
        <v>609</v>
      </c>
      <c r="C195" s="29" t="s">
        <v>3213</v>
      </c>
      <c r="D195" s="29" t="s">
        <v>59</v>
      </c>
      <c r="E195" s="32">
        <v>31101</v>
      </c>
      <c r="F195" s="74">
        <v>45992</v>
      </c>
      <c r="G195" s="30" t="s">
        <v>179</v>
      </c>
      <c r="H195" s="28" t="s">
        <v>36</v>
      </c>
      <c r="I195" s="28" t="s">
        <v>56</v>
      </c>
      <c r="J195" s="28" t="s">
        <v>4855</v>
      </c>
      <c r="K195" s="28" t="s">
        <v>611</v>
      </c>
    </row>
    <row r="196" spans="1:11">
      <c r="A196" s="27">
        <v>194</v>
      </c>
      <c r="B196" s="28" t="s">
        <v>612</v>
      </c>
      <c r="C196" s="29" t="s">
        <v>3214</v>
      </c>
      <c r="D196" s="29" t="s">
        <v>59</v>
      </c>
      <c r="E196" s="32">
        <v>37026</v>
      </c>
      <c r="F196" s="74">
        <v>45992</v>
      </c>
      <c r="G196" s="30" t="s">
        <v>172</v>
      </c>
      <c r="H196" s="28" t="s">
        <v>62</v>
      </c>
      <c r="I196" s="28" t="s">
        <v>42</v>
      </c>
      <c r="J196" s="28" t="s">
        <v>4768</v>
      </c>
      <c r="K196" s="28" t="s">
        <v>614</v>
      </c>
    </row>
    <row r="197" spans="1:11">
      <c r="A197" s="27">
        <v>195</v>
      </c>
      <c r="B197" s="28" t="s">
        <v>615</v>
      </c>
      <c r="C197" s="29" t="s">
        <v>3449</v>
      </c>
      <c r="D197" s="29" t="s">
        <v>59</v>
      </c>
      <c r="E197" s="32">
        <v>35006</v>
      </c>
      <c r="F197" s="74">
        <v>45992</v>
      </c>
      <c r="G197" s="30" t="s">
        <v>179</v>
      </c>
      <c r="H197" s="28" t="s">
        <v>36</v>
      </c>
      <c r="I197" s="28" t="s">
        <v>56</v>
      </c>
      <c r="J197" s="28" t="s">
        <v>5105</v>
      </c>
      <c r="K197" s="28" t="s">
        <v>617</v>
      </c>
    </row>
    <row r="198" spans="1:11">
      <c r="A198" s="27">
        <v>196</v>
      </c>
      <c r="B198" s="28" t="s">
        <v>618</v>
      </c>
      <c r="C198" s="29" t="s">
        <v>3344</v>
      </c>
      <c r="D198" s="29" t="s">
        <v>17</v>
      </c>
      <c r="E198" s="32">
        <v>32330</v>
      </c>
      <c r="F198" s="74">
        <v>45992</v>
      </c>
      <c r="G198" s="30" t="s">
        <v>216</v>
      </c>
      <c r="H198" s="28" t="s">
        <v>217</v>
      </c>
      <c r="I198" s="28" t="s">
        <v>14</v>
      </c>
      <c r="J198" s="28" t="s">
        <v>4513</v>
      </c>
      <c r="K198" s="28" t="s">
        <v>620</v>
      </c>
    </row>
    <row r="199" spans="1:11">
      <c r="A199" s="27">
        <v>197</v>
      </c>
      <c r="B199" s="28" t="s">
        <v>621</v>
      </c>
      <c r="C199" s="29" t="s">
        <v>3597</v>
      </c>
      <c r="D199" s="29" t="s">
        <v>59</v>
      </c>
      <c r="E199" s="32">
        <v>33426</v>
      </c>
      <c r="F199" s="74">
        <v>45992</v>
      </c>
      <c r="G199" s="30" t="s">
        <v>179</v>
      </c>
      <c r="H199" s="28" t="s">
        <v>36</v>
      </c>
      <c r="I199" s="28" t="s">
        <v>42</v>
      </c>
      <c r="J199" s="28" t="s">
        <v>4628</v>
      </c>
      <c r="K199" s="28" t="s">
        <v>623</v>
      </c>
    </row>
    <row r="200" spans="1:11">
      <c r="A200" s="27">
        <v>198</v>
      </c>
      <c r="B200" s="28" t="s">
        <v>624</v>
      </c>
      <c r="C200" s="29" t="s">
        <v>3598</v>
      </c>
      <c r="D200" s="29" t="s">
        <v>59</v>
      </c>
      <c r="E200" s="32">
        <v>36915</v>
      </c>
      <c r="F200" s="74">
        <v>45992</v>
      </c>
      <c r="G200" s="30" t="s">
        <v>179</v>
      </c>
      <c r="H200" s="28" t="s">
        <v>36</v>
      </c>
      <c r="I200" s="28" t="s">
        <v>56</v>
      </c>
      <c r="J200" s="28" t="s">
        <v>4509</v>
      </c>
      <c r="K200" s="28" t="s">
        <v>626</v>
      </c>
    </row>
    <row r="201" spans="1:11">
      <c r="A201" s="27">
        <v>199</v>
      </c>
      <c r="B201" s="28" t="s">
        <v>627</v>
      </c>
      <c r="C201" s="29" t="s">
        <v>3289</v>
      </c>
      <c r="D201" s="29" t="s">
        <v>59</v>
      </c>
      <c r="E201" s="32">
        <v>36488</v>
      </c>
      <c r="F201" s="74">
        <v>45992</v>
      </c>
      <c r="G201" s="30" t="s">
        <v>179</v>
      </c>
      <c r="H201" s="28" t="s">
        <v>36</v>
      </c>
      <c r="I201" s="28" t="s">
        <v>14</v>
      </c>
      <c r="J201" s="28" t="s">
        <v>5207</v>
      </c>
      <c r="K201" s="28" t="s">
        <v>629</v>
      </c>
    </row>
    <row r="202" spans="1:11">
      <c r="A202" s="27">
        <v>200</v>
      </c>
      <c r="B202" s="28" t="s">
        <v>630</v>
      </c>
      <c r="C202" s="29" t="s">
        <v>3450</v>
      </c>
      <c r="D202" s="29" t="s">
        <v>59</v>
      </c>
      <c r="E202" s="32">
        <v>36104</v>
      </c>
      <c r="F202" s="74">
        <v>45992</v>
      </c>
      <c r="G202" s="30" t="s">
        <v>179</v>
      </c>
      <c r="H202" s="28" t="s">
        <v>36</v>
      </c>
      <c r="I202" s="28" t="s">
        <v>56</v>
      </c>
      <c r="J202" s="28" t="s">
        <v>5406</v>
      </c>
      <c r="K202" s="28" t="s">
        <v>632</v>
      </c>
    </row>
    <row r="203" spans="1:11">
      <c r="A203" s="27">
        <v>201</v>
      </c>
      <c r="B203" s="28" t="s">
        <v>633</v>
      </c>
      <c r="C203" s="29" t="s">
        <v>3290</v>
      </c>
      <c r="D203" s="29" t="s">
        <v>59</v>
      </c>
      <c r="E203" s="32">
        <v>32947</v>
      </c>
      <c r="F203" s="74">
        <v>45992</v>
      </c>
      <c r="G203" s="30" t="s">
        <v>179</v>
      </c>
      <c r="H203" s="28" t="s">
        <v>36</v>
      </c>
      <c r="I203" s="28" t="s">
        <v>14</v>
      </c>
      <c r="J203" s="28" t="s">
        <v>5340</v>
      </c>
      <c r="K203" s="28" t="s">
        <v>5937</v>
      </c>
    </row>
    <row r="204" spans="1:11">
      <c r="A204" s="27">
        <v>202</v>
      </c>
      <c r="B204" s="28" t="s">
        <v>636</v>
      </c>
      <c r="C204" s="29" t="s">
        <v>4051</v>
      </c>
      <c r="D204" s="29" t="s">
        <v>59</v>
      </c>
      <c r="E204" s="32">
        <v>35364</v>
      </c>
      <c r="F204" s="74">
        <v>45992</v>
      </c>
      <c r="G204" s="30" t="s">
        <v>179</v>
      </c>
      <c r="H204" s="28" t="s">
        <v>36</v>
      </c>
      <c r="I204" s="28" t="s">
        <v>14</v>
      </c>
      <c r="J204" s="28" t="s">
        <v>4747</v>
      </c>
      <c r="K204" s="28" t="s">
        <v>638</v>
      </c>
    </row>
    <row r="205" spans="1:11">
      <c r="A205" s="27">
        <v>203</v>
      </c>
      <c r="B205" s="28" t="s">
        <v>639</v>
      </c>
      <c r="C205" s="29" t="s">
        <v>3599</v>
      </c>
      <c r="D205" s="29" t="s">
        <v>17</v>
      </c>
      <c r="E205" s="32">
        <v>35514</v>
      </c>
      <c r="F205" s="74">
        <v>45992</v>
      </c>
      <c r="G205" s="30" t="s">
        <v>179</v>
      </c>
      <c r="H205" s="28" t="s">
        <v>36</v>
      </c>
      <c r="I205" s="28" t="s">
        <v>56</v>
      </c>
      <c r="J205" s="28" t="s">
        <v>4949</v>
      </c>
      <c r="K205" s="28" t="s">
        <v>641</v>
      </c>
    </row>
    <row r="206" spans="1:11">
      <c r="A206" s="27">
        <v>204</v>
      </c>
      <c r="B206" s="28" t="s">
        <v>642</v>
      </c>
      <c r="C206" s="29" t="s">
        <v>3345</v>
      </c>
      <c r="D206" s="29" t="s">
        <v>17</v>
      </c>
      <c r="E206" s="32">
        <v>37683</v>
      </c>
      <c r="F206" s="74">
        <v>45992</v>
      </c>
      <c r="G206" s="30" t="s">
        <v>179</v>
      </c>
      <c r="H206" s="28" t="s">
        <v>36</v>
      </c>
      <c r="I206" s="28" t="s">
        <v>56</v>
      </c>
      <c r="J206" s="28" t="s">
        <v>4680</v>
      </c>
      <c r="K206" s="28" t="s">
        <v>5942</v>
      </c>
    </row>
    <row r="207" spans="1:11">
      <c r="A207" s="27">
        <v>205</v>
      </c>
      <c r="B207" s="28" t="s">
        <v>645</v>
      </c>
      <c r="C207" s="29" t="s">
        <v>4052</v>
      </c>
      <c r="D207" s="29" t="s">
        <v>59</v>
      </c>
      <c r="E207" s="32">
        <v>34953</v>
      </c>
      <c r="F207" s="74">
        <v>45992</v>
      </c>
      <c r="G207" s="30" t="s">
        <v>179</v>
      </c>
      <c r="H207" s="28" t="s">
        <v>36</v>
      </c>
      <c r="I207" s="28" t="s">
        <v>56</v>
      </c>
      <c r="J207" s="28" t="s">
        <v>4875</v>
      </c>
      <c r="K207" s="28" t="s">
        <v>647</v>
      </c>
    </row>
    <row r="208" spans="1:11">
      <c r="A208" s="27">
        <v>206</v>
      </c>
      <c r="B208" s="28" t="s">
        <v>648</v>
      </c>
      <c r="C208" s="29" t="s">
        <v>3451</v>
      </c>
      <c r="D208" s="29" t="s">
        <v>17</v>
      </c>
      <c r="E208" s="32">
        <v>32013</v>
      </c>
      <c r="F208" s="74">
        <v>45992</v>
      </c>
      <c r="G208" s="30" t="s">
        <v>54</v>
      </c>
      <c r="H208" s="28" t="s">
        <v>140</v>
      </c>
      <c r="I208" s="28" t="s">
        <v>14</v>
      </c>
      <c r="J208" s="28" t="s">
        <v>5180</v>
      </c>
      <c r="K208" s="28" t="s">
        <v>650</v>
      </c>
    </row>
    <row r="209" spans="1:11">
      <c r="A209" s="27">
        <v>207</v>
      </c>
      <c r="B209" s="28" t="s">
        <v>651</v>
      </c>
      <c r="C209" s="29" t="s">
        <v>3452</v>
      </c>
      <c r="D209" s="29" t="s">
        <v>17</v>
      </c>
      <c r="E209" s="32">
        <v>37496</v>
      </c>
      <c r="F209" s="74">
        <v>45992</v>
      </c>
      <c r="G209" s="30" t="s">
        <v>179</v>
      </c>
      <c r="H209" s="28" t="s">
        <v>36</v>
      </c>
      <c r="I209" s="28" t="s">
        <v>56</v>
      </c>
      <c r="J209" s="28" t="s">
        <v>5189</v>
      </c>
      <c r="K209" s="28" t="s">
        <v>653</v>
      </c>
    </row>
    <row r="210" spans="1:11">
      <c r="A210" s="27">
        <v>208</v>
      </c>
      <c r="B210" s="28" t="s">
        <v>654</v>
      </c>
      <c r="C210" s="29" t="s">
        <v>3291</v>
      </c>
      <c r="D210" s="29" t="s">
        <v>59</v>
      </c>
      <c r="E210" s="32">
        <v>37195</v>
      </c>
      <c r="F210" s="74">
        <v>45992</v>
      </c>
      <c r="G210" s="30" t="s">
        <v>179</v>
      </c>
      <c r="H210" s="28" t="s">
        <v>36</v>
      </c>
      <c r="I210" s="28" t="s">
        <v>42</v>
      </c>
      <c r="J210" s="28" t="s">
        <v>4632</v>
      </c>
      <c r="K210" s="28" t="s">
        <v>656</v>
      </c>
    </row>
    <row r="211" spans="1:11">
      <c r="A211" s="27">
        <v>209</v>
      </c>
      <c r="B211" s="28" t="s">
        <v>657</v>
      </c>
      <c r="C211" s="29" t="s">
        <v>3215</v>
      </c>
      <c r="D211" s="29" t="s">
        <v>59</v>
      </c>
      <c r="E211" s="32">
        <v>36187</v>
      </c>
      <c r="F211" s="74">
        <v>45992</v>
      </c>
      <c r="G211" s="30" t="s">
        <v>172</v>
      </c>
      <c r="H211" s="28" t="s">
        <v>62</v>
      </c>
      <c r="I211" s="28" t="s">
        <v>42</v>
      </c>
      <c r="J211" s="28" t="s">
        <v>4647</v>
      </c>
      <c r="K211" s="28" t="s">
        <v>659</v>
      </c>
    </row>
    <row r="212" spans="1:11">
      <c r="A212" s="27">
        <v>210</v>
      </c>
      <c r="B212" s="28" t="s">
        <v>660</v>
      </c>
      <c r="C212" s="29" t="s">
        <v>3346</v>
      </c>
      <c r="D212" s="29" t="s">
        <v>17</v>
      </c>
      <c r="E212" s="32">
        <v>34740</v>
      </c>
      <c r="F212" s="74">
        <v>45992</v>
      </c>
      <c r="G212" s="30" t="s">
        <v>216</v>
      </c>
      <c r="H212" s="28" t="s">
        <v>217</v>
      </c>
      <c r="I212" s="28" t="s">
        <v>14</v>
      </c>
      <c r="J212" s="28" t="s">
        <v>5078</v>
      </c>
      <c r="K212" s="28" t="s">
        <v>662</v>
      </c>
    </row>
    <row r="213" spans="1:11">
      <c r="A213" s="27">
        <v>211</v>
      </c>
      <c r="B213" s="28" t="s">
        <v>663</v>
      </c>
      <c r="C213" s="29" t="s">
        <v>3347</v>
      </c>
      <c r="D213" s="29" t="s">
        <v>17</v>
      </c>
      <c r="E213" s="32">
        <v>31903</v>
      </c>
      <c r="F213" s="74">
        <v>45992</v>
      </c>
      <c r="G213" s="30" t="s">
        <v>216</v>
      </c>
      <c r="H213" s="28" t="s">
        <v>217</v>
      </c>
      <c r="I213" s="28" t="s">
        <v>14</v>
      </c>
      <c r="J213" s="28" t="s">
        <v>5193</v>
      </c>
      <c r="K213" s="28" t="s">
        <v>665</v>
      </c>
    </row>
    <row r="214" spans="1:11">
      <c r="A214" s="27">
        <v>212</v>
      </c>
      <c r="B214" s="28" t="s">
        <v>666</v>
      </c>
      <c r="C214" s="29" t="s">
        <v>3551</v>
      </c>
      <c r="D214" s="29" t="s">
        <v>59</v>
      </c>
      <c r="E214" s="32">
        <v>36900</v>
      </c>
      <c r="F214" s="74">
        <v>45992</v>
      </c>
      <c r="G214" s="30" t="s">
        <v>179</v>
      </c>
      <c r="H214" s="28" t="s">
        <v>36</v>
      </c>
      <c r="I214" s="28" t="s">
        <v>56</v>
      </c>
      <c r="J214" s="28" t="s">
        <v>5226</v>
      </c>
      <c r="K214" s="28" t="s">
        <v>668</v>
      </c>
    </row>
    <row r="215" spans="1:11">
      <c r="A215" s="27">
        <v>213</v>
      </c>
      <c r="B215" s="28" t="s">
        <v>669</v>
      </c>
      <c r="C215" s="29" t="s">
        <v>4053</v>
      </c>
      <c r="D215" s="29" t="s">
        <v>17</v>
      </c>
      <c r="E215" s="32">
        <v>35148</v>
      </c>
      <c r="F215" s="74">
        <v>45992</v>
      </c>
      <c r="G215" s="30" t="s">
        <v>85</v>
      </c>
      <c r="H215" s="28" t="s">
        <v>120</v>
      </c>
      <c r="I215" s="28" t="s">
        <v>14</v>
      </c>
      <c r="J215" s="28" t="s">
        <v>4491</v>
      </c>
      <c r="K215" s="28" t="s">
        <v>671</v>
      </c>
    </row>
    <row r="216" spans="1:11">
      <c r="A216" s="27">
        <v>214</v>
      </c>
      <c r="B216" s="28" t="s">
        <v>672</v>
      </c>
      <c r="C216" s="29" t="s">
        <v>3600</v>
      </c>
      <c r="D216" s="29" t="s">
        <v>59</v>
      </c>
      <c r="E216" s="32">
        <v>34881</v>
      </c>
      <c r="F216" s="74">
        <v>45992</v>
      </c>
      <c r="G216" s="30" t="s">
        <v>179</v>
      </c>
      <c r="H216" s="28" t="s">
        <v>36</v>
      </c>
      <c r="I216" s="28" t="s">
        <v>42</v>
      </c>
      <c r="J216" s="28" t="s">
        <v>4701</v>
      </c>
      <c r="K216" s="28" t="s">
        <v>674</v>
      </c>
    </row>
    <row r="217" spans="1:11">
      <c r="A217" s="27">
        <v>215</v>
      </c>
      <c r="B217" s="28" t="s">
        <v>675</v>
      </c>
      <c r="C217" s="29" t="s">
        <v>3601</v>
      </c>
      <c r="D217" s="29" t="s">
        <v>17</v>
      </c>
      <c r="E217" s="32">
        <v>37480</v>
      </c>
      <c r="F217" s="74">
        <v>45992</v>
      </c>
      <c r="G217" s="30" t="s">
        <v>179</v>
      </c>
      <c r="H217" s="28" t="s">
        <v>36</v>
      </c>
      <c r="I217" s="28" t="s">
        <v>56</v>
      </c>
      <c r="J217" s="28" t="s">
        <v>5195</v>
      </c>
      <c r="K217" s="28" t="s">
        <v>677</v>
      </c>
    </row>
    <row r="218" spans="1:11">
      <c r="A218" s="27">
        <v>216</v>
      </c>
      <c r="B218" s="28" t="s">
        <v>678</v>
      </c>
      <c r="C218" s="29" t="s">
        <v>4054</v>
      </c>
      <c r="D218" s="29" t="s">
        <v>17</v>
      </c>
      <c r="E218" s="32">
        <v>33069</v>
      </c>
      <c r="F218" s="74">
        <v>45992</v>
      </c>
      <c r="G218" s="30" t="s">
        <v>40</v>
      </c>
      <c r="H218" s="28" t="s">
        <v>71</v>
      </c>
      <c r="I218" s="28" t="s">
        <v>14</v>
      </c>
      <c r="J218" s="28" t="s">
        <v>5210</v>
      </c>
      <c r="K218" s="28" t="s">
        <v>680</v>
      </c>
    </row>
    <row r="219" spans="1:11">
      <c r="A219" s="27">
        <v>217</v>
      </c>
      <c r="B219" s="28" t="s">
        <v>681</v>
      </c>
      <c r="C219" s="29" t="s">
        <v>3679</v>
      </c>
      <c r="D219" s="29" t="s">
        <v>59</v>
      </c>
      <c r="E219" s="32">
        <v>36839</v>
      </c>
      <c r="F219" s="74">
        <v>45992</v>
      </c>
      <c r="G219" s="30" t="s">
        <v>179</v>
      </c>
      <c r="H219" s="28" t="s">
        <v>36</v>
      </c>
      <c r="I219" s="28" t="s">
        <v>42</v>
      </c>
      <c r="J219" s="28" t="s">
        <v>5373</v>
      </c>
      <c r="K219" s="28" t="s">
        <v>683</v>
      </c>
    </row>
    <row r="220" spans="1:11">
      <c r="A220" s="27">
        <v>218</v>
      </c>
      <c r="B220" s="28" t="s">
        <v>684</v>
      </c>
      <c r="C220" s="29" t="s">
        <v>3602</v>
      </c>
      <c r="D220" s="29" t="s">
        <v>59</v>
      </c>
      <c r="E220" s="32">
        <v>33923</v>
      </c>
      <c r="F220" s="74">
        <v>45992</v>
      </c>
      <c r="G220" s="30" t="s">
        <v>179</v>
      </c>
      <c r="H220" s="28" t="s">
        <v>36</v>
      </c>
      <c r="I220" s="28" t="s">
        <v>14</v>
      </c>
      <c r="J220" s="28" t="s">
        <v>5185</v>
      </c>
      <c r="K220" s="28" t="s">
        <v>686</v>
      </c>
    </row>
    <row r="221" spans="1:11">
      <c r="A221" s="27">
        <v>219</v>
      </c>
      <c r="B221" s="28" t="s">
        <v>687</v>
      </c>
      <c r="C221" s="29" t="s">
        <v>4055</v>
      </c>
      <c r="D221" s="29" t="s">
        <v>17</v>
      </c>
      <c r="E221" s="32">
        <v>32118</v>
      </c>
      <c r="F221" s="74">
        <v>45992</v>
      </c>
      <c r="G221" s="30" t="s">
        <v>24</v>
      </c>
      <c r="H221" s="28" t="s">
        <v>25</v>
      </c>
      <c r="I221" s="28" t="s">
        <v>42</v>
      </c>
      <c r="J221" s="28" t="s">
        <v>5020</v>
      </c>
      <c r="K221" s="28" t="s">
        <v>689</v>
      </c>
    </row>
    <row r="222" spans="1:11">
      <c r="A222" s="27">
        <v>220</v>
      </c>
      <c r="B222" s="28" t="s">
        <v>690</v>
      </c>
      <c r="C222" s="29" t="s">
        <v>3216</v>
      </c>
      <c r="D222" s="29" t="s">
        <v>17</v>
      </c>
      <c r="E222" s="32">
        <v>37084</v>
      </c>
      <c r="F222" s="74">
        <v>45992</v>
      </c>
      <c r="G222" s="30" t="s">
        <v>172</v>
      </c>
      <c r="H222" s="28" t="s">
        <v>62</v>
      </c>
      <c r="I222" s="28" t="s">
        <v>42</v>
      </c>
      <c r="J222" s="28" t="s">
        <v>5199</v>
      </c>
      <c r="K222" s="28" t="s">
        <v>692</v>
      </c>
    </row>
    <row r="223" spans="1:11">
      <c r="A223" s="27">
        <v>221</v>
      </c>
      <c r="B223" s="28" t="s">
        <v>693</v>
      </c>
      <c r="C223" s="29" t="s">
        <v>4056</v>
      </c>
      <c r="D223" s="29" t="s">
        <v>17</v>
      </c>
      <c r="E223" s="32">
        <v>31985</v>
      </c>
      <c r="F223" s="74">
        <v>45992</v>
      </c>
      <c r="G223" s="30" t="s">
        <v>179</v>
      </c>
      <c r="H223" s="28" t="s">
        <v>36</v>
      </c>
      <c r="I223" s="28" t="s">
        <v>56</v>
      </c>
      <c r="J223" s="28" t="s">
        <v>5351</v>
      </c>
      <c r="K223" s="28" t="s">
        <v>695</v>
      </c>
    </row>
    <row r="224" spans="1:11">
      <c r="A224" s="27">
        <v>222</v>
      </c>
      <c r="B224" s="28" t="s">
        <v>3943</v>
      </c>
      <c r="C224" s="29" t="s">
        <v>3292</v>
      </c>
      <c r="D224" s="29" t="s">
        <v>59</v>
      </c>
      <c r="E224" s="32">
        <v>36433</v>
      </c>
      <c r="F224" s="74">
        <v>45992</v>
      </c>
      <c r="G224" s="30" t="s">
        <v>179</v>
      </c>
      <c r="H224" s="28" t="s">
        <v>36</v>
      </c>
      <c r="I224" s="28" t="s">
        <v>14</v>
      </c>
      <c r="J224" s="28" t="s">
        <v>4563</v>
      </c>
      <c r="K224" s="28" t="s">
        <v>697</v>
      </c>
    </row>
    <row r="225" spans="1:11">
      <c r="A225" s="27">
        <v>223</v>
      </c>
      <c r="B225" s="28" t="s">
        <v>698</v>
      </c>
      <c r="C225" s="29" t="s">
        <v>4057</v>
      </c>
      <c r="D225" s="29" t="s">
        <v>59</v>
      </c>
      <c r="E225" s="32">
        <v>35436</v>
      </c>
      <c r="F225" s="74">
        <v>45992</v>
      </c>
      <c r="G225" s="30" t="s">
        <v>179</v>
      </c>
      <c r="H225" s="28" t="s">
        <v>36</v>
      </c>
      <c r="I225" s="28" t="s">
        <v>56</v>
      </c>
      <c r="J225" s="28" t="s">
        <v>4771</v>
      </c>
      <c r="K225" s="28" t="s">
        <v>700</v>
      </c>
    </row>
    <row r="226" spans="1:11">
      <c r="A226" s="27">
        <v>224</v>
      </c>
      <c r="B226" s="28" t="s">
        <v>701</v>
      </c>
      <c r="C226" s="29" t="s">
        <v>3453</v>
      </c>
      <c r="D226" s="29" t="s">
        <v>17</v>
      </c>
      <c r="E226" s="32">
        <v>37811</v>
      </c>
      <c r="F226" s="74">
        <v>45992</v>
      </c>
      <c r="G226" s="30" t="s">
        <v>179</v>
      </c>
      <c r="H226" s="28" t="s">
        <v>36</v>
      </c>
      <c r="I226" s="28" t="s">
        <v>42</v>
      </c>
      <c r="J226" s="28" t="s">
        <v>5399</v>
      </c>
      <c r="K226" s="28" t="s">
        <v>703</v>
      </c>
    </row>
    <row r="227" spans="1:11">
      <c r="A227" s="27">
        <v>225</v>
      </c>
      <c r="B227" s="28" t="s">
        <v>704</v>
      </c>
      <c r="C227" s="29" t="s">
        <v>4058</v>
      </c>
      <c r="D227" s="29" t="s">
        <v>59</v>
      </c>
      <c r="E227" s="32">
        <v>35508</v>
      </c>
      <c r="F227" s="74">
        <v>45992</v>
      </c>
      <c r="G227" s="30" t="s">
        <v>24</v>
      </c>
      <c r="H227" s="28" t="s">
        <v>25</v>
      </c>
      <c r="I227" s="28" t="s">
        <v>42</v>
      </c>
      <c r="J227" s="28" t="s">
        <v>4592</v>
      </c>
      <c r="K227" s="28" t="s">
        <v>706</v>
      </c>
    </row>
    <row r="228" spans="1:11">
      <c r="A228" s="27">
        <v>226</v>
      </c>
      <c r="B228" s="28" t="s">
        <v>707</v>
      </c>
      <c r="C228" s="29" t="s">
        <v>3348</v>
      </c>
      <c r="D228" s="29" t="s">
        <v>17</v>
      </c>
      <c r="E228" s="32">
        <v>34296</v>
      </c>
      <c r="F228" s="74">
        <v>45992</v>
      </c>
      <c r="G228" s="30" t="s">
        <v>179</v>
      </c>
      <c r="H228" s="28" t="s">
        <v>36</v>
      </c>
      <c r="I228" s="28" t="s">
        <v>56</v>
      </c>
      <c r="J228" s="28" t="s">
        <v>5223</v>
      </c>
      <c r="K228" s="28" t="s">
        <v>709</v>
      </c>
    </row>
    <row r="229" spans="1:11">
      <c r="A229" s="27">
        <v>227</v>
      </c>
      <c r="B229" s="28" t="s">
        <v>710</v>
      </c>
      <c r="C229" s="29" t="s">
        <v>3293</v>
      </c>
      <c r="D229" s="29" t="s">
        <v>17</v>
      </c>
      <c r="E229" s="32">
        <v>36165</v>
      </c>
      <c r="F229" s="74">
        <v>45992</v>
      </c>
      <c r="G229" s="30" t="s">
        <v>179</v>
      </c>
      <c r="H229" s="28" t="s">
        <v>36</v>
      </c>
      <c r="I229" s="28" t="s">
        <v>14</v>
      </c>
      <c r="J229" s="28" t="s">
        <v>5303</v>
      </c>
      <c r="K229" s="28" t="s">
        <v>712</v>
      </c>
    </row>
    <row r="230" spans="1:11">
      <c r="A230" s="27">
        <v>228</v>
      </c>
      <c r="B230" s="28" t="s">
        <v>713</v>
      </c>
      <c r="C230" s="29" t="s">
        <v>4059</v>
      </c>
      <c r="D230" s="29" t="s">
        <v>59</v>
      </c>
      <c r="E230" s="32">
        <v>35240</v>
      </c>
      <c r="F230" s="74">
        <v>45992</v>
      </c>
      <c r="G230" s="30" t="s">
        <v>179</v>
      </c>
      <c r="H230" s="28" t="s">
        <v>36</v>
      </c>
      <c r="I230" s="28" t="s">
        <v>14</v>
      </c>
      <c r="J230" s="28" t="s">
        <v>4708</v>
      </c>
      <c r="K230" s="28" t="s">
        <v>5802</v>
      </c>
    </row>
    <row r="231" spans="1:11">
      <c r="A231" s="27">
        <v>229</v>
      </c>
      <c r="B231" s="28" t="s">
        <v>715</v>
      </c>
      <c r="C231" s="29" t="s">
        <v>3349</v>
      </c>
      <c r="D231" s="29" t="s">
        <v>17</v>
      </c>
      <c r="E231" s="32">
        <v>33170</v>
      </c>
      <c r="F231" s="74">
        <v>45992</v>
      </c>
      <c r="G231" s="30" t="s">
        <v>179</v>
      </c>
      <c r="H231" s="28" t="s">
        <v>36</v>
      </c>
      <c r="I231" s="28" t="s">
        <v>56</v>
      </c>
      <c r="J231" s="28" t="s">
        <v>5212</v>
      </c>
      <c r="K231" s="28" t="s">
        <v>717</v>
      </c>
    </row>
    <row r="232" spans="1:11">
      <c r="A232" s="27">
        <v>230</v>
      </c>
      <c r="B232" s="28" t="s">
        <v>718</v>
      </c>
      <c r="C232" s="29" t="s">
        <v>4060</v>
      </c>
      <c r="D232" s="29" t="s">
        <v>59</v>
      </c>
      <c r="E232" s="32">
        <v>34002</v>
      </c>
      <c r="F232" s="74">
        <v>45992</v>
      </c>
      <c r="G232" s="30" t="s">
        <v>179</v>
      </c>
      <c r="H232" s="28" t="s">
        <v>36</v>
      </c>
      <c r="I232" s="28" t="s">
        <v>14</v>
      </c>
      <c r="J232" s="28" t="s">
        <v>5106</v>
      </c>
      <c r="K232" s="28" t="s">
        <v>720</v>
      </c>
    </row>
    <row r="233" spans="1:11">
      <c r="A233" s="27">
        <v>231</v>
      </c>
      <c r="B233" s="28" t="s">
        <v>721</v>
      </c>
      <c r="C233" s="29" t="s">
        <v>4061</v>
      </c>
      <c r="D233" s="29" t="s">
        <v>59</v>
      </c>
      <c r="E233" s="32">
        <v>33496</v>
      </c>
      <c r="F233" s="74">
        <v>45992</v>
      </c>
      <c r="G233" s="30" t="s">
        <v>179</v>
      </c>
      <c r="H233" s="28" t="s">
        <v>36</v>
      </c>
      <c r="I233" s="28" t="s">
        <v>56</v>
      </c>
      <c r="J233" s="28" t="s">
        <v>4790</v>
      </c>
      <c r="K233" s="28" t="s">
        <v>5801</v>
      </c>
    </row>
    <row r="234" spans="1:11">
      <c r="A234" s="27">
        <v>232</v>
      </c>
      <c r="B234" s="28" t="s">
        <v>723</v>
      </c>
      <c r="C234" s="29" t="s">
        <v>4062</v>
      </c>
      <c r="D234" s="29" t="s">
        <v>17</v>
      </c>
      <c r="E234" s="32">
        <v>37481</v>
      </c>
      <c r="F234" s="74">
        <v>45992</v>
      </c>
      <c r="G234" s="30" t="s">
        <v>40</v>
      </c>
      <c r="H234" s="28" t="s">
        <v>71</v>
      </c>
      <c r="I234" s="28" t="s">
        <v>14</v>
      </c>
      <c r="J234" s="28" t="s">
        <v>4989</v>
      </c>
      <c r="K234" s="28" t="s">
        <v>725</v>
      </c>
    </row>
    <row r="235" spans="1:11">
      <c r="A235" s="27">
        <v>233</v>
      </c>
      <c r="B235" s="28" t="s">
        <v>726</v>
      </c>
      <c r="C235" s="29" t="s">
        <v>4063</v>
      </c>
      <c r="D235" s="29" t="s">
        <v>59</v>
      </c>
      <c r="E235" s="32">
        <v>31881</v>
      </c>
      <c r="F235" s="74">
        <v>45992</v>
      </c>
      <c r="G235" s="30" t="s">
        <v>179</v>
      </c>
      <c r="H235" s="28" t="s">
        <v>36</v>
      </c>
      <c r="I235" s="28" t="s">
        <v>14</v>
      </c>
      <c r="J235" s="28" t="s">
        <v>5236</v>
      </c>
      <c r="K235" s="28" t="s">
        <v>728</v>
      </c>
    </row>
    <row r="236" spans="1:11">
      <c r="A236" s="27">
        <v>234</v>
      </c>
      <c r="B236" s="28" t="s">
        <v>729</v>
      </c>
      <c r="C236" s="29" t="s">
        <v>4064</v>
      </c>
      <c r="D236" s="29" t="s">
        <v>17</v>
      </c>
      <c r="E236" s="32">
        <v>34231</v>
      </c>
      <c r="F236" s="74">
        <v>45992</v>
      </c>
      <c r="G236" s="30" t="s">
        <v>85</v>
      </c>
      <c r="H236" s="28" t="s">
        <v>120</v>
      </c>
      <c r="I236" s="28" t="s">
        <v>14</v>
      </c>
      <c r="J236" s="28" t="s">
        <v>4473</v>
      </c>
      <c r="K236" s="28" t="s">
        <v>731</v>
      </c>
    </row>
    <row r="237" spans="1:11">
      <c r="A237" s="27">
        <v>235</v>
      </c>
      <c r="B237" s="28" t="s">
        <v>732</v>
      </c>
      <c r="C237" s="29" t="s">
        <v>3454</v>
      </c>
      <c r="D237" s="29" t="s">
        <v>59</v>
      </c>
      <c r="E237" s="32">
        <v>33095</v>
      </c>
      <c r="F237" s="74">
        <v>45992</v>
      </c>
      <c r="G237" s="30" t="s">
        <v>54</v>
      </c>
      <c r="H237" s="28" t="s">
        <v>140</v>
      </c>
      <c r="I237" s="28" t="s">
        <v>14</v>
      </c>
      <c r="J237" s="28" t="s">
        <v>4815</v>
      </c>
      <c r="K237" s="28" t="s">
        <v>734</v>
      </c>
    </row>
    <row r="238" spans="1:11">
      <c r="A238" s="27">
        <v>236</v>
      </c>
      <c r="B238" s="28" t="s">
        <v>735</v>
      </c>
      <c r="C238" s="29" t="s">
        <v>4065</v>
      </c>
      <c r="D238" s="29" t="s">
        <v>17</v>
      </c>
      <c r="E238" s="32">
        <v>34821</v>
      </c>
      <c r="F238" s="74">
        <v>45992</v>
      </c>
      <c r="G238" s="30" t="s">
        <v>85</v>
      </c>
      <c r="H238" s="28" t="s">
        <v>120</v>
      </c>
      <c r="I238" s="28" t="s">
        <v>56</v>
      </c>
      <c r="J238" s="28" t="s">
        <v>4970</v>
      </c>
      <c r="K238" s="28" t="s">
        <v>737</v>
      </c>
    </row>
    <row r="239" spans="1:11">
      <c r="A239" s="27">
        <v>237</v>
      </c>
      <c r="B239" s="28" t="s">
        <v>738</v>
      </c>
      <c r="C239" s="29" t="s">
        <v>3603</v>
      </c>
      <c r="D239" s="29" t="s">
        <v>59</v>
      </c>
      <c r="E239" s="32">
        <v>35166</v>
      </c>
      <c r="F239" s="74">
        <v>45992</v>
      </c>
      <c r="G239" s="30" t="s">
        <v>179</v>
      </c>
      <c r="H239" s="28" t="s">
        <v>36</v>
      </c>
      <c r="I239" s="28" t="s">
        <v>56</v>
      </c>
      <c r="J239" s="28" t="s">
        <v>4780</v>
      </c>
      <c r="K239" s="28" t="s">
        <v>740</v>
      </c>
    </row>
    <row r="240" spans="1:11">
      <c r="A240" s="27">
        <v>238</v>
      </c>
      <c r="B240" s="28" t="s">
        <v>741</v>
      </c>
      <c r="C240" s="29" t="s">
        <v>4066</v>
      </c>
      <c r="D240" s="29" t="s">
        <v>17</v>
      </c>
      <c r="E240" s="32">
        <v>31273</v>
      </c>
      <c r="F240" s="74">
        <v>45992</v>
      </c>
      <c r="G240" s="30" t="s">
        <v>216</v>
      </c>
      <c r="H240" s="28" t="s">
        <v>217</v>
      </c>
      <c r="I240" s="28" t="s">
        <v>14</v>
      </c>
      <c r="J240" s="28" t="s">
        <v>4502</v>
      </c>
      <c r="K240" s="28" t="s">
        <v>743</v>
      </c>
    </row>
    <row r="241" spans="1:11">
      <c r="A241" s="27">
        <v>239</v>
      </c>
      <c r="B241" s="28" t="s">
        <v>744</v>
      </c>
      <c r="C241" s="29" t="s">
        <v>3680</v>
      </c>
      <c r="D241" s="29" t="s">
        <v>59</v>
      </c>
      <c r="E241" s="32">
        <v>34912</v>
      </c>
      <c r="F241" s="74">
        <v>45992</v>
      </c>
      <c r="G241" s="30" t="s">
        <v>179</v>
      </c>
      <c r="H241" s="28" t="s">
        <v>36</v>
      </c>
      <c r="I241" s="28" t="s">
        <v>14</v>
      </c>
      <c r="J241" s="28" t="s">
        <v>5353</v>
      </c>
      <c r="K241" s="28" t="s">
        <v>746</v>
      </c>
    </row>
    <row r="242" spans="1:11">
      <c r="A242" s="27">
        <v>240</v>
      </c>
      <c r="B242" s="28" t="s">
        <v>3944</v>
      </c>
      <c r="C242" s="29" t="s">
        <v>3217</v>
      </c>
      <c r="D242" s="29" t="s">
        <v>59</v>
      </c>
      <c r="E242" s="32">
        <v>33798</v>
      </c>
      <c r="F242" s="74">
        <v>45992</v>
      </c>
      <c r="G242" s="30" t="s">
        <v>172</v>
      </c>
      <c r="H242" s="28" t="s">
        <v>62</v>
      </c>
      <c r="I242" s="28" t="s">
        <v>42</v>
      </c>
      <c r="J242" s="28" t="s">
        <v>5415</v>
      </c>
      <c r="K242" s="28" t="s">
        <v>748</v>
      </c>
    </row>
    <row r="243" spans="1:11">
      <c r="A243" s="27">
        <v>241</v>
      </c>
      <c r="B243" s="28" t="s">
        <v>749</v>
      </c>
      <c r="C243" s="29" t="s">
        <v>3455</v>
      </c>
      <c r="D243" s="29" t="s">
        <v>17</v>
      </c>
      <c r="E243" s="32">
        <v>34882</v>
      </c>
      <c r="F243" s="74">
        <v>45992</v>
      </c>
      <c r="G243" s="30" t="s">
        <v>179</v>
      </c>
      <c r="H243" s="28" t="s">
        <v>36</v>
      </c>
      <c r="I243" s="28" t="s">
        <v>56</v>
      </c>
      <c r="J243" s="28" t="s">
        <v>5003</v>
      </c>
      <c r="K243" s="28" t="s">
        <v>5809</v>
      </c>
    </row>
    <row r="244" spans="1:11">
      <c r="A244" s="27">
        <v>242</v>
      </c>
      <c r="B244" s="28" t="s">
        <v>751</v>
      </c>
      <c r="C244" s="29" t="s">
        <v>3604</v>
      </c>
      <c r="D244" s="29" t="s">
        <v>59</v>
      </c>
      <c r="E244" s="32">
        <v>37844</v>
      </c>
      <c r="F244" s="74">
        <v>45992</v>
      </c>
      <c r="G244" s="30" t="s">
        <v>179</v>
      </c>
      <c r="H244" s="28" t="s">
        <v>36</v>
      </c>
      <c r="I244" s="28" t="s">
        <v>56</v>
      </c>
      <c r="J244" s="28" t="s">
        <v>4781</v>
      </c>
      <c r="K244" s="28" t="s">
        <v>753</v>
      </c>
    </row>
    <row r="245" spans="1:11">
      <c r="A245" s="27">
        <v>243</v>
      </c>
      <c r="B245" s="28" t="s">
        <v>754</v>
      </c>
      <c r="C245" s="29" t="s">
        <v>3456</v>
      </c>
      <c r="D245" s="29" t="s">
        <v>59</v>
      </c>
      <c r="E245" s="32">
        <v>33346</v>
      </c>
      <c r="F245" s="74">
        <v>45992</v>
      </c>
      <c r="G245" s="30" t="s">
        <v>179</v>
      </c>
      <c r="H245" s="28" t="s">
        <v>36</v>
      </c>
      <c r="I245" s="28" t="s">
        <v>42</v>
      </c>
      <c r="J245" s="28" t="s">
        <v>4887</v>
      </c>
      <c r="K245" s="28" t="s">
        <v>756</v>
      </c>
    </row>
    <row r="246" spans="1:11">
      <c r="A246" s="27">
        <v>244</v>
      </c>
      <c r="B246" s="28" t="s">
        <v>757</v>
      </c>
      <c r="C246" s="29" t="s">
        <v>4067</v>
      </c>
      <c r="D246" s="29" t="s">
        <v>59</v>
      </c>
      <c r="E246" s="32">
        <v>34347</v>
      </c>
      <c r="F246" s="74">
        <v>45992</v>
      </c>
      <c r="G246" s="30" t="s">
        <v>24</v>
      </c>
      <c r="H246" s="28" t="s">
        <v>25</v>
      </c>
      <c r="I246" s="28" t="s">
        <v>56</v>
      </c>
      <c r="J246" s="28" t="s">
        <v>4890</v>
      </c>
      <c r="K246" s="28" t="s">
        <v>5840</v>
      </c>
    </row>
    <row r="247" spans="1:11">
      <c r="A247" s="27">
        <v>245</v>
      </c>
      <c r="B247" s="28" t="s">
        <v>759</v>
      </c>
      <c r="C247" s="29" t="s">
        <v>3294</v>
      </c>
      <c r="D247" s="29" t="s">
        <v>59</v>
      </c>
      <c r="E247" s="32">
        <v>35738</v>
      </c>
      <c r="F247" s="74">
        <v>45992</v>
      </c>
      <c r="G247" s="30" t="s">
        <v>179</v>
      </c>
      <c r="H247" s="28" t="s">
        <v>36</v>
      </c>
      <c r="I247" s="28" t="s">
        <v>14</v>
      </c>
      <c r="J247" s="28" t="s">
        <v>4486</v>
      </c>
      <c r="K247" s="28" t="s">
        <v>5800</v>
      </c>
    </row>
    <row r="248" spans="1:11">
      <c r="A248" s="27">
        <v>246</v>
      </c>
      <c r="B248" s="28" t="s">
        <v>761</v>
      </c>
      <c r="C248" s="29" t="s">
        <v>4068</v>
      </c>
      <c r="D248" s="29" t="s">
        <v>59</v>
      </c>
      <c r="E248" s="32">
        <v>32179</v>
      </c>
      <c r="F248" s="74">
        <v>45992</v>
      </c>
      <c r="G248" s="30" t="s">
        <v>24</v>
      </c>
      <c r="H248" s="28" t="s">
        <v>25</v>
      </c>
      <c r="I248" s="28" t="s">
        <v>56</v>
      </c>
      <c r="J248" s="28" t="s">
        <v>4782</v>
      </c>
      <c r="K248" s="28" t="s">
        <v>763</v>
      </c>
    </row>
    <row r="249" spans="1:11">
      <c r="A249" s="27">
        <v>247</v>
      </c>
      <c r="B249" s="28" t="s">
        <v>764</v>
      </c>
      <c r="C249" s="29" t="s">
        <v>4069</v>
      </c>
      <c r="D249" s="29" t="s">
        <v>59</v>
      </c>
      <c r="E249" s="32">
        <v>36705</v>
      </c>
      <c r="F249" s="74">
        <v>45992</v>
      </c>
      <c r="G249" s="30" t="s">
        <v>179</v>
      </c>
      <c r="H249" s="28" t="s">
        <v>36</v>
      </c>
      <c r="I249" s="28" t="s">
        <v>14</v>
      </c>
      <c r="J249" s="28" t="s">
        <v>5085</v>
      </c>
      <c r="K249" s="28" t="s">
        <v>766</v>
      </c>
    </row>
    <row r="250" spans="1:11">
      <c r="A250" s="27">
        <v>248</v>
      </c>
      <c r="B250" s="28" t="s">
        <v>767</v>
      </c>
      <c r="C250" s="29" t="s">
        <v>3350</v>
      </c>
      <c r="D250" s="29" t="s">
        <v>17</v>
      </c>
      <c r="E250" s="32">
        <v>37324</v>
      </c>
      <c r="F250" s="74">
        <v>45992</v>
      </c>
      <c r="G250" s="30" t="s">
        <v>179</v>
      </c>
      <c r="H250" s="28" t="s">
        <v>36</v>
      </c>
      <c r="I250" s="28" t="s">
        <v>56</v>
      </c>
      <c r="J250" s="28" t="s">
        <v>5338</v>
      </c>
      <c r="K250" s="28" t="s">
        <v>769</v>
      </c>
    </row>
    <row r="251" spans="1:11">
      <c r="A251" s="27">
        <v>249</v>
      </c>
      <c r="B251" s="28" t="s">
        <v>770</v>
      </c>
      <c r="C251" s="29" t="s">
        <v>4070</v>
      </c>
      <c r="D251" s="29" t="s">
        <v>59</v>
      </c>
      <c r="E251" s="32">
        <v>36032</v>
      </c>
      <c r="F251" s="74">
        <v>45992</v>
      </c>
      <c r="G251" s="30" t="s">
        <v>179</v>
      </c>
      <c r="H251" s="28" t="s">
        <v>36</v>
      </c>
      <c r="I251" s="28" t="s">
        <v>14</v>
      </c>
      <c r="J251" s="28" t="s">
        <v>5102</v>
      </c>
      <c r="K251" s="28" t="s">
        <v>772</v>
      </c>
    </row>
    <row r="252" spans="1:11">
      <c r="A252" s="27">
        <v>250</v>
      </c>
      <c r="B252" s="28" t="s">
        <v>2307</v>
      </c>
      <c r="C252" s="29" t="s">
        <v>4071</v>
      </c>
      <c r="D252" s="29" t="s">
        <v>17</v>
      </c>
      <c r="E252" s="32">
        <v>34331</v>
      </c>
      <c r="F252" s="74">
        <v>45992</v>
      </c>
      <c r="G252" s="30" t="s">
        <v>85</v>
      </c>
      <c r="H252" s="28" t="s">
        <v>120</v>
      </c>
      <c r="I252" s="28" t="s">
        <v>42</v>
      </c>
      <c r="J252" s="28" t="s">
        <v>4990</v>
      </c>
      <c r="K252" s="28" t="s">
        <v>5918</v>
      </c>
    </row>
    <row r="253" spans="1:11">
      <c r="A253" s="27">
        <v>251</v>
      </c>
      <c r="B253" s="28" t="s">
        <v>775</v>
      </c>
      <c r="C253" s="29" t="s">
        <v>4072</v>
      </c>
      <c r="D253" s="29" t="s">
        <v>59</v>
      </c>
      <c r="E253" s="32">
        <v>31549</v>
      </c>
      <c r="F253" s="74">
        <v>45992</v>
      </c>
      <c r="G253" s="30" t="s">
        <v>179</v>
      </c>
      <c r="H253" s="28" t="s">
        <v>36</v>
      </c>
      <c r="I253" s="28" t="s">
        <v>14</v>
      </c>
      <c r="J253" s="28" t="s">
        <v>5044</v>
      </c>
      <c r="K253" s="28" t="s">
        <v>777</v>
      </c>
    </row>
    <row r="254" spans="1:11">
      <c r="A254" s="27">
        <v>252</v>
      </c>
      <c r="B254" s="28" t="s">
        <v>778</v>
      </c>
      <c r="C254" s="29" t="s">
        <v>4073</v>
      </c>
      <c r="D254" s="29" t="s">
        <v>17</v>
      </c>
      <c r="E254" s="32">
        <v>31474</v>
      </c>
      <c r="F254" s="74">
        <v>45992</v>
      </c>
      <c r="G254" s="30" t="s">
        <v>40</v>
      </c>
      <c r="H254" s="28" t="s">
        <v>71</v>
      </c>
      <c r="I254" s="28" t="s">
        <v>14</v>
      </c>
      <c r="J254" s="28" t="s">
        <v>4930</v>
      </c>
      <c r="K254" s="28" t="s">
        <v>5866</v>
      </c>
    </row>
    <row r="255" spans="1:11">
      <c r="A255" s="27">
        <v>253</v>
      </c>
      <c r="B255" s="28" t="s">
        <v>3945</v>
      </c>
      <c r="C255" s="29" t="s">
        <v>3218</v>
      </c>
      <c r="D255" s="29" t="s">
        <v>59</v>
      </c>
      <c r="E255" s="32">
        <v>31080</v>
      </c>
      <c r="F255" s="74">
        <v>45992</v>
      </c>
      <c r="G255" s="30" t="s">
        <v>179</v>
      </c>
      <c r="H255" s="28" t="s">
        <v>36</v>
      </c>
      <c r="I255" s="28" t="s">
        <v>14</v>
      </c>
      <c r="J255" s="28" t="s">
        <v>5084</v>
      </c>
      <c r="K255" s="28" t="s">
        <v>782</v>
      </c>
    </row>
    <row r="256" spans="1:11">
      <c r="A256" s="27">
        <v>254</v>
      </c>
      <c r="B256" s="28" t="s">
        <v>783</v>
      </c>
      <c r="C256" s="29" t="s">
        <v>4074</v>
      </c>
      <c r="D256" s="29" t="s">
        <v>59</v>
      </c>
      <c r="E256" s="32">
        <v>36007</v>
      </c>
      <c r="F256" s="74">
        <v>45992</v>
      </c>
      <c r="G256" s="30" t="s">
        <v>179</v>
      </c>
      <c r="H256" s="28" t="s">
        <v>36</v>
      </c>
      <c r="I256" s="28" t="s">
        <v>56</v>
      </c>
      <c r="J256" s="28" t="s">
        <v>5050</v>
      </c>
      <c r="K256" s="28" t="s">
        <v>785</v>
      </c>
    </row>
    <row r="257" spans="1:11">
      <c r="A257" s="27">
        <v>255</v>
      </c>
      <c r="B257" s="28" t="s">
        <v>786</v>
      </c>
      <c r="C257" s="29" t="s">
        <v>3219</v>
      </c>
      <c r="D257" s="29" t="s">
        <v>17</v>
      </c>
      <c r="E257" s="32">
        <v>33257</v>
      </c>
      <c r="F257" s="74">
        <v>45992</v>
      </c>
      <c r="G257" s="30" t="s">
        <v>179</v>
      </c>
      <c r="H257" s="28" t="s">
        <v>36</v>
      </c>
      <c r="I257" s="28" t="s">
        <v>56</v>
      </c>
      <c r="J257" s="28" t="s">
        <v>5371</v>
      </c>
      <c r="K257" s="28" t="s">
        <v>788</v>
      </c>
    </row>
    <row r="258" spans="1:11">
      <c r="A258" s="27">
        <v>256</v>
      </c>
      <c r="B258" s="28" t="s">
        <v>789</v>
      </c>
      <c r="C258" s="29" t="s">
        <v>4075</v>
      </c>
      <c r="D258" s="29" t="s">
        <v>59</v>
      </c>
      <c r="E258" s="32">
        <v>33355</v>
      </c>
      <c r="F258" s="74">
        <v>45992</v>
      </c>
      <c r="G258" s="30" t="s">
        <v>179</v>
      </c>
      <c r="H258" s="28" t="s">
        <v>36</v>
      </c>
      <c r="I258" s="28" t="s">
        <v>56</v>
      </c>
      <c r="J258" s="28" t="s">
        <v>4711</v>
      </c>
      <c r="K258" s="28" t="s">
        <v>791</v>
      </c>
    </row>
    <row r="259" spans="1:11">
      <c r="A259" s="27">
        <v>257</v>
      </c>
      <c r="B259" s="28" t="s">
        <v>792</v>
      </c>
      <c r="C259" s="29" t="s">
        <v>4076</v>
      </c>
      <c r="D259" s="29" t="s">
        <v>59</v>
      </c>
      <c r="E259" s="32">
        <v>33272</v>
      </c>
      <c r="F259" s="74">
        <v>45992</v>
      </c>
      <c r="G259" s="30" t="s">
        <v>24</v>
      </c>
      <c r="H259" s="28" t="s">
        <v>25</v>
      </c>
      <c r="I259" s="28" t="s">
        <v>14</v>
      </c>
      <c r="J259" s="28" t="s">
        <v>4625</v>
      </c>
      <c r="K259" s="28" t="s">
        <v>794</v>
      </c>
    </row>
    <row r="260" spans="1:11">
      <c r="A260" s="27">
        <v>258</v>
      </c>
      <c r="B260" s="28" t="s">
        <v>795</v>
      </c>
      <c r="C260" s="29" t="s">
        <v>4077</v>
      </c>
      <c r="D260" s="29" t="s">
        <v>59</v>
      </c>
      <c r="E260" s="32">
        <v>32496</v>
      </c>
      <c r="F260" s="74">
        <v>45992</v>
      </c>
      <c r="G260" s="30" t="s">
        <v>179</v>
      </c>
      <c r="H260" s="28" t="s">
        <v>36</v>
      </c>
      <c r="I260" s="28" t="s">
        <v>14</v>
      </c>
      <c r="J260" s="28" t="s">
        <v>5238</v>
      </c>
      <c r="K260" s="28" t="s">
        <v>797</v>
      </c>
    </row>
    <row r="261" spans="1:11">
      <c r="A261" s="27">
        <v>259</v>
      </c>
      <c r="B261" s="28" t="s">
        <v>798</v>
      </c>
      <c r="C261" s="29" t="s">
        <v>3457</v>
      </c>
      <c r="D261" s="29" t="s">
        <v>59</v>
      </c>
      <c r="E261" s="32">
        <v>33148</v>
      </c>
      <c r="F261" s="74">
        <v>45992</v>
      </c>
      <c r="G261" s="30" t="s">
        <v>54</v>
      </c>
      <c r="H261" s="28" t="s">
        <v>140</v>
      </c>
      <c r="I261" s="28" t="s">
        <v>14</v>
      </c>
      <c r="J261" s="28" t="s">
        <v>5314</v>
      </c>
      <c r="K261" s="28" t="s">
        <v>800</v>
      </c>
    </row>
    <row r="262" spans="1:11">
      <c r="A262" s="27">
        <v>260</v>
      </c>
      <c r="B262" s="28" t="s">
        <v>801</v>
      </c>
      <c r="C262" s="29" t="s">
        <v>4078</v>
      </c>
      <c r="D262" s="29" t="s">
        <v>17</v>
      </c>
      <c r="E262" s="32">
        <v>36434</v>
      </c>
      <c r="F262" s="74">
        <v>45992</v>
      </c>
      <c r="G262" s="30" t="s">
        <v>85</v>
      </c>
      <c r="H262" s="28" t="s">
        <v>120</v>
      </c>
      <c r="I262" s="28" t="s">
        <v>14</v>
      </c>
      <c r="J262" s="28" t="s">
        <v>4829</v>
      </c>
      <c r="K262" s="28" t="s">
        <v>803</v>
      </c>
    </row>
    <row r="263" spans="1:11">
      <c r="A263" s="27">
        <v>261</v>
      </c>
      <c r="B263" s="28" t="s">
        <v>804</v>
      </c>
      <c r="C263" s="29" t="s">
        <v>3220</v>
      </c>
      <c r="D263" s="29" t="s">
        <v>59</v>
      </c>
      <c r="E263" s="32">
        <v>32684</v>
      </c>
      <c r="F263" s="74">
        <v>45992</v>
      </c>
      <c r="G263" s="30" t="s">
        <v>179</v>
      </c>
      <c r="H263" s="28" t="s">
        <v>36</v>
      </c>
      <c r="I263" s="28" t="s">
        <v>56</v>
      </c>
      <c r="J263" s="28" t="s">
        <v>4880</v>
      </c>
      <c r="K263" s="28" t="s">
        <v>806</v>
      </c>
    </row>
    <row r="264" spans="1:11">
      <c r="A264" s="27">
        <v>262</v>
      </c>
      <c r="B264" s="28" t="s">
        <v>807</v>
      </c>
      <c r="C264" s="29" t="s">
        <v>4079</v>
      </c>
      <c r="D264" s="29" t="s">
        <v>17</v>
      </c>
      <c r="E264" s="32">
        <v>36424</v>
      </c>
      <c r="F264" s="74">
        <v>45992</v>
      </c>
      <c r="G264" s="30" t="s">
        <v>85</v>
      </c>
      <c r="H264" s="28" t="s">
        <v>120</v>
      </c>
      <c r="I264" s="28" t="s">
        <v>42</v>
      </c>
      <c r="J264" s="28" t="s">
        <v>4479</v>
      </c>
      <c r="K264" s="28" t="s">
        <v>809</v>
      </c>
    </row>
    <row r="265" spans="1:11">
      <c r="A265" s="27">
        <v>263</v>
      </c>
      <c r="B265" s="28" t="s">
        <v>810</v>
      </c>
      <c r="C265" s="29" t="s">
        <v>3221</v>
      </c>
      <c r="D265" s="29" t="s">
        <v>59</v>
      </c>
      <c r="E265" s="32">
        <v>32606</v>
      </c>
      <c r="F265" s="74">
        <v>45992</v>
      </c>
      <c r="G265" s="30" t="s">
        <v>172</v>
      </c>
      <c r="H265" s="28" t="s">
        <v>62</v>
      </c>
      <c r="I265" s="28" t="s">
        <v>42</v>
      </c>
      <c r="J265" s="28" t="s">
        <v>5157</v>
      </c>
      <c r="K265" s="28" t="s">
        <v>812</v>
      </c>
    </row>
    <row r="266" spans="1:11">
      <c r="A266" s="27">
        <v>264</v>
      </c>
      <c r="B266" s="28" t="s">
        <v>813</v>
      </c>
      <c r="C266" s="29" t="s">
        <v>4080</v>
      </c>
      <c r="D266" s="29" t="s">
        <v>59</v>
      </c>
      <c r="E266" s="32">
        <v>37575</v>
      </c>
      <c r="F266" s="74">
        <v>45992</v>
      </c>
      <c r="G266" s="30" t="s">
        <v>179</v>
      </c>
      <c r="H266" s="28" t="s">
        <v>36</v>
      </c>
      <c r="I266" s="28" t="s">
        <v>14</v>
      </c>
      <c r="J266" s="28" t="s">
        <v>4792</v>
      </c>
      <c r="K266" s="28" t="s">
        <v>815</v>
      </c>
    </row>
    <row r="267" spans="1:11">
      <c r="A267" s="27">
        <v>265</v>
      </c>
      <c r="B267" s="28" t="s">
        <v>816</v>
      </c>
      <c r="C267" s="29" t="s">
        <v>3295</v>
      </c>
      <c r="D267" s="29" t="s">
        <v>59</v>
      </c>
      <c r="E267" s="32">
        <v>37695</v>
      </c>
      <c r="F267" s="74">
        <v>45992</v>
      </c>
      <c r="G267" s="30" t="s">
        <v>179</v>
      </c>
      <c r="H267" s="28" t="s">
        <v>36</v>
      </c>
      <c r="I267" s="28" t="s">
        <v>14</v>
      </c>
      <c r="J267" s="28" t="s">
        <v>4670</v>
      </c>
      <c r="K267" s="28" t="s">
        <v>818</v>
      </c>
    </row>
    <row r="268" spans="1:11">
      <c r="A268" s="27">
        <v>266</v>
      </c>
      <c r="B268" s="28" t="s">
        <v>819</v>
      </c>
      <c r="C268" s="29" t="s">
        <v>4081</v>
      </c>
      <c r="D268" s="29" t="s">
        <v>59</v>
      </c>
      <c r="E268" s="32">
        <v>32847</v>
      </c>
      <c r="F268" s="74">
        <v>45992</v>
      </c>
      <c r="G268" s="30" t="s">
        <v>24</v>
      </c>
      <c r="H268" s="28" t="s">
        <v>25</v>
      </c>
      <c r="I268" s="28" t="s">
        <v>14</v>
      </c>
      <c r="J268" s="28" t="s">
        <v>5404</v>
      </c>
      <c r="K268" s="28" t="s">
        <v>821</v>
      </c>
    </row>
    <row r="269" spans="1:11">
      <c r="A269" s="27">
        <v>267</v>
      </c>
      <c r="B269" s="28" t="s">
        <v>822</v>
      </c>
      <c r="C269" s="29" t="s">
        <v>3605</v>
      </c>
      <c r="D269" s="29" t="s">
        <v>17</v>
      </c>
      <c r="E269" s="32">
        <v>34694</v>
      </c>
      <c r="F269" s="74">
        <v>45992</v>
      </c>
      <c r="G269" s="30" t="s">
        <v>179</v>
      </c>
      <c r="H269" s="28" t="s">
        <v>36</v>
      </c>
      <c r="I269" s="28" t="s">
        <v>14</v>
      </c>
      <c r="J269" s="28" t="s">
        <v>5450</v>
      </c>
      <c r="K269" s="28" t="s">
        <v>824</v>
      </c>
    </row>
    <row r="270" spans="1:11">
      <c r="A270" s="27">
        <v>268</v>
      </c>
      <c r="B270" s="28" t="s">
        <v>825</v>
      </c>
      <c r="C270" s="29" t="s">
        <v>3458</v>
      </c>
      <c r="D270" s="29" t="s">
        <v>59</v>
      </c>
      <c r="E270" s="32">
        <v>33628</v>
      </c>
      <c r="F270" s="74">
        <v>45992</v>
      </c>
      <c r="G270" s="30" t="s">
        <v>179</v>
      </c>
      <c r="H270" s="28" t="s">
        <v>36</v>
      </c>
      <c r="I270" s="28" t="s">
        <v>42</v>
      </c>
      <c r="J270" s="28" t="s">
        <v>5165</v>
      </c>
      <c r="K270" s="28" t="s">
        <v>827</v>
      </c>
    </row>
    <row r="271" spans="1:11">
      <c r="A271" s="27">
        <v>269</v>
      </c>
      <c r="B271" s="28" t="s">
        <v>828</v>
      </c>
      <c r="C271" s="29" t="s">
        <v>4082</v>
      </c>
      <c r="D271" s="29" t="s">
        <v>59</v>
      </c>
      <c r="E271" s="32">
        <v>33180</v>
      </c>
      <c r="F271" s="74">
        <v>45992</v>
      </c>
      <c r="G271" s="30" t="s">
        <v>24</v>
      </c>
      <c r="H271" s="28" t="s">
        <v>25</v>
      </c>
      <c r="I271" s="28" t="s">
        <v>14</v>
      </c>
      <c r="J271" s="28" t="s">
        <v>5096</v>
      </c>
      <c r="K271" s="28" t="s">
        <v>5925</v>
      </c>
    </row>
    <row r="272" spans="1:11">
      <c r="A272" s="27">
        <v>270</v>
      </c>
      <c r="B272" s="28" t="s">
        <v>831</v>
      </c>
      <c r="C272" s="29" t="s">
        <v>3459</v>
      </c>
      <c r="D272" s="29" t="s">
        <v>59</v>
      </c>
      <c r="E272" s="32">
        <v>36725</v>
      </c>
      <c r="F272" s="74">
        <v>45992</v>
      </c>
      <c r="G272" s="30" t="s">
        <v>54</v>
      </c>
      <c r="H272" s="28" t="s">
        <v>140</v>
      </c>
      <c r="I272" s="28" t="s">
        <v>14</v>
      </c>
      <c r="J272" s="28" t="s">
        <v>4679</v>
      </c>
      <c r="K272" s="28" t="s">
        <v>833</v>
      </c>
    </row>
    <row r="273" spans="1:11">
      <c r="A273" s="27">
        <v>271</v>
      </c>
      <c r="B273" s="28" t="s">
        <v>834</v>
      </c>
      <c r="C273" s="29" t="s">
        <v>4083</v>
      </c>
      <c r="D273" s="29" t="s">
        <v>59</v>
      </c>
      <c r="E273" s="32">
        <v>38026</v>
      </c>
      <c r="F273" s="74">
        <v>45992</v>
      </c>
      <c r="G273" s="30" t="s">
        <v>179</v>
      </c>
      <c r="H273" s="28" t="s">
        <v>36</v>
      </c>
      <c r="I273" s="28" t="s">
        <v>42</v>
      </c>
      <c r="J273" s="28" t="s">
        <v>5079</v>
      </c>
      <c r="K273" s="28" t="s">
        <v>836</v>
      </c>
    </row>
    <row r="274" spans="1:11">
      <c r="A274" s="27">
        <v>272</v>
      </c>
      <c r="B274" s="28" t="s">
        <v>837</v>
      </c>
      <c r="C274" s="29" t="s">
        <v>4084</v>
      </c>
      <c r="D274" s="29" t="s">
        <v>17</v>
      </c>
      <c r="E274" s="32">
        <v>34330</v>
      </c>
      <c r="F274" s="74">
        <v>45992</v>
      </c>
      <c r="G274" s="30" t="s">
        <v>179</v>
      </c>
      <c r="H274" s="28" t="s">
        <v>36</v>
      </c>
      <c r="I274" s="28" t="s">
        <v>56</v>
      </c>
      <c r="J274" s="28" t="s">
        <v>4556</v>
      </c>
      <c r="K274" s="28" t="s">
        <v>839</v>
      </c>
    </row>
    <row r="275" spans="1:11">
      <c r="A275" s="27">
        <v>273</v>
      </c>
      <c r="B275" s="28" t="s">
        <v>840</v>
      </c>
      <c r="C275" s="29" t="s">
        <v>4085</v>
      </c>
      <c r="D275" s="29" t="s">
        <v>17</v>
      </c>
      <c r="E275" s="32">
        <v>37860</v>
      </c>
      <c r="F275" s="74">
        <v>45992</v>
      </c>
      <c r="G275" s="30" t="s">
        <v>85</v>
      </c>
      <c r="H275" s="28" t="s">
        <v>120</v>
      </c>
      <c r="I275" s="28" t="s">
        <v>56</v>
      </c>
      <c r="J275" s="28" t="s">
        <v>4706</v>
      </c>
      <c r="K275" s="28" t="s">
        <v>842</v>
      </c>
    </row>
    <row r="276" spans="1:11">
      <c r="A276" s="27">
        <v>274</v>
      </c>
      <c r="B276" s="28" t="s">
        <v>843</v>
      </c>
      <c r="C276" s="29" t="s">
        <v>4086</v>
      </c>
      <c r="D276" s="29" t="s">
        <v>17</v>
      </c>
      <c r="E276" s="32">
        <v>34472</v>
      </c>
      <c r="F276" s="74">
        <v>45992</v>
      </c>
      <c r="G276" s="30" t="s">
        <v>24</v>
      </c>
      <c r="H276" s="28" t="s">
        <v>25</v>
      </c>
      <c r="I276" s="28" t="s">
        <v>14</v>
      </c>
      <c r="J276" s="28" t="s">
        <v>4515</v>
      </c>
      <c r="K276" s="28" t="s">
        <v>845</v>
      </c>
    </row>
    <row r="277" spans="1:11">
      <c r="A277" s="27">
        <v>275</v>
      </c>
      <c r="B277" s="28" t="s">
        <v>846</v>
      </c>
      <c r="C277" s="29" t="s">
        <v>4087</v>
      </c>
      <c r="D277" s="29" t="s">
        <v>59</v>
      </c>
      <c r="E277" s="32">
        <v>38025</v>
      </c>
      <c r="F277" s="74">
        <v>45992</v>
      </c>
      <c r="G277" s="30" t="s">
        <v>24</v>
      </c>
      <c r="H277" s="28" t="s">
        <v>25</v>
      </c>
      <c r="I277" s="28" t="s">
        <v>56</v>
      </c>
      <c r="J277" s="28" t="s">
        <v>5369</v>
      </c>
      <c r="K277" s="28" t="s">
        <v>848</v>
      </c>
    </row>
    <row r="278" spans="1:11">
      <c r="A278" s="27">
        <v>276</v>
      </c>
      <c r="B278" s="28" t="s">
        <v>849</v>
      </c>
      <c r="C278" s="29" t="s">
        <v>3460</v>
      </c>
      <c r="D278" s="29" t="s">
        <v>17</v>
      </c>
      <c r="E278" s="32">
        <v>33032</v>
      </c>
      <c r="F278" s="74">
        <v>45992</v>
      </c>
      <c r="G278" s="30" t="s">
        <v>54</v>
      </c>
      <c r="H278" s="28" t="s">
        <v>140</v>
      </c>
      <c r="I278" s="28" t="s">
        <v>14</v>
      </c>
      <c r="J278" s="28" t="s">
        <v>5331</v>
      </c>
      <c r="K278" s="28" t="s">
        <v>851</v>
      </c>
    </row>
    <row r="279" spans="1:11">
      <c r="A279" s="27">
        <v>277</v>
      </c>
      <c r="B279" s="28" t="s">
        <v>852</v>
      </c>
      <c r="C279" s="29" t="s">
        <v>4088</v>
      </c>
      <c r="D279" s="29" t="s">
        <v>59</v>
      </c>
      <c r="E279" s="32">
        <v>35853</v>
      </c>
      <c r="F279" s="74">
        <v>45992</v>
      </c>
      <c r="G279" s="30" t="s">
        <v>179</v>
      </c>
      <c r="H279" s="28" t="s">
        <v>36</v>
      </c>
      <c r="I279" s="28" t="s">
        <v>14</v>
      </c>
      <c r="J279" s="28" t="s">
        <v>5296</v>
      </c>
      <c r="K279" s="28" t="s">
        <v>854</v>
      </c>
    </row>
    <row r="280" spans="1:11">
      <c r="A280" s="27">
        <v>278</v>
      </c>
      <c r="B280" s="28" t="s">
        <v>855</v>
      </c>
      <c r="C280" s="29" t="s">
        <v>3222</v>
      </c>
      <c r="D280" s="29" t="s">
        <v>59</v>
      </c>
      <c r="E280" s="32">
        <v>36880</v>
      </c>
      <c r="F280" s="74">
        <v>45992</v>
      </c>
      <c r="G280" s="30" t="s">
        <v>179</v>
      </c>
      <c r="H280" s="28" t="s">
        <v>36</v>
      </c>
      <c r="I280" s="28" t="s">
        <v>14</v>
      </c>
      <c r="J280" s="28" t="s">
        <v>4813</v>
      </c>
      <c r="K280" s="28" t="s">
        <v>857</v>
      </c>
    </row>
    <row r="281" spans="1:11">
      <c r="A281" s="27">
        <v>279</v>
      </c>
      <c r="B281" s="28" t="s">
        <v>858</v>
      </c>
      <c r="C281" s="29" t="s">
        <v>3223</v>
      </c>
      <c r="D281" s="29" t="s">
        <v>59</v>
      </c>
      <c r="E281" s="32">
        <v>37959</v>
      </c>
      <c r="F281" s="74">
        <v>45992</v>
      </c>
      <c r="G281" s="30" t="s">
        <v>172</v>
      </c>
      <c r="H281" s="28" t="s">
        <v>62</v>
      </c>
      <c r="I281" s="28" t="s">
        <v>42</v>
      </c>
      <c r="J281" s="28" t="s">
        <v>4548</v>
      </c>
      <c r="K281" s="28" t="s">
        <v>860</v>
      </c>
    </row>
    <row r="282" spans="1:11">
      <c r="A282" s="27">
        <v>280</v>
      </c>
      <c r="B282" s="28" t="s">
        <v>861</v>
      </c>
      <c r="C282" s="29" t="s">
        <v>3606</v>
      </c>
      <c r="D282" s="29" t="s">
        <v>59</v>
      </c>
      <c r="E282" s="32">
        <v>35909</v>
      </c>
      <c r="F282" s="74">
        <v>45992</v>
      </c>
      <c r="G282" s="30" t="s">
        <v>179</v>
      </c>
      <c r="H282" s="28" t="s">
        <v>36</v>
      </c>
      <c r="I282" s="28" t="s">
        <v>56</v>
      </c>
      <c r="J282" s="28" t="s">
        <v>5036</v>
      </c>
      <c r="K282" s="28" t="s">
        <v>863</v>
      </c>
    </row>
    <row r="283" spans="1:11">
      <c r="A283" s="27">
        <v>281</v>
      </c>
      <c r="B283" s="28" t="s">
        <v>3946</v>
      </c>
      <c r="C283" s="29" t="s">
        <v>3607</v>
      </c>
      <c r="D283" s="29" t="s">
        <v>59</v>
      </c>
      <c r="E283" s="32">
        <v>37517</v>
      </c>
      <c r="F283" s="74">
        <v>45992</v>
      </c>
      <c r="G283" s="30" t="s">
        <v>179</v>
      </c>
      <c r="H283" s="28" t="s">
        <v>36</v>
      </c>
      <c r="I283" s="28" t="s">
        <v>14</v>
      </c>
      <c r="J283" s="28" t="s">
        <v>5421</v>
      </c>
      <c r="K283" s="28" t="s">
        <v>865</v>
      </c>
    </row>
    <row r="284" spans="1:11">
      <c r="A284" s="27">
        <v>282</v>
      </c>
      <c r="B284" s="28" t="s">
        <v>866</v>
      </c>
      <c r="C284" s="29" t="s">
        <v>4089</v>
      </c>
      <c r="D284" s="29" t="s">
        <v>59</v>
      </c>
      <c r="E284" s="32">
        <v>37987</v>
      </c>
      <c r="F284" s="74">
        <v>45992</v>
      </c>
      <c r="G284" s="30" t="s">
        <v>24</v>
      </c>
      <c r="H284" s="28" t="s">
        <v>25</v>
      </c>
      <c r="I284" s="28" t="s">
        <v>14</v>
      </c>
      <c r="J284" s="28" t="s">
        <v>5167</v>
      </c>
      <c r="K284" s="28" t="s">
        <v>868</v>
      </c>
    </row>
    <row r="285" spans="1:11">
      <c r="A285" s="27">
        <v>283</v>
      </c>
      <c r="B285" s="28" t="s">
        <v>869</v>
      </c>
      <c r="C285" s="29" t="s">
        <v>4090</v>
      </c>
      <c r="D285" s="29" t="s">
        <v>59</v>
      </c>
      <c r="E285" s="32">
        <v>35654</v>
      </c>
      <c r="F285" s="74">
        <v>45992</v>
      </c>
      <c r="G285" s="30" t="s">
        <v>179</v>
      </c>
      <c r="H285" s="28" t="s">
        <v>36</v>
      </c>
      <c r="I285" s="28" t="s">
        <v>14</v>
      </c>
      <c r="J285" s="28" t="s">
        <v>4839</v>
      </c>
      <c r="K285" s="28" t="s">
        <v>871</v>
      </c>
    </row>
    <row r="286" spans="1:11">
      <c r="A286" s="27">
        <v>284</v>
      </c>
      <c r="B286" s="28" t="s">
        <v>872</v>
      </c>
      <c r="C286" s="29" t="s">
        <v>4091</v>
      </c>
      <c r="D286" s="29" t="s">
        <v>59</v>
      </c>
      <c r="E286" s="32">
        <v>37381</v>
      </c>
      <c r="F286" s="74">
        <v>45992</v>
      </c>
      <c r="G286" s="30" t="s">
        <v>179</v>
      </c>
      <c r="H286" s="28" t="s">
        <v>36</v>
      </c>
      <c r="I286" s="28" t="s">
        <v>14</v>
      </c>
      <c r="J286" s="28" t="s">
        <v>5261</v>
      </c>
      <c r="K286" s="28" t="s">
        <v>5922</v>
      </c>
    </row>
    <row r="287" spans="1:11">
      <c r="A287" s="27">
        <v>285</v>
      </c>
      <c r="B287" s="28" t="s">
        <v>875</v>
      </c>
      <c r="C287" s="29" t="s">
        <v>3296</v>
      </c>
      <c r="D287" s="29" t="s">
        <v>59</v>
      </c>
      <c r="E287" s="32">
        <v>36377</v>
      </c>
      <c r="F287" s="74">
        <v>45992</v>
      </c>
      <c r="G287" s="30" t="s">
        <v>179</v>
      </c>
      <c r="H287" s="28" t="s">
        <v>36</v>
      </c>
      <c r="I287" s="28" t="s">
        <v>56</v>
      </c>
      <c r="J287" s="28" t="s">
        <v>4905</v>
      </c>
      <c r="K287" s="28" t="s">
        <v>877</v>
      </c>
    </row>
    <row r="288" spans="1:11">
      <c r="A288" s="27">
        <v>286</v>
      </c>
      <c r="B288" s="28" t="s">
        <v>878</v>
      </c>
      <c r="C288" s="29" t="s">
        <v>3351</v>
      </c>
      <c r="D288" s="29" t="s">
        <v>17</v>
      </c>
      <c r="E288" s="32">
        <v>33937</v>
      </c>
      <c r="F288" s="74">
        <v>45992</v>
      </c>
      <c r="G288" s="30" t="s">
        <v>179</v>
      </c>
      <c r="H288" s="28" t="s">
        <v>36</v>
      </c>
      <c r="I288" s="28" t="s">
        <v>42</v>
      </c>
      <c r="J288" s="28" t="s">
        <v>5347</v>
      </c>
      <c r="K288" s="28" t="s">
        <v>880</v>
      </c>
    </row>
    <row r="289" spans="1:11">
      <c r="A289" s="27">
        <v>287</v>
      </c>
      <c r="B289" s="28" t="s">
        <v>881</v>
      </c>
      <c r="C289" s="29" t="s">
        <v>4092</v>
      </c>
      <c r="D289" s="29" t="s">
        <v>17</v>
      </c>
      <c r="E289" s="32">
        <v>37164</v>
      </c>
      <c r="F289" s="74">
        <v>45992</v>
      </c>
      <c r="G289" s="30" t="s">
        <v>85</v>
      </c>
      <c r="H289" s="28" t="s">
        <v>120</v>
      </c>
      <c r="I289" s="28" t="s">
        <v>56</v>
      </c>
      <c r="J289" s="28" t="s">
        <v>4977</v>
      </c>
      <c r="K289" s="28" t="s">
        <v>5820</v>
      </c>
    </row>
    <row r="290" spans="1:11">
      <c r="A290" s="27">
        <v>288</v>
      </c>
      <c r="B290" s="28" t="s">
        <v>883</v>
      </c>
      <c r="C290" s="29" t="s">
        <v>3461</v>
      </c>
      <c r="D290" s="29" t="s">
        <v>59</v>
      </c>
      <c r="E290" s="32">
        <v>33999</v>
      </c>
      <c r="F290" s="74">
        <v>45992</v>
      </c>
      <c r="G290" s="30" t="s">
        <v>179</v>
      </c>
      <c r="H290" s="28" t="s">
        <v>36</v>
      </c>
      <c r="I290" s="28" t="s">
        <v>56</v>
      </c>
      <c r="J290" s="28" t="s">
        <v>5049</v>
      </c>
      <c r="K290" s="28" t="s">
        <v>885</v>
      </c>
    </row>
    <row r="291" spans="1:11">
      <c r="A291" s="27">
        <v>289</v>
      </c>
      <c r="B291" s="28" t="s">
        <v>886</v>
      </c>
      <c r="C291" s="29" t="s">
        <v>4093</v>
      </c>
      <c r="D291" s="29" t="s">
        <v>17</v>
      </c>
      <c r="E291" s="32">
        <v>32032</v>
      </c>
      <c r="F291" s="74">
        <v>45992</v>
      </c>
      <c r="G291" s="30" t="s">
        <v>40</v>
      </c>
      <c r="H291" s="28" t="s">
        <v>71</v>
      </c>
      <c r="I291" s="28" t="s">
        <v>42</v>
      </c>
      <c r="J291" s="28" t="s">
        <v>4740</v>
      </c>
      <c r="K291" s="28" t="s">
        <v>5799</v>
      </c>
    </row>
    <row r="292" spans="1:11">
      <c r="A292" s="27">
        <v>290</v>
      </c>
      <c r="B292" s="28" t="s">
        <v>888</v>
      </c>
      <c r="C292" s="29" t="s">
        <v>4094</v>
      </c>
      <c r="D292" s="29" t="s">
        <v>17</v>
      </c>
      <c r="E292" s="32">
        <v>35142</v>
      </c>
      <c r="F292" s="74">
        <v>45992</v>
      </c>
      <c r="G292" s="30" t="s">
        <v>40</v>
      </c>
      <c r="H292" s="28" t="s">
        <v>71</v>
      </c>
      <c r="I292" s="28" t="s">
        <v>14</v>
      </c>
      <c r="J292" s="28" t="s">
        <v>4783</v>
      </c>
      <c r="K292" s="28" t="s">
        <v>890</v>
      </c>
    </row>
    <row r="293" spans="1:11">
      <c r="A293" s="27">
        <v>291</v>
      </c>
      <c r="B293" s="28" t="s">
        <v>891</v>
      </c>
      <c r="C293" s="29" t="s">
        <v>4095</v>
      </c>
      <c r="D293" s="29" t="s">
        <v>59</v>
      </c>
      <c r="E293" s="32">
        <v>31829</v>
      </c>
      <c r="F293" s="74">
        <v>45992</v>
      </c>
      <c r="G293" s="30" t="s">
        <v>179</v>
      </c>
      <c r="H293" s="28" t="s">
        <v>36</v>
      </c>
      <c r="I293" s="28" t="s">
        <v>14</v>
      </c>
      <c r="J293" s="28" t="s">
        <v>4757</v>
      </c>
      <c r="K293" s="28" t="s">
        <v>893</v>
      </c>
    </row>
    <row r="294" spans="1:11">
      <c r="A294" s="27">
        <v>292</v>
      </c>
      <c r="B294" s="28" t="s">
        <v>3947</v>
      </c>
      <c r="C294" s="29" t="s">
        <v>4096</v>
      </c>
      <c r="D294" s="29" t="s">
        <v>17</v>
      </c>
      <c r="E294" s="32">
        <v>37527</v>
      </c>
      <c r="F294" s="74">
        <v>45992</v>
      </c>
      <c r="G294" s="30" t="s">
        <v>179</v>
      </c>
      <c r="H294" s="28" t="s">
        <v>36</v>
      </c>
      <c r="I294" s="28" t="s">
        <v>56</v>
      </c>
      <c r="J294" s="28" t="s">
        <v>4773</v>
      </c>
      <c r="K294" s="28" t="s">
        <v>895</v>
      </c>
    </row>
    <row r="295" spans="1:11">
      <c r="A295" s="27">
        <v>293</v>
      </c>
      <c r="B295" s="28" t="s">
        <v>896</v>
      </c>
      <c r="C295" s="29" t="s">
        <v>4097</v>
      </c>
      <c r="D295" s="29" t="s">
        <v>59</v>
      </c>
      <c r="E295" s="32">
        <v>35149</v>
      </c>
      <c r="F295" s="74">
        <v>46027</v>
      </c>
      <c r="G295" s="30" t="s">
        <v>179</v>
      </c>
      <c r="H295" s="28" t="s">
        <v>36</v>
      </c>
      <c r="I295" s="28" t="s">
        <v>14</v>
      </c>
      <c r="J295" s="28" t="s">
        <v>5300</v>
      </c>
      <c r="K295" s="28" t="s">
        <v>898</v>
      </c>
    </row>
    <row r="296" spans="1:11">
      <c r="A296" s="27">
        <v>294</v>
      </c>
      <c r="B296" s="28" t="s">
        <v>899</v>
      </c>
      <c r="C296" s="29" t="s">
        <v>4098</v>
      </c>
      <c r="D296" s="29" t="s">
        <v>59</v>
      </c>
      <c r="E296" s="32">
        <v>34197</v>
      </c>
      <c r="F296" s="74">
        <v>46027</v>
      </c>
      <c r="G296" s="30" t="s">
        <v>179</v>
      </c>
      <c r="H296" s="28" t="s">
        <v>36</v>
      </c>
      <c r="I296" s="28" t="s">
        <v>14</v>
      </c>
      <c r="J296" s="28" t="s">
        <v>5215</v>
      </c>
      <c r="K296" s="28" t="s">
        <v>901</v>
      </c>
    </row>
    <row r="297" spans="1:11">
      <c r="A297" s="27">
        <v>295</v>
      </c>
      <c r="B297" s="28" t="s">
        <v>902</v>
      </c>
      <c r="C297" s="29" t="s">
        <v>3608</v>
      </c>
      <c r="D297" s="29" t="s">
        <v>59</v>
      </c>
      <c r="E297" s="32">
        <v>36975</v>
      </c>
      <c r="F297" s="74">
        <v>46027</v>
      </c>
      <c r="G297" s="30" t="s">
        <v>179</v>
      </c>
      <c r="H297" s="28" t="s">
        <v>36</v>
      </c>
      <c r="I297" s="28" t="s">
        <v>56</v>
      </c>
      <c r="J297" s="28" t="s">
        <v>4624</v>
      </c>
      <c r="K297" s="28" t="s">
        <v>904</v>
      </c>
    </row>
    <row r="298" spans="1:11">
      <c r="A298" s="27">
        <v>296</v>
      </c>
      <c r="B298" s="28" t="s">
        <v>905</v>
      </c>
      <c r="C298" s="29" t="s">
        <v>3552</v>
      </c>
      <c r="D298" s="29" t="s">
        <v>59</v>
      </c>
      <c r="E298" s="32">
        <v>36224</v>
      </c>
      <c r="F298" s="74">
        <v>46027</v>
      </c>
      <c r="G298" s="30" t="s">
        <v>179</v>
      </c>
      <c r="H298" s="28" t="s">
        <v>36</v>
      </c>
      <c r="I298" s="28" t="s">
        <v>42</v>
      </c>
      <c r="J298" s="28" t="s">
        <v>4718</v>
      </c>
      <c r="K298" s="28" t="s">
        <v>907</v>
      </c>
    </row>
    <row r="299" spans="1:11">
      <c r="A299" s="27">
        <v>297</v>
      </c>
      <c r="B299" s="28" t="s">
        <v>908</v>
      </c>
      <c r="C299" s="29" t="s">
        <v>3462</v>
      </c>
      <c r="D299" s="29" t="s">
        <v>59</v>
      </c>
      <c r="E299" s="32">
        <v>32007</v>
      </c>
      <c r="F299" s="74">
        <v>46027</v>
      </c>
      <c r="G299" s="30" t="s">
        <v>54</v>
      </c>
      <c r="H299" s="28" t="s">
        <v>140</v>
      </c>
      <c r="I299" s="28" t="s">
        <v>14</v>
      </c>
      <c r="J299" s="28" t="s">
        <v>4779</v>
      </c>
      <c r="K299" s="28" t="s">
        <v>910</v>
      </c>
    </row>
    <row r="300" spans="1:11">
      <c r="A300" s="27">
        <v>298</v>
      </c>
      <c r="B300" s="28" t="s">
        <v>911</v>
      </c>
      <c r="C300" s="29" t="s">
        <v>4099</v>
      </c>
      <c r="D300" s="29" t="s">
        <v>59</v>
      </c>
      <c r="E300" s="32">
        <v>36580</v>
      </c>
      <c r="F300" s="74">
        <v>46027</v>
      </c>
      <c r="G300" s="30" t="s">
        <v>24</v>
      </c>
      <c r="H300" s="28" t="s">
        <v>25</v>
      </c>
      <c r="I300" s="28" t="s">
        <v>56</v>
      </c>
      <c r="J300" s="28" t="s">
        <v>4683</v>
      </c>
      <c r="K300" s="28" t="s">
        <v>913</v>
      </c>
    </row>
    <row r="301" spans="1:11">
      <c r="A301" s="27">
        <v>299</v>
      </c>
      <c r="B301" s="28" t="s">
        <v>914</v>
      </c>
      <c r="C301" s="29" t="s">
        <v>4100</v>
      </c>
      <c r="D301" s="29" t="s">
        <v>17</v>
      </c>
      <c r="E301" s="32">
        <v>32194</v>
      </c>
      <c r="F301" s="74">
        <v>46027</v>
      </c>
      <c r="G301" s="30" t="s">
        <v>85</v>
      </c>
      <c r="H301" s="28" t="s">
        <v>120</v>
      </c>
      <c r="I301" s="28" t="s">
        <v>42</v>
      </c>
      <c r="J301" s="28" t="s">
        <v>5438</v>
      </c>
      <c r="K301" s="28" t="s">
        <v>916</v>
      </c>
    </row>
    <row r="302" spans="1:11">
      <c r="A302" s="27">
        <v>300</v>
      </c>
      <c r="B302" s="28" t="s">
        <v>917</v>
      </c>
      <c r="C302" s="29" t="s">
        <v>3463</v>
      </c>
      <c r="D302" s="29" t="s">
        <v>59</v>
      </c>
      <c r="E302" s="32">
        <v>33721</v>
      </c>
      <c r="F302" s="74">
        <v>46027</v>
      </c>
      <c r="G302" s="30" t="s">
        <v>179</v>
      </c>
      <c r="H302" s="28" t="s">
        <v>36</v>
      </c>
      <c r="I302" s="28" t="s">
        <v>14</v>
      </c>
      <c r="J302" s="28" t="s">
        <v>4899</v>
      </c>
      <c r="K302" s="28" t="s">
        <v>919</v>
      </c>
    </row>
    <row r="303" spans="1:11">
      <c r="A303" s="27">
        <v>301</v>
      </c>
      <c r="B303" s="28" t="s">
        <v>920</v>
      </c>
      <c r="C303" s="29" t="s">
        <v>4101</v>
      </c>
      <c r="D303" s="29" t="s">
        <v>17</v>
      </c>
      <c r="E303" s="32">
        <v>37870</v>
      </c>
      <c r="F303" s="74">
        <v>46027</v>
      </c>
      <c r="G303" s="30" t="s">
        <v>179</v>
      </c>
      <c r="H303" s="28" t="s">
        <v>36</v>
      </c>
      <c r="I303" s="28" t="s">
        <v>56</v>
      </c>
      <c r="J303" s="28" t="s">
        <v>4499</v>
      </c>
      <c r="K303" s="28" t="s">
        <v>5829</v>
      </c>
    </row>
    <row r="304" spans="1:11">
      <c r="A304" s="27">
        <v>302</v>
      </c>
      <c r="B304" s="28" t="s">
        <v>922</v>
      </c>
      <c r="C304" s="29" t="s">
        <v>4102</v>
      </c>
      <c r="D304" s="29" t="s">
        <v>17</v>
      </c>
      <c r="E304" s="32">
        <v>37487</v>
      </c>
      <c r="F304" s="74">
        <v>46027</v>
      </c>
      <c r="G304" s="30" t="s">
        <v>40</v>
      </c>
      <c r="H304" s="28" t="s">
        <v>71</v>
      </c>
      <c r="I304" s="28" t="s">
        <v>14</v>
      </c>
      <c r="J304" s="28" t="s">
        <v>4806</v>
      </c>
      <c r="K304" s="28" t="s">
        <v>924</v>
      </c>
    </row>
    <row r="305" spans="1:11">
      <c r="A305" s="27">
        <v>303</v>
      </c>
      <c r="B305" s="28" t="s">
        <v>925</v>
      </c>
      <c r="C305" s="29" t="s">
        <v>4103</v>
      </c>
      <c r="D305" s="29" t="s">
        <v>59</v>
      </c>
      <c r="E305" s="32">
        <v>34528</v>
      </c>
      <c r="F305" s="74">
        <v>46027</v>
      </c>
      <c r="G305" s="30" t="s">
        <v>179</v>
      </c>
      <c r="H305" s="28" t="s">
        <v>36</v>
      </c>
      <c r="I305" s="28" t="s">
        <v>56</v>
      </c>
      <c r="J305" s="28" t="s">
        <v>5420</v>
      </c>
      <c r="K305" s="28" t="s">
        <v>927</v>
      </c>
    </row>
    <row r="306" spans="1:11">
      <c r="A306" s="27">
        <v>304</v>
      </c>
      <c r="B306" s="28" t="s">
        <v>928</v>
      </c>
      <c r="C306" s="29" t="s">
        <v>3352</v>
      </c>
      <c r="D306" s="29" t="s">
        <v>17</v>
      </c>
      <c r="E306" s="32">
        <v>32601</v>
      </c>
      <c r="F306" s="74">
        <v>46027</v>
      </c>
      <c r="G306" s="30" t="s">
        <v>216</v>
      </c>
      <c r="H306" s="28" t="s">
        <v>217</v>
      </c>
      <c r="I306" s="28" t="s">
        <v>14</v>
      </c>
      <c r="J306" s="28" t="s">
        <v>5312</v>
      </c>
      <c r="K306" s="28" t="s">
        <v>930</v>
      </c>
    </row>
    <row r="307" spans="1:11">
      <c r="A307" s="27">
        <v>305</v>
      </c>
      <c r="B307" s="28" t="s">
        <v>931</v>
      </c>
      <c r="C307" s="29" t="s">
        <v>4104</v>
      </c>
      <c r="D307" s="29" t="s">
        <v>17</v>
      </c>
      <c r="E307" s="32">
        <v>31305</v>
      </c>
      <c r="F307" s="74">
        <v>46027</v>
      </c>
      <c r="G307" s="30" t="s">
        <v>40</v>
      </c>
      <c r="H307" s="28" t="s">
        <v>71</v>
      </c>
      <c r="I307" s="28" t="s">
        <v>14</v>
      </c>
      <c r="J307" s="28" t="s">
        <v>5222</v>
      </c>
      <c r="K307" s="28" t="s">
        <v>5833</v>
      </c>
    </row>
    <row r="308" spans="1:11">
      <c r="A308" s="27">
        <v>306</v>
      </c>
      <c r="B308" s="28" t="s">
        <v>933</v>
      </c>
      <c r="C308" s="29" t="s">
        <v>3353</v>
      </c>
      <c r="D308" s="29" t="s">
        <v>17</v>
      </c>
      <c r="E308" s="32">
        <v>35151</v>
      </c>
      <c r="F308" s="74">
        <v>46027</v>
      </c>
      <c r="G308" s="30" t="s">
        <v>179</v>
      </c>
      <c r="H308" s="28" t="s">
        <v>36</v>
      </c>
      <c r="I308" s="28" t="s">
        <v>42</v>
      </c>
      <c r="J308" s="28" t="s">
        <v>4526</v>
      </c>
      <c r="K308" s="28" t="s">
        <v>935</v>
      </c>
    </row>
    <row r="309" spans="1:11">
      <c r="A309" s="27">
        <v>307</v>
      </c>
      <c r="B309" s="28" t="s">
        <v>936</v>
      </c>
      <c r="C309" s="29" t="s">
        <v>4105</v>
      </c>
      <c r="D309" s="29" t="s">
        <v>59</v>
      </c>
      <c r="E309" s="32">
        <v>36331</v>
      </c>
      <c r="F309" s="74">
        <v>46027</v>
      </c>
      <c r="G309" s="30" t="s">
        <v>24</v>
      </c>
      <c r="H309" s="28" t="s">
        <v>25</v>
      </c>
      <c r="I309" s="28" t="s">
        <v>14</v>
      </c>
      <c r="J309" s="28" t="s">
        <v>5090</v>
      </c>
      <c r="K309" s="28" t="s">
        <v>938</v>
      </c>
    </row>
    <row r="310" spans="1:11">
      <c r="A310" s="27">
        <v>308</v>
      </c>
      <c r="B310" s="28" t="s">
        <v>939</v>
      </c>
      <c r="C310" s="29" t="s">
        <v>3297</v>
      </c>
      <c r="D310" s="29" t="s">
        <v>17</v>
      </c>
      <c r="E310" s="32">
        <v>37079</v>
      </c>
      <c r="F310" s="74">
        <v>46027</v>
      </c>
      <c r="G310" s="30" t="s">
        <v>179</v>
      </c>
      <c r="H310" s="28" t="s">
        <v>36</v>
      </c>
      <c r="I310" s="28" t="s">
        <v>42</v>
      </c>
      <c r="J310" s="28" t="s">
        <v>5434</v>
      </c>
      <c r="K310" s="28" t="s">
        <v>941</v>
      </c>
    </row>
    <row r="311" spans="1:11">
      <c r="A311" s="27">
        <v>309</v>
      </c>
      <c r="B311" s="28" t="s">
        <v>942</v>
      </c>
      <c r="C311" s="29" t="s">
        <v>4106</v>
      </c>
      <c r="D311" s="29" t="s">
        <v>17</v>
      </c>
      <c r="E311" s="32">
        <v>33193</v>
      </c>
      <c r="F311" s="74">
        <v>46027</v>
      </c>
      <c r="G311" s="30" t="s">
        <v>40</v>
      </c>
      <c r="H311" s="28" t="s">
        <v>71</v>
      </c>
      <c r="I311" s="28" t="s">
        <v>14</v>
      </c>
      <c r="J311" s="28" t="s">
        <v>4774</v>
      </c>
      <c r="K311" s="28" t="s">
        <v>5825</v>
      </c>
    </row>
    <row r="312" spans="1:11">
      <c r="A312" s="27">
        <v>310</v>
      </c>
      <c r="B312" s="28" t="s">
        <v>944</v>
      </c>
      <c r="C312" s="29" t="s">
        <v>3354</v>
      </c>
      <c r="D312" s="29" t="s">
        <v>17</v>
      </c>
      <c r="E312" s="32">
        <v>32689</v>
      </c>
      <c r="F312" s="74">
        <v>46027</v>
      </c>
      <c r="G312" s="30" t="s">
        <v>179</v>
      </c>
      <c r="H312" s="28" t="s">
        <v>36</v>
      </c>
      <c r="I312" s="28" t="s">
        <v>42</v>
      </c>
      <c r="J312" s="28" t="s">
        <v>5452</v>
      </c>
      <c r="K312" s="28" t="s">
        <v>946</v>
      </c>
    </row>
    <row r="313" spans="1:11">
      <c r="A313" s="27">
        <v>311</v>
      </c>
      <c r="B313" s="28" t="s">
        <v>947</v>
      </c>
      <c r="C313" s="29" t="s">
        <v>3609</v>
      </c>
      <c r="D313" s="29" t="s">
        <v>17</v>
      </c>
      <c r="E313" s="32">
        <v>33172</v>
      </c>
      <c r="F313" s="74">
        <v>46027</v>
      </c>
      <c r="G313" s="30" t="s">
        <v>179</v>
      </c>
      <c r="H313" s="28" t="s">
        <v>36</v>
      </c>
      <c r="I313" s="28" t="s">
        <v>14</v>
      </c>
      <c r="J313" s="28" t="s">
        <v>5337</v>
      </c>
      <c r="K313" s="28" t="s">
        <v>5826</v>
      </c>
    </row>
    <row r="314" spans="1:11">
      <c r="A314" s="27">
        <v>312</v>
      </c>
      <c r="B314" s="28" t="s">
        <v>949</v>
      </c>
      <c r="C314" s="29" t="s">
        <v>3610</v>
      </c>
      <c r="D314" s="29" t="s">
        <v>17</v>
      </c>
      <c r="E314" s="32">
        <v>37295</v>
      </c>
      <c r="F314" s="74">
        <v>46027</v>
      </c>
      <c r="G314" s="30" t="s">
        <v>179</v>
      </c>
      <c r="H314" s="28" t="s">
        <v>36</v>
      </c>
      <c r="I314" s="28" t="s">
        <v>42</v>
      </c>
      <c r="J314" s="28" t="s">
        <v>5436</v>
      </c>
      <c r="K314" s="28" t="s">
        <v>951</v>
      </c>
    </row>
    <row r="315" spans="1:11">
      <c r="A315" s="27">
        <v>313</v>
      </c>
      <c r="B315" s="28" t="s">
        <v>952</v>
      </c>
      <c r="C315" s="29" t="s">
        <v>4107</v>
      </c>
      <c r="D315" s="29" t="s">
        <v>17</v>
      </c>
      <c r="E315" s="32">
        <v>31397</v>
      </c>
      <c r="F315" s="74">
        <v>46027</v>
      </c>
      <c r="G315" s="30" t="s">
        <v>85</v>
      </c>
      <c r="H315" s="28" t="s">
        <v>120</v>
      </c>
      <c r="I315" s="28" t="s">
        <v>14</v>
      </c>
      <c r="J315" s="28" t="s">
        <v>5451</v>
      </c>
      <c r="K315" s="28" t="s">
        <v>954</v>
      </c>
    </row>
    <row r="316" spans="1:11">
      <c r="A316" s="27">
        <v>314</v>
      </c>
      <c r="B316" s="28" t="s">
        <v>955</v>
      </c>
      <c r="C316" s="29" t="s">
        <v>3224</v>
      </c>
      <c r="D316" s="29" t="s">
        <v>17</v>
      </c>
      <c r="E316" s="32">
        <v>35535</v>
      </c>
      <c r="F316" s="74">
        <v>46027</v>
      </c>
      <c r="G316" s="30" t="s">
        <v>172</v>
      </c>
      <c r="H316" s="28" t="s">
        <v>62</v>
      </c>
      <c r="I316" s="28" t="s">
        <v>42</v>
      </c>
      <c r="J316" s="28" t="s">
        <v>4983</v>
      </c>
      <c r="K316" s="28" t="s">
        <v>5859</v>
      </c>
    </row>
    <row r="317" spans="1:11">
      <c r="A317" s="27">
        <v>315</v>
      </c>
      <c r="B317" s="28" t="s">
        <v>958</v>
      </c>
      <c r="C317" s="29" t="s">
        <v>4108</v>
      </c>
      <c r="D317" s="29" t="s">
        <v>59</v>
      </c>
      <c r="E317" s="32">
        <v>37633</v>
      </c>
      <c r="F317" s="74">
        <v>46027</v>
      </c>
      <c r="G317" s="30" t="s">
        <v>179</v>
      </c>
      <c r="H317" s="28" t="s">
        <v>36</v>
      </c>
      <c r="I317" s="28" t="s">
        <v>14</v>
      </c>
      <c r="J317" s="28" t="s">
        <v>5029</v>
      </c>
      <c r="K317" s="28" t="s">
        <v>5887</v>
      </c>
    </row>
    <row r="318" spans="1:11">
      <c r="A318" s="27">
        <v>316</v>
      </c>
      <c r="B318" s="28" t="s">
        <v>961</v>
      </c>
      <c r="C318" s="29" t="s">
        <v>3464</v>
      </c>
      <c r="D318" s="29" t="s">
        <v>17</v>
      </c>
      <c r="E318" s="32">
        <v>32970</v>
      </c>
      <c r="F318" s="74">
        <v>46027</v>
      </c>
      <c r="G318" s="30" t="s">
        <v>179</v>
      </c>
      <c r="H318" s="28" t="s">
        <v>36</v>
      </c>
      <c r="I318" s="28" t="s">
        <v>56</v>
      </c>
      <c r="J318" s="28" t="s">
        <v>5336</v>
      </c>
      <c r="K318" s="28" t="s">
        <v>5798</v>
      </c>
    </row>
    <row r="319" spans="1:11">
      <c r="A319" s="27">
        <v>317</v>
      </c>
      <c r="B319" s="28" t="s">
        <v>963</v>
      </c>
      <c r="C319" s="29" t="s">
        <v>3225</v>
      </c>
      <c r="D319" s="29" t="s">
        <v>59</v>
      </c>
      <c r="E319" s="32">
        <v>34286</v>
      </c>
      <c r="F319" s="74">
        <v>46027</v>
      </c>
      <c r="G319" s="30" t="s">
        <v>179</v>
      </c>
      <c r="H319" s="28" t="s">
        <v>36</v>
      </c>
      <c r="I319" s="28" t="s">
        <v>56</v>
      </c>
      <c r="J319" s="28" t="s">
        <v>4600</v>
      </c>
      <c r="K319" s="28" t="s">
        <v>965</v>
      </c>
    </row>
    <row r="320" spans="1:11">
      <c r="A320" s="27">
        <v>318</v>
      </c>
      <c r="B320" s="28" t="s">
        <v>966</v>
      </c>
      <c r="C320" s="29" t="s">
        <v>4109</v>
      </c>
      <c r="D320" s="29" t="s">
        <v>17</v>
      </c>
      <c r="E320" s="32">
        <v>36124</v>
      </c>
      <c r="F320" s="74">
        <v>46027</v>
      </c>
      <c r="G320" s="30" t="s">
        <v>216</v>
      </c>
      <c r="H320" s="28" t="s">
        <v>217</v>
      </c>
      <c r="I320" s="28" t="s">
        <v>14</v>
      </c>
      <c r="J320" s="28" t="s">
        <v>5311</v>
      </c>
      <c r="K320" s="28" t="s">
        <v>968</v>
      </c>
    </row>
    <row r="321" spans="1:11">
      <c r="A321" s="27">
        <v>319</v>
      </c>
      <c r="B321" s="28" t="s">
        <v>969</v>
      </c>
      <c r="C321" s="29" t="s">
        <v>4110</v>
      </c>
      <c r="D321" s="29" t="s">
        <v>17</v>
      </c>
      <c r="E321" s="32">
        <v>32905</v>
      </c>
      <c r="F321" s="74">
        <v>46027</v>
      </c>
      <c r="G321" s="30" t="s">
        <v>24</v>
      </c>
      <c r="H321" s="28" t="s">
        <v>25</v>
      </c>
      <c r="I321" s="28" t="s">
        <v>56</v>
      </c>
      <c r="J321" s="28" t="s">
        <v>4547</v>
      </c>
      <c r="K321" s="28" t="s">
        <v>971</v>
      </c>
    </row>
    <row r="322" spans="1:11">
      <c r="A322" s="27">
        <v>320</v>
      </c>
      <c r="B322" s="28" t="s">
        <v>972</v>
      </c>
      <c r="C322" s="29" t="s">
        <v>3465</v>
      </c>
      <c r="D322" s="29" t="s">
        <v>59</v>
      </c>
      <c r="E322" s="32">
        <v>36579</v>
      </c>
      <c r="F322" s="74">
        <v>46027</v>
      </c>
      <c r="G322" s="30" t="s">
        <v>179</v>
      </c>
      <c r="H322" s="28" t="s">
        <v>36</v>
      </c>
      <c r="I322" s="28" t="s">
        <v>14</v>
      </c>
      <c r="J322" s="28" t="s">
        <v>4733</v>
      </c>
      <c r="K322" s="28" t="s">
        <v>5944</v>
      </c>
    </row>
    <row r="323" spans="1:11">
      <c r="A323" s="27">
        <v>321</v>
      </c>
      <c r="B323" s="28" t="s">
        <v>975</v>
      </c>
      <c r="C323" s="29" t="s">
        <v>4111</v>
      </c>
      <c r="D323" s="29" t="s">
        <v>17</v>
      </c>
      <c r="E323" s="32">
        <v>37230</v>
      </c>
      <c r="F323" s="74">
        <v>46027</v>
      </c>
      <c r="G323" s="30" t="s">
        <v>85</v>
      </c>
      <c r="H323" s="28" t="s">
        <v>120</v>
      </c>
      <c r="I323" s="28" t="s">
        <v>42</v>
      </c>
      <c r="J323" s="28" t="s">
        <v>5118</v>
      </c>
      <c r="K323" s="28" t="s">
        <v>977</v>
      </c>
    </row>
    <row r="324" spans="1:11">
      <c r="A324" s="27">
        <v>322</v>
      </c>
      <c r="B324" s="28" t="s">
        <v>978</v>
      </c>
      <c r="C324" s="29" t="s">
        <v>3466</v>
      </c>
      <c r="D324" s="29" t="s">
        <v>59</v>
      </c>
      <c r="E324" s="32">
        <v>32331</v>
      </c>
      <c r="F324" s="74">
        <v>46027</v>
      </c>
      <c r="G324" s="30" t="s">
        <v>179</v>
      </c>
      <c r="H324" s="28" t="s">
        <v>36</v>
      </c>
      <c r="I324" s="28" t="s">
        <v>56</v>
      </c>
      <c r="J324" s="28" t="s">
        <v>4943</v>
      </c>
      <c r="K324" s="28" t="s">
        <v>980</v>
      </c>
    </row>
    <row r="325" spans="1:11">
      <c r="A325" s="27">
        <v>323</v>
      </c>
      <c r="B325" s="28" t="s">
        <v>981</v>
      </c>
      <c r="C325" s="29" t="s">
        <v>3226</v>
      </c>
      <c r="D325" s="29" t="s">
        <v>59</v>
      </c>
      <c r="E325" s="32">
        <v>35783</v>
      </c>
      <c r="F325" s="74">
        <v>46027</v>
      </c>
      <c r="G325" s="30" t="s">
        <v>179</v>
      </c>
      <c r="H325" s="28" t="s">
        <v>36</v>
      </c>
      <c r="I325" s="28" t="s">
        <v>14</v>
      </c>
      <c r="J325" s="28" t="s">
        <v>5271</v>
      </c>
      <c r="K325" s="28" t="s">
        <v>983</v>
      </c>
    </row>
    <row r="326" spans="1:11">
      <c r="A326" s="27">
        <v>324</v>
      </c>
      <c r="B326" s="28" t="s">
        <v>984</v>
      </c>
      <c r="C326" s="29" t="s">
        <v>4112</v>
      </c>
      <c r="D326" s="29" t="s">
        <v>17</v>
      </c>
      <c r="E326" s="32">
        <v>35185</v>
      </c>
      <c r="F326" s="74">
        <v>46027</v>
      </c>
      <c r="G326" s="30" t="s">
        <v>179</v>
      </c>
      <c r="H326" s="28" t="s">
        <v>36</v>
      </c>
      <c r="I326" s="28" t="s">
        <v>56</v>
      </c>
      <c r="J326" s="28" t="s">
        <v>4994</v>
      </c>
      <c r="K326" s="28" t="s">
        <v>5797</v>
      </c>
    </row>
    <row r="327" spans="1:11">
      <c r="A327" s="27">
        <v>325</v>
      </c>
      <c r="B327" s="28" t="s">
        <v>986</v>
      </c>
      <c r="C327" s="29" t="s">
        <v>4113</v>
      </c>
      <c r="D327" s="29" t="s">
        <v>17</v>
      </c>
      <c r="E327" s="32">
        <v>31108</v>
      </c>
      <c r="F327" s="74">
        <v>46027</v>
      </c>
      <c r="G327" s="30" t="s">
        <v>85</v>
      </c>
      <c r="H327" s="28" t="s">
        <v>120</v>
      </c>
      <c r="I327" s="28" t="s">
        <v>42</v>
      </c>
      <c r="J327" s="28" t="s">
        <v>4984</v>
      </c>
      <c r="K327" s="28" t="s">
        <v>987</v>
      </c>
    </row>
    <row r="328" spans="1:11">
      <c r="A328" s="27">
        <v>326</v>
      </c>
      <c r="B328" s="28" t="s">
        <v>988</v>
      </c>
      <c r="C328" s="29" t="s">
        <v>3355</v>
      </c>
      <c r="D328" s="29" t="s">
        <v>17</v>
      </c>
      <c r="E328" s="32">
        <v>34473</v>
      </c>
      <c r="F328" s="74">
        <v>46027</v>
      </c>
      <c r="G328" s="30" t="s">
        <v>216</v>
      </c>
      <c r="H328" s="28" t="s">
        <v>217</v>
      </c>
      <c r="I328" s="28" t="s">
        <v>14</v>
      </c>
      <c r="J328" s="28" t="s">
        <v>5321</v>
      </c>
      <c r="K328" s="28" t="s">
        <v>990</v>
      </c>
    </row>
    <row r="329" spans="1:11">
      <c r="A329" s="27">
        <v>327</v>
      </c>
      <c r="B329" s="28" t="s">
        <v>991</v>
      </c>
      <c r="C329" s="29" t="s">
        <v>4114</v>
      </c>
      <c r="D329" s="29" t="s">
        <v>59</v>
      </c>
      <c r="E329" s="32">
        <v>33783</v>
      </c>
      <c r="F329" s="74">
        <v>46027</v>
      </c>
      <c r="G329" s="30" t="s">
        <v>179</v>
      </c>
      <c r="H329" s="28" t="s">
        <v>36</v>
      </c>
      <c r="I329" s="28" t="s">
        <v>56</v>
      </c>
      <c r="J329" s="28" t="s">
        <v>4923</v>
      </c>
      <c r="K329" s="28" t="s">
        <v>5913</v>
      </c>
    </row>
    <row r="330" spans="1:11">
      <c r="A330" s="27">
        <v>328</v>
      </c>
      <c r="B330" s="28" t="s">
        <v>994</v>
      </c>
      <c r="C330" s="29" t="s">
        <v>4115</v>
      </c>
      <c r="D330" s="29" t="s">
        <v>59</v>
      </c>
      <c r="E330" s="32">
        <v>32548</v>
      </c>
      <c r="F330" s="74">
        <v>46027</v>
      </c>
      <c r="G330" s="30" t="s">
        <v>179</v>
      </c>
      <c r="H330" s="28" t="s">
        <v>36</v>
      </c>
      <c r="I330" s="28" t="s">
        <v>14</v>
      </c>
      <c r="J330" s="28" t="s">
        <v>5397</v>
      </c>
      <c r="K330" s="28" t="s">
        <v>996</v>
      </c>
    </row>
    <row r="331" spans="1:11">
      <c r="A331" s="27">
        <v>329</v>
      </c>
      <c r="B331" s="28" t="s">
        <v>997</v>
      </c>
      <c r="C331" s="29" t="s">
        <v>3356</v>
      </c>
      <c r="D331" s="29" t="s">
        <v>17</v>
      </c>
      <c r="E331" s="32">
        <v>36404</v>
      </c>
      <c r="F331" s="74">
        <v>46027</v>
      </c>
      <c r="G331" s="30" t="s">
        <v>216</v>
      </c>
      <c r="H331" s="28" t="s">
        <v>217</v>
      </c>
      <c r="I331" s="28" t="s">
        <v>14</v>
      </c>
      <c r="J331" s="28" t="s">
        <v>4960</v>
      </c>
      <c r="K331" s="28" t="s">
        <v>5852</v>
      </c>
    </row>
    <row r="332" spans="1:11">
      <c r="A332" s="27">
        <v>330</v>
      </c>
      <c r="B332" s="28" t="s">
        <v>1000</v>
      </c>
      <c r="C332" s="29" t="s">
        <v>4116</v>
      </c>
      <c r="D332" s="29" t="s">
        <v>17</v>
      </c>
      <c r="E332" s="32">
        <v>31478</v>
      </c>
      <c r="F332" s="74">
        <v>46027</v>
      </c>
      <c r="G332" s="30" t="s">
        <v>179</v>
      </c>
      <c r="H332" s="28" t="s">
        <v>36</v>
      </c>
      <c r="I332" s="28" t="s">
        <v>56</v>
      </c>
      <c r="J332" s="28" t="s">
        <v>4466</v>
      </c>
      <c r="K332" s="28" t="s">
        <v>5787</v>
      </c>
    </row>
    <row r="333" spans="1:11">
      <c r="A333" s="27">
        <v>331</v>
      </c>
      <c r="B333" s="28" t="s">
        <v>1002</v>
      </c>
      <c r="C333" s="29" t="s">
        <v>4117</v>
      </c>
      <c r="D333" s="29" t="s">
        <v>17</v>
      </c>
      <c r="E333" s="32">
        <v>34755</v>
      </c>
      <c r="F333" s="74">
        <v>46027</v>
      </c>
      <c r="G333" s="30" t="s">
        <v>85</v>
      </c>
      <c r="H333" s="28" t="s">
        <v>120</v>
      </c>
      <c r="I333" s="28" t="s">
        <v>56</v>
      </c>
      <c r="J333" s="28" t="s">
        <v>4828</v>
      </c>
      <c r="K333" s="28" t="s">
        <v>1004</v>
      </c>
    </row>
    <row r="334" spans="1:11">
      <c r="A334" s="27">
        <v>332</v>
      </c>
      <c r="B334" s="28" t="s">
        <v>1005</v>
      </c>
      <c r="C334" s="29" t="s">
        <v>3357</v>
      </c>
      <c r="D334" s="29" t="s">
        <v>17</v>
      </c>
      <c r="E334" s="32">
        <v>34977</v>
      </c>
      <c r="F334" s="74">
        <v>46027</v>
      </c>
      <c r="G334" s="30" t="s">
        <v>216</v>
      </c>
      <c r="H334" s="28" t="s">
        <v>217</v>
      </c>
      <c r="I334" s="28" t="s">
        <v>14</v>
      </c>
      <c r="J334" s="28" t="s">
        <v>4697</v>
      </c>
      <c r="K334" s="28" t="s">
        <v>1007</v>
      </c>
    </row>
    <row r="335" spans="1:11">
      <c r="A335" s="27">
        <v>333</v>
      </c>
      <c r="B335" s="28" t="s">
        <v>1008</v>
      </c>
      <c r="C335" s="29" t="s">
        <v>4118</v>
      </c>
      <c r="D335" s="29" t="s">
        <v>59</v>
      </c>
      <c r="E335" s="32">
        <v>34559</v>
      </c>
      <c r="F335" s="74">
        <v>46027</v>
      </c>
      <c r="G335" s="30" t="s">
        <v>179</v>
      </c>
      <c r="H335" s="28" t="s">
        <v>36</v>
      </c>
      <c r="I335" s="28" t="s">
        <v>14</v>
      </c>
      <c r="J335" s="28" t="s">
        <v>5364</v>
      </c>
      <c r="K335" s="28" t="s">
        <v>1010</v>
      </c>
    </row>
    <row r="336" spans="1:11">
      <c r="A336" s="27">
        <v>334</v>
      </c>
      <c r="B336" s="28" t="s">
        <v>1011</v>
      </c>
      <c r="C336" s="29" t="s">
        <v>3553</v>
      </c>
      <c r="D336" s="29" t="s">
        <v>59</v>
      </c>
      <c r="E336" s="32">
        <v>32701</v>
      </c>
      <c r="F336" s="74">
        <v>46027</v>
      </c>
      <c r="G336" s="30" t="s">
        <v>179</v>
      </c>
      <c r="H336" s="28" t="s">
        <v>36</v>
      </c>
      <c r="I336" s="28" t="s">
        <v>42</v>
      </c>
      <c r="J336" s="28" t="s">
        <v>5164</v>
      </c>
      <c r="K336" s="28" t="s">
        <v>1013</v>
      </c>
    </row>
    <row r="337" spans="1:11">
      <c r="A337" s="27">
        <v>335</v>
      </c>
      <c r="B337" s="28" t="s">
        <v>1014</v>
      </c>
      <c r="C337" s="29" t="s">
        <v>3227</v>
      </c>
      <c r="D337" s="29" t="s">
        <v>59</v>
      </c>
      <c r="E337" s="32">
        <v>32864</v>
      </c>
      <c r="F337" s="74">
        <v>46027</v>
      </c>
      <c r="G337" s="30" t="s">
        <v>179</v>
      </c>
      <c r="H337" s="28" t="s">
        <v>36</v>
      </c>
      <c r="I337" s="28" t="s">
        <v>14</v>
      </c>
      <c r="J337" s="28" t="s">
        <v>4569</v>
      </c>
      <c r="K337" s="28" t="s">
        <v>1015</v>
      </c>
    </row>
    <row r="338" spans="1:11">
      <c r="A338" s="27">
        <v>336</v>
      </c>
      <c r="B338" s="28" t="s">
        <v>1016</v>
      </c>
      <c r="C338" s="29" t="s">
        <v>3358</v>
      </c>
      <c r="D338" s="29" t="s">
        <v>17</v>
      </c>
      <c r="E338" s="32">
        <v>34136</v>
      </c>
      <c r="F338" s="74">
        <v>46027</v>
      </c>
      <c r="G338" s="30" t="s">
        <v>179</v>
      </c>
      <c r="H338" s="28" t="s">
        <v>36</v>
      </c>
      <c r="I338" s="28" t="s">
        <v>56</v>
      </c>
      <c r="J338" s="28" t="s">
        <v>4834</v>
      </c>
      <c r="K338" s="28" t="s">
        <v>1018</v>
      </c>
    </row>
    <row r="339" spans="1:11">
      <c r="A339" s="27">
        <v>337</v>
      </c>
      <c r="B339" s="28" t="s">
        <v>1019</v>
      </c>
      <c r="C339" s="29" t="s">
        <v>4119</v>
      </c>
      <c r="D339" s="29" t="s">
        <v>59</v>
      </c>
      <c r="E339" s="32">
        <v>34010</v>
      </c>
      <c r="F339" s="74">
        <v>46027</v>
      </c>
      <c r="G339" s="30" t="s">
        <v>24</v>
      </c>
      <c r="H339" s="28" t="s">
        <v>25</v>
      </c>
      <c r="I339" s="28" t="s">
        <v>14</v>
      </c>
      <c r="J339" s="28" t="s">
        <v>4886</v>
      </c>
      <c r="K339" s="28" t="s">
        <v>1021</v>
      </c>
    </row>
    <row r="340" spans="1:11">
      <c r="A340" s="27">
        <v>338</v>
      </c>
      <c r="B340" s="28" t="s">
        <v>1022</v>
      </c>
      <c r="C340" s="29" t="s">
        <v>3228</v>
      </c>
      <c r="D340" s="29" t="s">
        <v>59</v>
      </c>
      <c r="E340" s="32">
        <v>35187</v>
      </c>
      <c r="F340" s="74">
        <v>46027</v>
      </c>
      <c r="G340" s="30" t="s">
        <v>179</v>
      </c>
      <c r="H340" s="28" t="s">
        <v>36</v>
      </c>
      <c r="I340" s="28" t="s">
        <v>56</v>
      </c>
      <c r="J340" s="28" t="s">
        <v>4764</v>
      </c>
      <c r="K340" s="28" t="s">
        <v>1024</v>
      </c>
    </row>
    <row r="341" spans="1:11">
      <c r="A341" s="27">
        <v>339</v>
      </c>
      <c r="B341" s="28" t="s">
        <v>1025</v>
      </c>
      <c r="C341" s="29" t="s">
        <v>4120</v>
      </c>
      <c r="D341" s="29" t="s">
        <v>59</v>
      </c>
      <c r="E341" s="32">
        <v>31754</v>
      </c>
      <c r="F341" s="74">
        <v>46027</v>
      </c>
      <c r="G341" s="30" t="s">
        <v>179</v>
      </c>
      <c r="H341" s="28" t="s">
        <v>36</v>
      </c>
      <c r="I341" s="28" t="s">
        <v>56</v>
      </c>
      <c r="J341" s="28" t="s">
        <v>4588</v>
      </c>
      <c r="K341" s="28" t="s">
        <v>1027</v>
      </c>
    </row>
    <row r="342" spans="1:11">
      <c r="A342" s="27">
        <v>340</v>
      </c>
      <c r="B342" s="28" t="s">
        <v>1028</v>
      </c>
      <c r="C342" s="29" t="s">
        <v>4121</v>
      </c>
      <c r="D342" s="29" t="s">
        <v>59</v>
      </c>
      <c r="E342" s="32">
        <v>31535</v>
      </c>
      <c r="F342" s="74">
        <v>46027</v>
      </c>
      <c r="G342" s="30" t="s">
        <v>24</v>
      </c>
      <c r="H342" s="28" t="s">
        <v>25</v>
      </c>
      <c r="I342" s="28" t="s">
        <v>14</v>
      </c>
      <c r="J342" s="28" t="s">
        <v>4638</v>
      </c>
      <c r="K342" s="28" t="s">
        <v>1030</v>
      </c>
    </row>
    <row r="343" spans="1:11">
      <c r="A343" s="27">
        <v>341</v>
      </c>
      <c r="B343" s="28" t="s">
        <v>1031</v>
      </c>
      <c r="C343" s="29" t="s">
        <v>3554</v>
      </c>
      <c r="D343" s="29" t="s">
        <v>59</v>
      </c>
      <c r="E343" s="32">
        <v>34098</v>
      </c>
      <c r="F343" s="74">
        <v>46027</v>
      </c>
      <c r="G343" s="30" t="s">
        <v>179</v>
      </c>
      <c r="H343" s="28" t="s">
        <v>36</v>
      </c>
      <c r="I343" s="28" t="s">
        <v>14</v>
      </c>
      <c r="J343" s="28" t="s">
        <v>4802</v>
      </c>
      <c r="K343" s="28" t="s">
        <v>1033</v>
      </c>
    </row>
    <row r="344" spans="1:11">
      <c r="A344" s="27">
        <v>342</v>
      </c>
      <c r="B344" s="28" t="s">
        <v>1034</v>
      </c>
      <c r="C344" s="29" t="s">
        <v>4122</v>
      </c>
      <c r="D344" s="29" t="s">
        <v>59</v>
      </c>
      <c r="E344" s="32">
        <v>36487</v>
      </c>
      <c r="F344" s="74">
        <v>46027</v>
      </c>
      <c r="G344" s="30" t="s">
        <v>179</v>
      </c>
      <c r="H344" s="28" t="s">
        <v>36</v>
      </c>
      <c r="I344" s="28" t="s">
        <v>14</v>
      </c>
      <c r="J344" s="28" t="s">
        <v>5237</v>
      </c>
      <c r="K344" s="28" t="s">
        <v>1036</v>
      </c>
    </row>
    <row r="345" spans="1:11">
      <c r="A345" s="27">
        <v>343</v>
      </c>
      <c r="B345" s="28" t="s">
        <v>1037</v>
      </c>
      <c r="C345" s="29" t="s">
        <v>4123</v>
      </c>
      <c r="D345" s="29" t="s">
        <v>17</v>
      </c>
      <c r="E345" s="32">
        <v>31311</v>
      </c>
      <c r="F345" s="74">
        <v>46027</v>
      </c>
      <c r="G345" s="30" t="s">
        <v>179</v>
      </c>
      <c r="H345" s="28" t="s">
        <v>36</v>
      </c>
      <c r="I345" s="28" t="s">
        <v>14</v>
      </c>
      <c r="J345" s="28" t="s">
        <v>5322</v>
      </c>
      <c r="K345" s="28" t="s">
        <v>1039</v>
      </c>
    </row>
    <row r="346" spans="1:11">
      <c r="A346" s="27">
        <v>344</v>
      </c>
      <c r="B346" s="28" t="s">
        <v>1040</v>
      </c>
      <c r="C346" s="29" t="s">
        <v>3611</v>
      </c>
      <c r="D346" s="29" t="s">
        <v>59</v>
      </c>
      <c r="E346" s="32">
        <v>34275</v>
      </c>
      <c r="F346" s="74">
        <v>46027</v>
      </c>
      <c r="G346" s="30" t="s">
        <v>179</v>
      </c>
      <c r="H346" s="28" t="s">
        <v>36</v>
      </c>
      <c r="I346" s="28" t="s">
        <v>42</v>
      </c>
      <c r="J346" s="28" t="s">
        <v>5402</v>
      </c>
      <c r="K346" s="28" t="s">
        <v>1042</v>
      </c>
    </row>
    <row r="347" spans="1:11">
      <c r="A347" s="27">
        <v>345</v>
      </c>
      <c r="B347" s="28" t="s">
        <v>1043</v>
      </c>
      <c r="C347" s="29" t="s">
        <v>3467</v>
      </c>
      <c r="D347" s="29" t="s">
        <v>59</v>
      </c>
      <c r="E347" s="32">
        <v>32896</v>
      </c>
      <c r="F347" s="74">
        <v>46027</v>
      </c>
      <c r="G347" s="30" t="s">
        <v>179</v>
      </c>
      <c r="H347" s="28" t="s">
        <v>36</v>
      </c>
      <c r="I347" s="28" t="s">
        <v>14</v>
      </c>
      <c r="J347" s="28" t="s">
        <v>5137</v>
      </c>
      <c r="K347" s="28" t="s">
        <v>5886</v>
      </c>
    </row>
    <row r="348" spans="1:11">
      <c r="A348" s="27">
        <v>346</v>
      </c>
      <c r="B348" s="28" t="s">
        <v>1046</v>
      </c>
      <c r="C348" s="29" t="s">
        <v>3612</v>
      </c>
      <c r="D348" s="29" t="s">
        <v>59</v>
      </c>
      <c r="E348" s="32">
        <v>31365</v>
      </c>
      <c r="F348" s="74">
        <v>46027</v>
      </c>
      <c r="G348" s="30" t="s">
        <v>179</v>
      </c>
      <c r="H348" s="28" t="s">
        <v>36</v>
      </c>
      <c r="I348" s="28" t="s">
        <v>42</v>
      </c>
      <c r="J348" s="28" t="s">
        <v>4568</v>
      </c>
      <c r="K348" s="28" t="s">
        <v>1048</v>
      </c>
    </row>
    <row r="349" spans="1:11">
      <c r="A349" s="27">
        <v>347</v>
      </c>
      <c r="B349" s="28" t="s">
        <v>1049</v>
      </c>
      <c r="C349" s="29" t="s">
        <v>3359</v>
      </c>
      <c r="D349" s="29" t="s">
        <v>17</v>
      </c>
      <c r="E349" s="32">
        <v>32236</v>
      </c>
      <c r="F349" s="74">
        <v>46027</v>
      </c>
      <c r="G349" s="30" t="s">
        <v>179</v>
      </c>
      <c r="H349" s="28" t="s">
        <v>36</v>
      </c>
      <c r="I349" s="28" t="s">
        <v>42</v>
      </c>
      <c r="J349" s="28" t="s">
        <v>4964</v>
      </c>
      <c r="K349" s="28" t="s">
        <v>1051</v>
      </c>
    </row>
    <row r="350" spans="1:11">
      <c r="A350" s="27">
        <v>348</v>
      </c>
      <c r="B350" s="28" t="s">
        <v>1052</v>
      </c>
      <c r="C350" s="29" t="s">
        <v>3555</v>
      </c>
      <c r="D350" s="29" t="s">
        <v>59</v>
      </c>
      <c r="E350" s="32">
        <v>33358</v>
      </c>
      <c r="F350" s="74">
        <v>46027</v>
      </c>
      <c r="G350" s="30" t="s">
        <v>179</v>
      </c>
      <c r="H350" s="28" t="s">
        <v>36</v>
      </c>
      <c r="I350" s="28" t="s">
        <v>14</v>
      </c>
      <c r="J350" s="28" t="s">
        <v>5387</v>
      </c>
      <c r="K350" s="28" t="s">
        <v>1054</v>
      </c>
    </row>
    <row r="351" spans="1:11">
      <c r="A351" s="27">
        <v>349</v>
      </c>
      <c r="B351" s="28" t="s">
        <v>1055</v>
      </c>
      <c r="C351" s="29" t="s">
        <v>4124</v>
      </c>
      <c r="D351" s="29" t="s">
        <v>17</v>
      </c>
      <c r="E351" s="32">
        <v>36595</v>
      </c>
      <c r="F351" s="74">
        <v>46027</v>
      </c>
      <c r="G351" s="30" t="s">
        <v>40</v>
      </c>
      <c r="H351" s="28" t="s">
        <v>71</v>
      </c>
      <c r="I351" s="28" t="s">
        <v>14</v>
      </c>
      <c r="J351" s="28" t="s">
        <v>5257</v>
      </c>
      <c r="K351" s="28" t="s">
        <v>5860</v>
      </c>
    </row>
    <row r="352" spans="1:11">
      <c r="A352" s="27">
        <v>350</v>
      </c>
      <c r="B352" s="28" t="s">
        <v>1058</v>
      </c>
      <c r="C352" s="29" t="s">
        <v>3556</v>
      </c>
      <c r="D352" s="29" t="s">
        <v>59</v>
      </c>
      <c r="E352" s="32">
        <v>35247</v>
      </c>
      <c r="F352" s="74">
        <v>46027</v>
      </c>
      <c r="G352" s="30" t="s">
        <v>179</v>
      </c>
      <c r="H352" s="28" t="s">
        <v>36</v>
      </c>
      <c r="I352" s="28" t="s">
        <v>56</v>
      </c>
      <c r="J352" s="31" t="s">
        <v>4727</v>
      </c>
      <c r="K352" s="28" t="s">
        <v>1060</v>
      </c>
    </row>
    <row r="353" spans="1:11">
      <c r="A353" s="27">
        <v>351</v>
      </c>
      <c r="B353" s="28" t="s">
        <v>1061</v>
      </c>
      <c r="C353" s="29" t="s">
        <v>4125</v>
      </c>
      <c r="D353" s="29" t="s">
        <v>17</v>
      </c>
      <c r="E353" s="32">
        <v>32432</v>
      </c>
      <c r="F353" s="74">
        <v>46027</v>
      </c>
      <c r="G353" s="30" t="s">
        <v>85</v>
      </c>
      <c r="H353" s="28" t="s">
        <v>120</v>
      </c>
      <c r="I353" s="28" t="s">
        <v>14</v>
      </c>
      <c r="J353" s="28" t="s">
        <v>5339</v>
      </c>
      <c r="K353" s="28" t="s">
        <v>5808</v>
      </c>
    </row>
    <row r="354" spans="1:11">
      <c r="A354" s="27">
        <v>352</v>
      </c>
      <c r="B354" s="28" t="s">
        <v>1063</v>
      </c>
      <c r="C354" s="29" t="s">
        <v>3468</v>
      </c>
      <c r="D354" s="29" t="s">
        <v>17</v>
      </c>
      <c r="E354" s="32">
        <v>35418</v>
      </c>
      <c r="F354" s="74">
        <v>46027</v>
      </c>
      <c r="G354" s="30" t="s">
        <v>179</v>
      </c>
      <c r="H354" s="28" t="s">
        <v>36</v>
      </c>
      <c r="I354" s="28" t="s">
        <v>42</v>
      </c>
      <c r="J354" s="28" t="s">
        <v>5308</v>
      </c>
      <c r="K354" s="28" t="s">
        <v>1065</v>
      </c>
    </row>
    <row r="355" spans="1:11">
      <c r="A355" s="27">
        <v>353</v>
      </c>
      <c r="B355" s="28" t="s">
        <v>1066</v>
      </c>
      <c r="C355" s="29" t="s">
        <v>3298</v>
      </c>
      <c r="D355" s="29" t="s">
        <v>59</v>
      </c>
      <c r="E355" s="32">
        <v>37180</v>
      </c>
      <c r="F355" s="74">
        <v>46027</v>
      </c>
      <c r="G355" s="30" t="s">
        <v>179</v>
      </c>
      <c r="H355" s="28" t="s">
        <v>36</v>
      </c>
      <c r="I355" s="28" t="s">
        <v>42</v>
      </c>
      <c r="J355" s="28" t="s">
        <v>4686</v>
      </c>
      <c r="K355" s="28" t="s">
        <v>5921</v>
      </c>
    </row>
    <row r="356" spans="1:11">
      <c r="A356" s="27">
        <v>354</v>
      </c>
      <c r="B356" s="28" t="s">
        <v>1069</v>
      </c>
      <c r="C356" s="29" t="s">
        <v>3299</v>
      </c>
      <c r="D356" s="29" t="s">
        <v>59</v>
      </c>
      <c r="E356" s="32">
        <v>32014</v>
      </c>
      <c r="F356" s="74">
        <v>46027</v>
      </c>
      <c r="G356" s="30" t="s">
        <v>179</v>
      </c>
      <c r="H356" s="28" t="s">
        <v>36</v>
      </c>
      <c r="I356" s="28" t="s">
        <v>56</v>
      </c>
      <c r="J356" s="28" t="s">
        <v>4705</v>
      </c>
      <c r="K356" s="28" t="s">
        <v>1071</v>
      </c>
    </row>
    <row r="357" spans="1:11">
      <c r="A357" s="27">
        <v>355</v>
      </c>
      <c r="B357" s="28" t="s">
        <v>1072</v>
      </c>
      <c r="C357" s="29" t="s">
        <v>3469</v>
      </c>
      <c r="D357" s="29" t="s">
        <v>59</v>
      </c>
      <c r="E357" s="32">
        <v>32467</v>
      </c>
      <c r="F357" s="74">
        <v>46027</v>
      </c>
      <c r="G357" s="30" t="s">
        <v>179</v>
      </c>
      <c r="H357" s="28" t="s">
        <v>36</v>
      </c>
      <c r="I357" s="28" t="s">
        <v>14</v>
      </c>
      <c r="J357" s="28" t="s">
        <v>5432</v>
      </c>
      <c r="K357" s="28" t="s">
        <v>1074</v>
      </c>
    </row>
    <row r="358" spans="1:11">
      <c r="A358" s="27">
        <v>356</v>
      </c>
      <c r="B358" s="28" t="s">
        <v>1075</v>
      </c>
      <c r="C358" s="29" t="s">
        <v>3360</v>
      </c>
      <c r="D358" s="29" t="s">
        <v>17</v>
      </c>
      <c r="E358" s="32">
        <v>35344</v>
      </c>
      <c r="F358" s="74">
        <v>46027</v>
      </c>
      <c r="G358" s="30" t="s">
        <v>179</v>
      </c>
      <c r="H358" s="28" t="s">
        <v>36</v>
      </c>
      <c r="I358" s="28" t="s">
        <v>42</v>
      </c>
      <c r="J358" s="28" t="s">
        <v>5349</v>
      </c>
      <c r="K358" s="28" t="s">
        <v>1077</v>
      </c>
    </row>
    <row r="359" spans="1:11">
      <c r="A359" s="27">
        <v>357</v>
      </c>
      <c r="B359" s="28" t="s">
        <v>1078</v>
      </c>
      <c r="C359" s="29" t="s">
        <v>3577</v>
      </c>
      <c r="D359" s="29" t="s">
        <v>59</v>
      </c>
      <c r="E359" s="32">
        <v>37081</v>
      </c>
      <c r="F359" s="74">
        <v>46027</v>
      </c>
      <c r="G359" s="30" t="s">
        <v>179</v>
      </c>
      <c r="H359" s="28" t="s">
        <v>36</v>
      </c>
      <c r="I359" s="28" t="s">
        <v>14</v>
      </c>
      <c r="J359" s="28" t="s">
        <v>5383</v>
      </c>
      <c r="K359" s="28" t="s">
        <v>1080</v>
      </c>
    </row>
    <row r="360" spans="1:11">
      <c r="A360" s="27">
        <v>358</v>
      </c>
      <c r="B360" s="28" t="s">
        <v>1081</v>
      </c>
      <c r="C360" s="29" t="s">
        <v>4126</v>
      </c>
      <c r="D360" s="29" t="s">
        <v>59</v>
      </c>
      <c r="E360" s="32">
        <v>35856</v>
      </c>
      <c r="F360" s="74">
        <v>46027</v>
      </c>
      <c r="G360" s="30" t="s">
        <v>24</v>
      </c>
      <c r="H360" s="28" t="s">
        <v>25</v>
      </c>
      <c r="I360" s="28" t="s">
        <v>56</v>
      </c>
      <c r="J360" s="28" t="s">
        <v>4717</v>
      </c>
      <c r="K360" s="28" t="s">
        <v>5884</v>
      </c>
    </row>
    <row r="361" spans="1:11">
      <c r="A361" s="27">
        <v>359</v>
      </c>
      <c r="B361" s="28" t="s">
        <v>1084</v>
      </c>
      <c r="C361" s="29" t="s">
        <v>4127</v>
      </c>
      <c r="D361" s="29" t="s">
        <v>59</v>
      </c>
      <c r="E361" s="32">
        <v>32344</v>
      </c>
      <c r="F361" s="74">
        <v>46027</v>
      </c>
      <c r="G361" s="30" t="s">
        <v>179</v>
      </c>
      <c r="H361" s="28" t="s">
        <v>36</v>
      </c>
      <c r="I361" s="28" t="s">
        <v>56</v>
      </c>
      <c r="J361" s="28" t="s">
        <v>5243</v>
      </c>
      <c r="K361" s="28" t="s">
        <v>1086</v>
      </c>
    </row>
    <row r="362" spans="1:11">
      <c r="A362" s="27">
        <v>360</v>
      </c>
      <c r="B362" s="28" t="s">
        <v>1087</v>
      </c>
      <c r="C362" s="29" t="s">
        <v>4128</v>
      </c>
      <c r="D362" s="29" t="s">
        <v>59</v>
      </c>
      <c r="E362" s="32">
        <v>34051</v>
      </c>
      <c r="F362" s="74">
        <v>46027</v>
      </c>
      <c r="G362" s="30" t="s">
        <v>179</v>
      </c>
      <c r="H362" s="28" t="s">
        <v>36</v>
      </c>
      <c r="I362" s="28" t="s">
        <v>42</v>
      </c>
      <c r="J362" s="28" t="s">
        <v>5154</v>
      </c>
      <c r="K362" s="28" t="s">
        <v>1089</v>
      </c>
    </row>
    <row r="363" spans="1:11">
      <c r="A363" s="27">
        <v>361</v>
      </c>
      <c r="B363" s="28" t="s">
        <v>1090</v>
      </c>
      <c r="C363" s="29" t="s">
        <v>4129</v>
      </c>
      <c r="D363" s="29" t="s">
        <v>17</v>
      </c>
      <c r="E363" s="32">
        <v>33601</v>
      </c>
      <c r="F363" s="74">
        <v>46027</v>
      </c>
      <c r="G363" s="30" t="s">
        <v>85</v>
      </c>
      <c r="H363" s="28" t="s">
        <v>120</v>
      </c>
      <c r="I363" s="28" t="s">
        <v>42</v>
      </c>
      <c r="J363" s="28" t="s">
        <v>4995</v>
      </c>
      <c r="K363" s="28" t="s">
        <v>1092</v>
      </c>
    </row>
    <row r="364" spans="1:11">
      <c r="A364" s="27">
        <v>362</v>
      </c>
      <c r="B364" s="28" t="s">
        <v>1093</v>
      </c>
      <c r="C364" s="29" t="s">
        <v>4130</v>
      </c>
      <c r="D364" s="29" t="s">
        <v>17</v>
      </c>
      <c r="E364" s="32">
        <v>37554</v>
      </c>
      <c r="F364" s="74">
        <v>46027</v>
      </c>
      <c r="G364" s="30" t="s">
        <v>40</v>
      </c>
      <c r="H364" s="28" t="s">
        <v>71</v>
      </c>
      <c r="I364" s="28" t="s">
        <v>14</v>
      </c>
      <c r="J364" s="28" t="s">
        <v>4996</v>
      </c>
      <c r="K364" s="28" t="s">
        <v>5796</v>
      </c>
    </row>
    <row r="365" spans="1:11">
      <c r="A365" s="27">
        <v>363</v>
      </c>
      <c r="B365" s="28" t="s">
        <v>1095</v>
      </c>
      <c r="C365" s="29" t="s">
        <v>3300</v>
      </c>
      <c r="D365" s="29" t="s">
        <v>59</v>
      </c>
      <c r="E365" s="32">
        <v>35004</v>
      </c>
      <c r="F365" s="74">
        <v>46027</v>
      </c>
      <c r="G365" s="30" t="s">
        <v>179</v>
      </c>
      <c r="H365" s="28" t="s">
        <v>36</v>
      </c>
      <c r="I365" s="28" t="s">
        <v>56</v>
      </c>
      <c r="J365" s="28" t="s">
        <v>5277</v>
      </c>
      <c r="K365" s="28" t="s">
        <v>1097</v>
      </c>
    </row>
    <row r="366" spans="1:11">
      <c r="A366" s="27">
        <v>364</v>
      </c>
      <c r="B366" s="28" t="s">
        <v>1098</v>
      </c>
      <c r="C366" s="29" t="s">
        <v>3301</v>
      </c>
      <c r="D366" s="29" t="s">
        <v>59</v>
      </c>
      <c r="E366" s="32">
        <v>35625</v>
      </c>
      <c r="F366" s="74">
        <v>46027</v>
      </c>
      <c r="G366" s="30" t="s">
        <v>172</v>
      </c>
      <c r="H366" s="28" t="s">
        <v>62</v>
      </c>
      <c r="I366" s="28" t="s">
        <v>56</v>
      </c>
      <c r="J366" s="28" t="s">
        <v>5342</v>
      </c>
      <c r="K366" s="28" t="s">
        <v>1100</v>
      </c>
    </row>
    <row r="367" spans="1:11">
      <c r="A367" s="27">
        <v>365</v>
      </c>
      <c r="B367" s="28" t="s">
        <v>1101</v>
      </c>
      <c r="C367" s="29" t="s">
        <v>4131</v>
      </c>
      <c r="D367" s="29" t="s">
        <v>59</v>
      </c>
      <c r="E367" s="32">
        <v>35576</v>
      </c>
      <c r="F367" s="74">
        <v>46027</v>
      </c>
      <c r="G367" s="30" t="s">
        <v>179</v>
      </c>
      <c r="H367" s="28" t="s">
        <v>36</v>
      </c>
      <c r="I367" s="28" t="s">
        <v>56</v>
      </c>
      <c r="J367" s="28" t="s">
        <v>4720</v>
      </c>
      <c r="K367" s="28" t="s">
        <v>1103</v>
      </c>
    </row>
    <row r="368" spans="1:11">
      <c r="A368" s="27">
        <v>366</v>
      </c>
      <c r="B368" s="28" t="s">
        <v>1104</v>
      </c>
      <c r="C368" s="29" t="s">
        <v>3470</v>
      </c>
      <c r="D368" s="29" t="s">
        <v>59</v>
      </c>
      <c r="E368" s="32">
        <v>35177</v>
      </c>
      <c r="F368" s="74">
        <v>46027</v>
      </c>
      <c r="G368" s="30" t="s">
        <v>179</v>
      </c>
      <c r="H368" s="28" t="s">
        <v>36</v>
      </c>
      <c r="I368" s="28" t="s">
        <v>56</v>
      </c>
      <c r="J368" s="28" t="s">
        <v>4893</v>
      </c>
      <c r="K368" s="28" t="s">
        <v>1106</v>
      </c>
    </row>
    <row r="369" spans="1:11">
      <c r="A369" s="27">
        <v>367</v>
      </c>
      <c r="B369" s="28" t="s">
        <v>1107</v>
      </c>
      <c r="C369" s="29" t="s">
        <v>4132</v>
      </c>
      <c r="D369" s="29" t="s">
        <v>59</v>
      </c>
      <c r="E369" s="32">
        <v>34724</v>
      </c>
      <c r="F369" s="74">
        <v>46027</v>
      </c>
      <c r="G369" s="30" t="s">
        <v>24</v>
      </c>
      <c r="H369" s="28" t="s">
        <v>25</v>
      </c>
      <c r="I369" s="28" t="s">
        <v>56</v>
      </c>
      <c r="J369" s="28" t="s">
        <v>4931</v>
      </c>
      <c r="K369" s="28" t="s">
        <v>1109</v>
      </c>
    </row>
    <row r="370" spans="1:11">
      <c r="A370" s="27">
        <v>368</v>
      </c>
      <c r="B370" s="28" t="s">
        <v>1110</v>
      </c>
      <c r="C370" s="29" t="s">
        <v>4133</v>
      </c>
      <c r="D370" s="29" t="s">
        <v>59</v>
      </c>
      <c r="E370" s="32">
        <v>35317</v>
      </c>
      <c r="F370" s="74">
        <v>46027</v>
      </c>
      <c r="G370" s="30" t="s">
        <v>179</v>
      </c>
      <c r="H370" s="28" t="s">
        <v>36</v>
      </c>
      <c r="I370" s="28" t="s">
        <v>14</v>
      </c>
      <c r="J370" s="28" t="s">
        <v>5194</v>
      </c>
      <c r="K370" s="28" t="s">
        <v>5815</v>
      </c>
    </row>
    <row r="371" spans="1:11">
      <c r="A371" s="27">
        <v>369</v>
      </c>
      <c r="B371" s="28" t="s">
        <v>1112</v>
      </c>
      <c r="C371" s="29" t="s">
        <v>4134</v>
      </c>
      <c r="D371" s="29" t="s">
        <v>59</v>
      </c>
      <c r="E371" s="32">
        <v>35362</v>
      </c>
      <c r="F371" s="74">
        <v>46027</v>
      </c>
      <c r="G371" s="30" t="s">
        <v>24</v>
      </c>
      <c r="H371" s="28" t="s">
        <v>25</v>
      </c>
      <c r="I371" s="28" t="s">
        <v>56</v>
      </c>
      <c r="J371" s="28" t="s">
        <v>4562</v>
      </c>
      <c r="K371" s="28" t="s">
        <v>5795</v>
      </c>
    </row>
    <row r="372" spans="1:11">
      <c r="A372" s="27">
        <v>370</v>
      </c>
      <c r="B372" s="28" t="s">
        <v>1114</v>
      </c>
      <c r="C372" s="29" t="s">
        <v>3613</v>
      </c>
      <c r="D372" s="29" t="s">
        <v>59</v>
      </c>
      <c r="E372" s="32">
        <v>36763</v>
      </c>
      <c r="F372" s="74">
        <v>46027</v>
      </c>
      <c r="G372" s="30" t="s">
        <v>179</v>
      </c>
      <c r="H372" s="28" t="s">
        <v>36</v>
      </c>
      <c r="I372" s="28" t="s">
        <v>42</v>
      </c>
      <c r="J372" s="28" t="s">
        <v>5045</v>
      </c>
      <c r="K372" s="28" t="s">
        <v>1116</v>
      </c>
    </row>
    <row r="373" spans="1:11">
      <c r="A373" s="27">
        <v>371</v>
      </c>
      <c r="B373" s="28" t="s">
        <v>1117</v>
      </c>
      <c r="C373" s="29" t="s">
        <v>3471</v>
      </c>
      <c r="D373" s="29" t="s">
        <v>17</v>
      </c>
      <c r="E373" s="32">
        <v>34398</v>
      </c>
      <c r="F373" s="74">
        <v>46027</v>
      </c>
      <c r="G373" s="30" t="s">
        <v>179</v>
      </c>
      <c r="H373" s="28" t="s">
        <v>36</v>
      </c>
      <c r="I373" s="28" t="s">
        <v>56</v>
      </c>
      <c r="J373" s="28" t="s">
        <v>4656</v>
      </c>
      <c r="K373" s="28" t="s">
        <v>1119</v>
      </c>
    </row>
    <row r="374" spans="1:11">
      <c r="A374" s="27">
        <v>372</v>
      </c>
      <c r="B374" s="28" t="s">
        <v>1120</v>
      </c>
      <c r="C374" s="29" t="s">
        <v>4135</v>
      </c>
      <c r="D374" s="29" t="s">
        <v>59</v>
      </c>
      <c r="E374" s="32">
        <v>36902</v>
      </c>
      <c r="F374" s="74">
        <v>46027</v>
      </c>
      <c r="G374" s="30" t="s">
        <v>179</v>
      </c>
      <c r="H374" s="28" t="s">
        <v>36</v>
      </c>
      <c r="I374" s="28" t="s">
        <v>14</v>
      </c>
      <c r="J374" s="28" t="s">
        <v>5129</v>
      </c>
      <c r="K374" s="28" t="s">
        <v>1122</v>
      </c>
    </row>
    <row r="375" spans="1:11">
      <c r="A375" s="27">
        <v>373</v>
      </c>
      <c r="B375" s="28" t="s">
        <v>1123</v>
      </c>
      <c r="C375" s="29" t="s">
        <v>4136</v>
      </c>
      <c r="D375" s="29" t="s">
        <v>17</v>
      </c>
      <c r="E375" s="32">
        <v>31236</v>
      </c>
      <c r="F375" s="74">
        <v>46027</v>
      </c>
      <c r="G375" s="30" t="s">
        <v>24</v>
      </c>
      <c r="H375" s="28" t="s">
        <v>25</v>
      </c>
      <c r="I375" s="28" t="s">
        <v>14</v>
      </c>
      <c r="J375" s="28" t="s">
        <v>4742</v>
      </c>
      <c r="K375" s="28" t="s">
        <v>1125</v>
      </c>
    </row>
    <row r="376" spans="1:11">
      <c r="A376" s="27">
        <v>374</v>
      </c>
      <c r="B376" s="28" t="s">
        <v>1126</v>
      </c>
      <c r="C376" s="29" t="s">
        <v>3577</v>
      </c>
      <c r="D376" s="29" t="s">
        <v>59</v>
      </c>
      <c r="E376" s="32">
        <v>36633</v>
      </c>
      <c r="F376" s="74">
        <v>46027</v>
      </c>
      <c r="G376" s="30" t="s">
        <v>179</v>
      </c>
      <c r="H376" s="28" t="s">
        <v>36</v>
      </c>
      <c r="I376" s="28" t="s">
        <v>14</v>
      </c>
      <c r="J376" s="28" t="s">
        <v>5383</v>
      </c>
      <c r="K376" s="28" t="s">
        <v>1128</v>
      </c>
    </row>
    <row r="377" spans="1:11">
      <c r="A377" s="27">
        <v>375</v>
      </c>
      <c r="B377" s="28" t="s">
        <v>1129</v>
      </c>
      <c r="C377" s="29" t="s">
        <v>3229</v>
      </c>
      <c r="D377" s="29" t="s">
        <v>17</v>
      </c>
      <c r="E377" s="32">
        <v>31853</v>
      </c>
      <c r="F377" s="74">
        <v>46027</v>
      </c>
      <c r="G377" s="30" t="s">
        <v>172</v>
      </c>
      <c r="H377" s="28" t="s">
        <v>62</v>
      </c>
      <c r="I377" s="28" t="s">
        <v>42</v>
      </c>
      <c r="J377" s="28" t="s">
        <v>4778</v>
      </c>
      <c r="K377" s="28" t="s">
        <v>5906</v>
      </c>
    </row>
    <row r="378" spans="1:11">
      <c r="A378" s="27">
        <v>376</v>
      </c>
      <c r="B378" s="28" t="s">
        <v>1132</v>
      </c>
      <c r="C378" s="29" t="s">
        <v>3472</v>
      </c>
      <c r="D378" s="29" t="s">
        <v>59</v>
      </c>
      <c r="E378" s="32">
        <v>31491</v>
      </c>
      <c r="F378" s="74">
        <v>46027</v>
      </c>
      <c r="G378" s="30" t="s">
        <v>179</v>
      </c>
      <c r="H378" s="28" t="s">
        <v>36</v>
      </c>
      <c r="I378" s="28" t="s">
        <v>14</v>
      </c>
      <c r="J378" s="28" t="s">
        <v>5092</v>
      </c>
      <c r="K378" s="28" t="s">
        <v>1134</v>
      </c>
    </row>
    <row r="379" spans="1:11">
      <c r="A379" s="27">
        <v>377</v>
      </c>
      <c r="B379" s="28" t="s">
        <v>1135</v>
      </c>
      <c r="C379" s="29" t="s">
        <v>3473</v>
      </c>
      <c r="D379" s="29" t="s">
        <v>59</v>
      </c>
      <c r="E379" s="32">
        <v>37228</v>
      </c>
      <c r="F379" s="74">
        <v>46027</v>
      </c>
      <c r="G379" s="30" t="s">
        <v>179</v>
      </c>
      <c r="H379" s="28" t="s">
        <v>36</v>
      </c>
      <c r="I379" s="28" t="s">
        <v>14</v>
      </c>
      <c r="J379" s="28" t="s">
        <v>5023</v>
      </c>
      <c r="K379" s="28" t="s">
        <v>1137</v>
      </c>
    </row>
    <row r="380" spans="1:11">
      <c r="A380" s="27">
        <v>378</v>
      </c>
      <c r="B380" s="28" t="s">
        <v>1138</v>
      </c>
      <c r="C380" s="29" t="s">
        <v>3361</v>
      </c>
      <c r="D380" s="29" t="s">
        <v>17</v>
      </c>
      <c r="E380" s="32">
        <v>34325</v>
      </c>
      <c r="F380" s="74">
        <v>46027</v>
      </c>
      <c r="G380" s="30" t="s">
        <v>216</v>
      </c>
      <c r="H380" s="28" t="s">
        <v>217</v>
      </c>
      <c r="I380" s="28" t="s">
        <v>14</v>
      </c>
      <c r="J380" s="28" t="s">
        <v>5354</v>
      </c>
      <c r="K380" s="28" t="s">
        <v>5865</v>
      </c>
    </row>
    <row r="381" spans="1:11">
      <c r="A381" s="27">
        <v>379</v>
      </c>
      <c r="B381" s="28" t="s">
        <v>1141</v>
      </c>
      <c r="C381" s="29" t="s">
        <v>3230</v>
      </c>
      <c r="D381" s="29" t="s">
        <v>59</v>
      </c>
      <c r="E381" s="32">
        <v>32378</v>
      </c>
      <c r="F381" s="74">
        <v>46027</v>
      </c>
      <c r="G381" s="30" t="s">
        <v>179</v>
      </c>
      <c r="H381" s="28" t="s">
        <v>36</v>
      </c>
      <c r="I381" s="28" t="s">
        <v>14</v>
      </c>
      <c r="J381" s="28" t="s">
        <v>4749</v>
      </c>
      <c r="K381" s="28" t="s">
        <v>1143</v>
      </c>
    </row>
    <row r="382" spans="1:11">
      <c r="A382" s="27">
        <v>380</v>
      </c>
      <c r="B382" s="28" t="s">
        <v>1144</v>
      </c>
      <c r="C382" s="29" t="s">
        <v>3362</v>
      </c>
      <c r="D382" s="29" t="s">
        <v>17</v>
      </c>
      <c r="E382" s="32">
        <v>34172</v>
      </c>
      <c r="F382" s="74">
        <v>46027</v>
      </c>
      <c r="G382" s="30" t="s">
        <v>216</v>
      </c>
      <c r="H382" s="28" t="s">
        <v>217</v>
      </c>
      <c r="I382" s="28" t="s">
        <v>14</v>
      </c>
      <c r="J382" s="28" t="s">
        <v>5323</v>
      </c>
      <c r="K382" s="28" t="s">
        <v>5880</v>
      </c>
    </row>
    <row r="383" spans="1:11">
      <c r="A383" s="27">
        <v>381</v>
      </c>
      <c r="B383" s="28" t="s">
        <v>1147</v>
      </c>
      <c r="C383" s="29" t="s">
        <v>4137</v>
      </c>
      <c r="D383" s="29" t="s">
        <v>59</v>
      </c>
      <c r="E383" s="32">
        <v>31931</v>
      </c>
      <c r="F383" s="74">
        <v>46027</v>
      </c>
      <c r="G383" s="30" t="s">
        <v>179</v>
      </c>
      <c r="H383" s="28" t="s">
        <v>36</v>
      </c>
      <c r="I383" s="28" t="s">
        <v>42</v>
      </c>
      <c r="J383" s="28" t="s">
        <v>5263</v>
      </c>
      <c r="K383" s="28" t="s">
        <v>1149</v>
      </c>
    </row>
    <row r="384" spans="1:11">
      <c r="A384" s="27">
        <v>382</v>
      </c>
      <c r="B384" s="28" t="s">
        <v>1150</v>
      </c>
      <c r="C384" s="29" t="s">
        <v>3614</v>
      </c>
      <c r="D384" s="29" t="s">
        <v>59</v>
      </c>
      <c r="E384" s="32">
        <v>36403</v>
      </c>
      <c r="F384" s="74">
        <v>46027</v>
      </c>
      <c r="G384" s="30" t="s">
        <v>179</v>
      </c>
      <c r="H384" s="28" t="s">
        <v>36</v>
      </c>
      <c r="I384" s="28" t="s">
        <v>56</v>
      </c>
      <c r="J384" s="28" t="s">
        <v>5441</v>
      </c>
      <c r="K384" s="28" t="s">
        <v>5898</v>
      </c>
    </row>
    <row r="385" spans="1:11">
      <c r="A385" s="27">
        <v>383</v>
      </c>
      <c r="B385" s="28" t="s">
        <v>1153</v>
      </c>
      <c r="C385" s="29" t="s">
        <v>4138</v>
      </c>
      <c r="D385" s="29" t="s">
        <v>17</v>
      </c>
      <c r="E385" s="32">
        <v>34829</v>
      </c>
      <c r="F385" s="74">
        <v>46027</v>
      </c>
      <c r="G385" s="30" t="s">
        <v>85</v>
      </c>
      <c r="H385" s="28" t="s">
        <v>120</v>
      </c>
      <c r="I385" s="28" t="s">
        <v>14</v>
      </c>
      <c r="J385" s="28" t="s">
        <v>5123</v>
      </c>
      <c r="K385" s="28" t="s">
        <v>1155</v>
      </c>
    </row>
    <row r="386" spans="1:11">
      <c r="A386" s="27">
        <v>384</v>
      </c>
      <c r="B386" s="28" t="s">
        <v>1156</v>
      </c>
      <c r="C386" s="29" t="s">
        <v>4139</v>
      </c>
      <c r="D386" s="29" t="s">
        <v>17</v>
      </c>
      <c r="E386" s="32">
        <v>35346</v>
      </c>
      <c r="F386" s="74">
        <v>46027</v>
      </c>
      <c r="G386" s="30" t="s">
        <v>85</v>
      </c>
      <c r="H386" s="28" t="s">
        <v>120</v>
      </c>
      <c r="I386" s="28" t="s">
        <v>56</v>
      </c>
      <c r="J386" s="28" t="s">
        <v>5171</v>
      </c>
      <c r="K386" s="28" t="s">
        <v>1158</v>
      </c>
    </row>
    <row r="387" spans="1:11">
      <c r="A387" s="27">
        <v>385</v>
      </c>
      <c r="B387" s="28" t="s">
        <v>1159</v>
      </c>
      <c r="C387" s="29" t="s">
        <v>3231</v>
      </c>
      <c r="D387" s="29" t="s">
        <v>59</v>
      </c>
      <c r="E387" s="32">
        <v>34677</v>
      </c>
      <c r="F387" s="74">
        <v>46027</v>
      </c>
      <c r="G387" s="30" t="s">
        <v>179</v>
      </c>
      <c r="H387" s="28" t="s">
        <v>36</v>
      </c>
      <c r="I387" s="28" t="s">
        <v>14</v>
      </c>
      <c r="J387" s="28" t="s">
        <v>5343</v>
      </c>
      <c r="K387" s="28" t="s">
        <v>1161</v>
      </c>
    </row>
    <row r="388" spans="1:11">
      <c r="A388" s="27">
        <v>386</v>
      </c>
      <c r="B388" s="28" t="s">
        <v>1162</v>
      </c>
      <c r="C388" s="29" t="s">
        <v>3474</v>
      </c>
      <c r="D388" s="29" t="s">
        <v>59</v>
      </c>
      <c r="E388" s="32">
        <v>37487</v>
      </c>
      <c r="F388" s="74">
        <v>46027</v>
      </c>
      <c r="G388" s="30" t="s">
        <v>179</v>
      </c>
      <c r="H388" s="28" t="s">
        <v>36</v>
      </c>
      <c r="I388" s="28" t="s">
        <v>42</v>
      </c>
      <c r="J388" s="28" t="s">
        <v>4832</v>
      </c>
      <c r="K388" s="28" t="s">
        <v>5794</v>
      </c>
    </row>
    <row r="389" spans="1:11">
      <c r="A389" s="27">
        <v>387</v>
      </c>
      <c r="B389" s="28" t="s">
        <v>1163</v>
      </c>
      <c r="C389" s="29" t="s">
        <v>3363</v>
      </c>
      <c r="D389" s="29" t="s">
        <v>17</v>
      </c>
      <c r="E389" s="32">
        <v>35844</v>
      </c>
      <c r="F389" s="74">
        <v>46027</v>
      </c>
      <c r="G389" s="30" t="s">
        <v>179</v>
      </c>
      <c r="H389" s="28" t="s">
        <v>36</v>
      </c>
      <c r="I389" s="28" t="s">
        <v>56</v>
      </c>
      <c r="J389" s="28" t="s">
        <v>4968</v>
      </c>
      <c r="K389" s="28" t="s">
        <v>1165</v>
      </c>
    </row>
    <row r="390" spans="1:11">
      <c r="A390" s="27">
        <v>388</v>
      </c>
      <c r="B390" s="28" t="s">
        <v>1166</v>
      </c>
      <c r="C390" s="29" t="s">
        <v>4140</v>
      </c>
      <c r="D390" s="29" t="s">
        <v>59</v>
      </c>
      <c r="E390" s="32">
        <v>31138</v>
      </c>
      <c r="F390" s="74">
        <v>46027</v>
      </c>
      <c r="G390" s="30" t="s">
        <v>179</v>
      </c>
      <c r="H390" s="28" t="s">
        <v>36</v>
      </c>
      <c r="I390" s="28" t="s">
        <v>56</v>
      </c>
      <c r="J390" s="28" t="s">
        <v>5046</v>
      </c>
      <c r="K390" s="28" t="s">
        <v>1168</v>
      </c>
    </row>
    <row r="391" spans="1:11">
      <c r="A391" s="27">
        <v>389</v>
      </c>
      <c r="B391" s="28" t="s">
        <v>1169</v>
      </c>
      <c r="C391" s="29" t="s">
        <v>4141</v>
      </c>
      <c r="D391" s="29" t="s">
        <v>59</v>
      </c>
      <c r="E391" s="32">
        <v>31329</v>
      </c>
      <c r="F391" s="74">
        <v>46027</v>
      </c>
      <c r="G391" s="30" t="s">
        <v>179</v>
      </c>
      <c r="H391" s="28" t="s">
        <v>36</v>
      </c>
      <c r="I391" s="28" t="s">
        <v>14</v>
      </c>
      <c r="J391" s="28" t="s">
        <v>5039</v>
      </c>
      <c r="K391" s="28" t="s">
        <v>1171</v>
      </c>
    </row>
    <row r="392" spans="1:11">
      <c r="A392" s="27">
        <v>390</v>
      </c>
      <c r="B392" s="28" t="s">
        <v>1172</v>
      </c>
      <c r="C392" s="29" t="s">
        <v>4142</v>
      </c>
      <c r="D392" s="29" t="s">
        <v>17</v>
      </c>
      <c r="E392" s="32">
        <v>35329</v>
      </c>
      <c r="F392" s="74">
        <v>46027</v>
      </c>
      <c r="G392" s="30" t="s">
        <v>40</v>
      </c>
      <c r="H392" s="28" t="s">
        <v>71</v>
      </c>
      <c r="I392" s="28" t="s">
        <v>42</v>
      </c>
      <c r="J392" s="28" t="s">
        <v>4604</v>
      </c>
      <c r="K392" s="28" t="s">
        <v>1174</v>
      </c>
    </row>
    <row r="393" spans="1:11">
      <c r="A393" s="27">
        <v>391</v>
      </c>
      <c r="B393" s="28" t="s">
        <v>1175</v>
      </c>
      <c r="C393" s="29" t="s">
        <v>4143</v>
      </c>
      <c r="D393" s="29" t="s">
        <v>17</v>
      </c>
      <c r="E393" s="32">
        <v>33903</v>
      </c>
      <c r="F393" s="74">
        <v>46027</v>
      </c>
      <c r="G393" s="30" t="s">
        <v>85</v>
      </c>
      <c r="H393" s="28" t="s">
        <v>120</v>
      </c>
      <c r="I393" s="28" t="s">
        <v>56</v>
      </c>
      <c r="J393" s="28" t="s">
        <v>4571</v>
      </c>
      <c r="K393" s="28" t="s">
        <v>1177</v>
      </c>
    </row>
    <row r="394" spans="1:11">
      <c r="A394" s="27">
        <v>392</v>
      </c>
      <c r="B394" s="28" t="s">
        <v>1178</v>
      </c>
      <c r="C394" s="29" t="s">
        <v>4144</v>
      </c>
      <c r="D394" s="29" t="s">
        <v>59</v>
      </c>
      <c r="E394" s="32">
        <v>33507</v>
      </c>
      <c r="F394" s="74">
        <v>46027</v>
      </c>
      <c r="G394" s="30" t="s">
        <v>179</v>
      </c>
      <c r="H394" s="28" t="s">
        <v>36</v>
      </c>
      <c r="I394" s="28" t="s">
        <v>14</v>
      </c>
      <c r="J394" s="28" t="s">
        <v>5101</v>
      </c>
      <c r="K394" s="28" t="s">
        <v>1180</v>
      </c>
    </row>
    <row r="395" spans="1:11">
      <c r="A395" s="27">
        <v>393</v>
      </c>
      <c r="B395" s="28" t="s">
        <v>1181</v>
      </c>
      <c r="C395" s="29" t="s">
        <v>3475</v>
      </c>
      <c r="D395" s="29" t="s">
        <v>59</v>
      </c>
      <c r="E395" s="32">
        <v>37673</v>
      </c>
      <c r="F395" s="74">
        <v>46027</v>
      </c>
      <c r="G395" s="30" t="s">
        <v>179</v>
      </c>
      <c r="H395" s="28" t="s">
        <v>36</v>
      </c>
      <c r="I395" s="28" t="s">
        <v>14</v>
      </c>
      <c r="J395" s="28" t="s">
        <v>4770</v>
      </c>
      <c r="K395" s="28" t="s">
        <v>1183</v>
      </c>
    </row>
    <row r="396" spans="1:11">
      <c r="A396" s="27">
        <v>394</v>
      </c>
      <c r="B396" s="28" t="s">
        <v>1184</v>
      </c>
      <c r="C396" s="29" t="s">
        <v>4145</v>
      </c>
      <c r="D396" s="29" t="s">
        <v>17</v>
      </c>
      <c r="E396" s="32">
        <v>32880</v>
      </c>
      <c r="F396" s="74">
        <v>46027</v>
      </c>
      <c r="G396" s="30" t="s">
        <v>179</v>
      </c>
      <c r="H396" s="28" t="s">
        <v>36</v>
      </c>
      <c r="I396" s="28" t="s">
        <v>56</v>
      </c>
      <c r="J396" s="28" t="s">
        <v>4575</v>
      </c>
      <c r="K396" s="28" t="s">
        <v>1186</v>
      </c>
    </row>
    <row r="397" spans="1:11">
      <c r="A397" s="27">
        <v>395</v>
      </c>
      <c r="B397" s="28" t="s">
        <v>1187</v>
      </c>
      <c r="C397" s="29" t="s">
        <v>4146</v>
      </c>
      <c r="D397" s="29" t="s">
        <v>59</v>
      </c>
      <c r="E397" s="32">
        <v>31193</v>
      </c>
      <c r="F397" s="74">
        <v>46027</v>
      </c>
      <c r="G397" s="30" t="s">
        <v>24</v>
      </c>
      <c r="H397" s="28" t="s">
        <v>25</v>
      </c>
      <c r="I397" s="28" t="s">
        <v>14</v>
      </c>
      <c r="J397" s="28" t="s">
        <v>5139</v>
      </c>
      <c r="K397" s="28" t="s">
        <v>1189</v>
      </c>
    </row>
    <row r="398" spans="1:11">
      <c r="A398" s="27">
        <v>396</v>
      </c>
      <c r="B398" s="28" t="s">
        <v>1190</v>
      </c>
      <c r="C398" s="29" t="s">
        <v>3476</v>
      </c>
      <c r="D398" s="29" t="s">
        <v>17</v>
      </c>
      <c r="E398" s="32">
        <v>31245</v>
      </c>
      <c r="F398" s="74">
        <v>46027</v>
      </c>
      <c r="G398" s="30" t="s">
        <v>179</v>
      </c>
      <c r="H398" s="28" t="s">
        <v>36</v>
      </c>
      <c r="I398" s="28" t="s">
        <v>56</v>
      </c>
      <c r="J398" s="28" t="s">
        <v>5447</v>
      </c>
      <c r="K398" s="28" t="s">
        <v>1192</v>
      </c>
    </row>
    <row r="399" spans="1:11">
      <c r="A399" s="27">
        <v>397</v>
      </c>
      <c r="B399" s="28" t="s">
        <v>1193</v>
      </c>
      <c r="C399" s="29" t="s">
        <v>3364</v>
      </c>
      <c r="D399" s="29" t="s">
        <v>17</v>
      </c>
      <c r="E399" s="32">
        <v>36848</v>
      </c>
      <c r="F399" s="74">
        <v>46027</v>
      </c>
      <c r="G399" s="30" t="s">
        <v>216</v>
      </c>
      <c r="H399" s="28" t="s">
        <v>217</v>
      </c>
      <c r="I399" s="28" t="s">
        <v>14</v>
      </c>
      <c r="J399" s="28" t="s">
        <v>5358</v>
      </c>
      <c r="K399" s="28" t="s">
        <v>5861</v>
      </c>
    </row>
    <row r="400" spans="1:11">
      <c r="A400" s="27">
        <v>398</v>
      </c>
      <c r="B400" s="28" t="s">
        <v>1196</v>
      </c>
      <c r="C400" s="29" t="s">
        <v>3477</v>
      </c>
      <c r="D400" s="29" t="s">
        <v>59</v>
      </c>
      <c r="E400" s="32">
        <v>34334</v>
      </c>
      <c r="F400" s="74">
        <v>46027</v>
      </c>
      <c r="G400" s="30" t="s">
        <v>179</v>
      </c>
      <c r="H400" s="28" t="s">
        <v>36</v>
      </c>
      <c r="I400" s="28" t="s">
        <v>14</v>
      </c>
      <c r="J400" s="28" t="s">
        <v>5302</v>
      </c>
      <c r="K400" s="28" t="s">
        <v>1198</v>
      </c>
    </row>
    <row r="401" spans="1:11">
      <c r="A401" s="27">
        <v>399</v>
      </c>
      <c r="B401" s="28" t="s">
        <v>1199</v>
      </c>
      <c r="C401" s="29" t="s">
        <v>3478</v>
      </c>
      <c r="D401" s="29" t="s">
        <v>59</v>
      </c>
      <c r="E401" s="32">
        <v>37244</v>
      </c>
      <c r="F401" s="74">
        <v>46027</v>
      </c>
      <c r="G401" s="30" t="s">
        <v>179</v>
      </c>
      <c r="H401" s="28" t="s">
        <v>36</v>
      </c>
      <c r="I401" s="28" t="s">
        <v>14</v>
      </c>
      <c r="J401" s="28" t="s">
        <v>4940</v>
      </c>
      <c r="K401" s="28" t="s">
        <v>1201</v>
      </c>
    </row>
    <row r="402" spans="1:11">
      <c r="A402" s="27">
        <v>400</v>
      </c>
      <c r="B402" s="28" t="s">
        <v>1202</v>
      </c>
      <c r="C402" s="29" t="s">
        <v>4147</v>
      </c>
      <c r="D402" s="29" t="s">
        <v>59</v>
      </c>
      <c r="E402" s="32">
        <v>31760</v>
      </c>
      <c r="F402" s="74">
        <v>46027</v>
      </c>
      <c r="G402" s="30" t="s">
        <v>24</v>
      </c>
      <c r="H402" s="28" t="s">
        <v>25</v>
      </c>
      <c r="I402" s="28" t="s">
        <v>14</v>
      </c>
      <c r="J402" s="28" t="s">
        <v>5082</v>
      </c>
      <c r="K402" s="28" t="s">
        <v>1204</v>
      </c>
    </row>
    <row r="403" spans="1:11">
      <c r="A403" s="27">
        <v>401</v>
      </c>
      <c r="B403" s="28" t="s">
        <v>1205</v>
      </c>
      <c r="C403" s="29" t="s">
        <v>3365</v>
      </c>
      <c r="D403" s="29" t="s">
        <v>17</v>
      </c>
      <c r="E403" s="32">
        <v>32844</v>
      </c>
      <c r="F403" s="74">
        <v>46027</v>
      </c>
      <c r="G403" s="30" t="s">
        <v>179</v>
      </c>
      <c r="H403" s="28" t="s">
        <v>36</v>
      </c>
      <c r="I403" s="28" t="s">
        <v>56</v>
      </c>
      <c r="J403" s="28" t="s">
        <v>5367</v>
      </c>
      <c r="K403" s="28" t="s">
        <v>5931</v>
      </c>
    </row>
    <row r="404" spans="1:11">
      <c r="A404" s="27">
        <v>402</v>
      </c>
      <c r="B404" s="28" t="s">
        <v>1208</v>
      </c>
      <c r="C404" s="29" t="s">
        <v>4148</v>
      </c>
      <c r="D404" s="29" t="s">
        <v>59</v>
      </c>
      <c r="E404" s="32">
        <v>32149</v>
      </c>
      <c r="F404" s="74">
        <v>46027</v>
      </c>
      <c r="G404" s="30" t="s">
        <v>179</v>
      </c>
      <c r="H404" s="28" t="s">
        <v>36</v>
      </c>
      <c r="I404" s="28" t="s">
        <v>14</v>
      </c>
      <c r="J404" s="28" t="s">
        <v>4704</v>
      </c>
      <c r="K404" s="28" t="s">
        <v>1210</v>
      </c>
    </row>
    <row r="405" spans="1:11">
      <c r="A405" s="27">
        <v>403</v>
      </c>
      <c r="B405" s="28" t="s">
        <v>1211</v>
      </c>
      <c r="C405" s="29" t="s">
        <v>3615</v>
      </c>
      <c r="D405" s="29" t="s">
        <v>59</v>
      </c>
      <c r="E405" s="32">
        <v>32619</v>
      </c>
      <c r="F405" s="74">
        <v>46027</v>
      </c>
      <c r="G405" s="30" t="s">
        <v>179</v>
      </c>
      <c r="H405" s="28" t="s">
        <v>36</v>
      </c>
      <c r="I405" s="28" t="s">
        <v>42</v>
      </c>
      <c r="J405" s="28" t="s">
        <v>4657</v>
      </c>
      <c r="K405" s="28" t="s">
        <v>5863</v>
      </c>
    </row>
    <row r="406" spans="1:11">
      <c r="A406" s="27">
        <v>404</v>
      </c>
      <c r="B406" s="28" t="s">
        <v>1214</v>
      </c>
      <c r="C406" s="29" t="s">
        <v>3232</v>
      </c>
      <c r="D406" s="29" t="s">
        <v>59</v>
      </c>
      <c r="E406" s="32">
        <v>33521</v>
      </c>
      <c r="F406" s="74">
        <v>46027</v>
      </c>
      <c r="G406" s="30" t="s">
        <v>179</v>
      </c>
      <c r="H406" s="28" t="s">
        <v>36</v>
      </c>
      <c r="I406" s="28" t="s">
        <v>14</v>
      </c>
      <c r="J406" s="28" t="s">
        <v>5268</v>
      </c>
      <c r="K406" s="28" t="s">
        <v>1216</v>
      </c>
    </row>
    <row r="407" spans="1:11">
      <c r="A407" s="27">
        <v>405</v>
      </c>
      <c r="B407" s="28" t="s">
        <v>1217</v>
      </c>
      <c r="C407" s="29" t="s">
        <v>4149</v>
      </c>
      <c r="D407" s="29" t="s">
        <v>59</v>
      </c>
      <c r="E407" s="32">
        <v>37158</v>
      </c>
      <c r="F407" s="74">
        <v>46027</v>
      </c>
      <c r="G407" s="30" t="s">
        <v>179</v>
      </c>
      <c r="H407" s="28" t="s">
        <v>36</v>
      </c>
      <c r="I407" s="28" t="s">
        <v>14</v>
      </c>
      <c r="J407" s="28" t="s">
        <v>5142</v>
      </c>
      <c r="K407" s="28" t="s">
        <v>1219</v>
      </c>
    </row>
    <row r="408" spans="1:11">
      <c r="A408" s="27">
        <v>406</v>
      </c>
      <c r="B408" s="28" t="s">
        <v>1220</v>
      </c>
      <c r="C408" s="29" t="s">
        <v>4150</v>
      </c>
      <c r="D408" s="29" t="s">
        <v>17</v>
      </c>
      <c r="E408" s="32">
        <v>31992</v>
      </c>
      <c r="F408" s="74">
        <v>46027</v>
      </c>
      <c r="G408" s="30" t="s">
        <v>85</v>
      </c>
      <c r="H408" s="28" t="s">
        <v>120</v>
      </c>
      <c r="I408" s="28" t="s">
        <v>14</v>
      </c>
      <c r="J408" s="28" t="s">
        <v>4504</v>
      </c>
      <c r="K408" s="28" t="s">
        <v>1222</v>
      </c>
    </row>
    <row r="409" spans="1:11">
      <c r="A409" s="27">
        <v>407</v>
      </c>
      <c r="B409" s="28" t="s">
        <v>1223</v>
      </c>
      <c r="C409" s="29" t="s">
        <v>3366</v>
      </c>
      <c r="D409" s="29" t="s">
        <v>17</v>
      </c>
      <c r="E409" s="32">
        <v>34134</v>
      </c>
      <c r="F409" s="74">
        <v>46027</v>
      </c>
      <c r="G409" s="30" t="s">
        <v>179</v>
      </c>
      <c r="H409" s="28" t="s">
        <v>36</v>
      </c>
      <c r="I409" s="28" t="s">
        <v>56</v>
      </c>
      <c r="J409" s="28" t="s">
        <v>4849</v>
      </c>
      <c r="K409" s="28" t="s">
        <v>1225</v>
      </c>
    </row>
    <row r="410" spans="1:11">
      <c r="A410" s="27">
        <v>408</v>
      </c>
      <c r="B410" s="28" t="s">
        <v>1226</v>
      </c>
      <c r="C410" s="29" t="s">
        <v>4151</v>
      </c>
      <c r="D410" s="29" t="s">
        <v>59</v>
      </c>
      <c r="E410" s="32">
        <v>36649</v>
      </c>
      <c r="F410" s="74">
        <v>46027</v>
      </c>
      <c r="G410" s="30" t="s">
        <v>179</v>
      </c>
      <c r="H410" s="28" t="s">
        <v>36</v>
      </c>
      <c r="I410" s="28" t="s">
        <v>56</v>
      </c>
      <c r="J410" s="28" t="s">
        <v>4531</v>
      </c>
      <c r="K410" s="28" t="s">
        <v>1228</v>
      </c>
    </row>
    <row r="411" spans="1:11">
      <c r="A411" s="27">
        <v>409</v>
      </c>
      <c r="B411" s="28" t="s">
        <v>1229</v>
      </c>
      <c r="C411" s="29" t="s">
        <v>3557</v>
      </c>
      <c r="D411" s="29" t="s">
        <v>59</v>
      </c>
      <c r="E411" s="32">
        <v>34120</v>
      </c>
      <c r="F411" s="74">
        <v>46027</v>
      </c>
      <c r="G411" s="30" t="s">
        <v>179</v>
      </c>
      <c r="H411" s="28" t="s">
        <v>36</v>
      </c>
      <c r="I411" s="28" t="s">
        <v>42</v>
      </c>
      <c r="J411" s="28" t="s">
        <v>4693</v>
      </c>
      <c r="K411" s="28" t="s">
        <v>5903</v>
      </c>
    </row>
    <row r="412" spans="1:11">
      <c r="A412" s="27">
        <v>410</v>
      </c>
      <c r="B412" s="28" t="s">
        <v>1232</v>
      </c>
      <c r="C412" s="29" t="s">
        <v>3558</v>
      </c>
      <c r="D412" s="29" t="s">
        <v>59</v>
      </c>
      <c r="E412" s="32">
        <v>37408</v>
      </c>
      <c r="F412" s="74">
        <v>46027</v>
      </c>
      <c r="G412" s="30" t="s">
        <v>179</v>
      </c>
      <c r="H412" s="28" t="s">
        <v>36</v>
      </c>
      <c r="I412" s="28" t="s">
        <v>14</v>
      </c>
      <c r="J412" s="28" t="s">
        <v>4891</v>
      </c>
      <c r="K412" s="28" t="s">
        <v>1234</v>
      </c>
    </row>
    <row r="413" spans="1:11">
      <c r="A413" s="27">
        <v>411</v>
      </c>
      <c r="B413" s="28" t="s">
        <v>1235</v>
      </c>
      <c r="C413" s="29" t="s">
        <v>3233</v>
      </c>
      <c r="D413" s="29" t="s">
        <v>59</v>
      </c>
      <c r="E413" s="32">
        <v>34057</v>
      </c>
      <c r="F413" s="74">
        <v>46027</v>
      </c>
      <c r="G413" s="30" t="s">
        <v>179</v>
      </c>
      <c r="H413" s="28" t="s">
        <v>36</v>
      </c>
      <c r="I413" s="28" t="s">
        <v>14</v>
      </c>
      <c r="J413" s="28" t="s">
        <v>5217</v>
      </c>
      <c r="K413" s="28" t="s">
        <v>1237</v>
      </c>
    </row>
    <row r="414" spans="1:11">
      <c r="A414" s="27">
        <v>412</v>
      </c>
      <c r="B414" s="28" t="s">
        <v>1238</v>
      </c>
      <c r="C414" s="29" t="s">
        <v>4152</v>
      </c>
      <c r="D414" s="29" t="s">
        <v>17</v>
      </c>
      <c r="E414" s="32">
        <v>35477</v>
      </c>
      <c r="F414" s="74">
        <v>46027</v>
      </c>
      <c r="G414" s="30" t="s">
        <v>179</v>
      </c>
      <c r="H414" s="28" t="s">
        <v>36</v>
      </c>
      <c r="I414" s="28" t="s">
        <v>14</v>
      </c>
      <c r="J414" s="28" t="s">
        <v>4973</v>
      </c>
      <c r="K414" s="28" t="s">
        <v>1240</v>
      </c>
    </row>
    <row r="415" spans="1:11">
      <c r="A415" s="27">
        <v>413</v>
      </c>
      <c r="B415" s="28" t="s">
        <v>1241</v>
      </c>
      <c r="C415" s="29" t="s">
        <v>4153</v>
      </c>
      <c r="D415" s="29" t="s">
        <v>59</v>
      </c>
      <c r="E415" s="32">
        <v>33967</v>
      </c>
      <c r="F415" s="74">
        <v>46027</v>
      </c>
      <c r="G415" s="30" t="s">
        <v>24</v>
      </c>
      <c r="H415" s="28" t="s">
        <v>25</v>
      </c>
      <c r="I415" s="28" t="s">
        <v>14</v>
      </c>
      <c r="J415" s="28" t="s">
        <v>5066</v>
      </c>
      <c r="K415" s="28" t="s">
        <v>1243</v>
      </c>
    </row>
    <row r="416" spans="1:11">
      <c r="A416" s="27">
        <v>414</v>
      </c>
      <c r="B416" s="28" t="s">
        <v>1244</v>
      </c>
      <c r="C416" s="29" t="s">
        <v>3611</v>
      </c>
      <c r="D416" s="29" t="s">
        <v>59</v>
      </c>
      <c r="E416" s="32">
        <v>36477</v>
      </c>
      <c r="F416" s="74">
        <v>46027</v>
      </c>
      <c r="G416" s="30" t="s">
        <v>24</v>
      </c>
      <c r="H416" s="28" t="s">
        <v>25</v>
      </c>
      <c r="I416" s="28" t="s">
        <v>56</v>
      </c>
      <c r="J416" s="28" t="s">
        <v>5402</v>
      </c>
      <c r="K416" s="28" t="s">
        <v>5907</v>
      </c>
    </row>
    <row r="417" spans="1:11">
      <c r="A417" s="27">
        <v>415</v>
      </c>
      <c r="B417" s="28" t="s">
        <v>1247</v>
      </c>
      <c r="C417" s="29" t="s">
        <v>4154</v>
      </c>
      <c r="D417" s="29" t="s">
        <v>59</v>
      </c>
      <c r="E417" s="32">
        <v>36703</v>
      </c>
      <c r="F417" s="74">
        <v>46027</v>
      </c>
      <c r="G417" s="30" t="s">
        <v>179</v>
      </c>
      <c r="H417" s="28" t="s">
        <v>36</v>
      </c>
      <c r="I417" s="28" t="s">
        <v>14</v>
      </c>
      <c r="J417" s="28" t="s">
        <v>5240</v>
      </c>
      <c r="K417" s="28" t="s">
        <v>1249</v>
      </c>
    </row>
    <row r="418" spans="1:11">
      <c r="A418" s="27">
        <v>416</v>
      </c>
      <c r="B418" s="28" t="s">
        <v>1250</v>
      </c>
      <c r="C418" s="29" t="s">
        <v>4155</v>
      </c>
      <c r="D418" s="29" t="s">
        <v>17</v>
      </c>
      <c r="E418" s="32">
        <v>32619</v>
      </c>
      <c r="F418" s="74">
        <v>46027</v>
      </c>
      <c r="G418" s="30" t="s">
        <v>40</v>
      </c>
      <c r="H418" s="28" t="s">
        <v>71</v>
      </c>
      <c r="I418" s="28" t="s">
        <v>14</v>
      </c>
      <c r="J418" s="28" t="s">
        <v>4835</v>
      </c>
      <c r="K418" s="28" t="s">
        <v>1251</v>
      </c>
    </row>
    <row r="419" spans="1:11">
      <c r="A419" s="27">
        <v>417</v>
      </c>
      <c r="B419" s="28" t="s">
        <v>1252</v>
      </c>
      <c r="C419" s="29" t="s">
        <v>3367</v>
      </c>
      <c r="D419" s="29" t="s">
        <v>17</v>
      </c>
      <c r="E419" s="32">
        <v>34093</v>
      </c>
      <c r="F419" s="74">
        <v>46027</v>
      </c>
      <c r="G419" s="30" t="s">
        <v>216</v>
      </c>
      <c r="H419" s="28" t="s">
        <v>217</v>
      </c>
      <c r="I419" s="28" t="s">
        <v>14</v>
      </c>
      <c r="J419" s="28" t="s">
        <v>5148</v>
      </c>
      <c r="K419" s="28" t="s">
        <v>1254</v>
      </c>
    </row>
    <row r="420" spans="1:11">
      <c r="A420" s="27">
        <v>418</v>
      </c>
      <c r="B420" s="28" t="s">
        <v>1255</v>
      </c>
      <c r="C420" s="29" t="s">
        <v>3479</v>
      </c>
      <c r="D420" s="29" t="s">
        <v>17</v>
      </c>
      <c r="E420" s="32">
        <v>33851</v>
      </c>
      <c r="F420" s="74">
        <v>46027</v>
      </c>
      <c r="G420" s="30" t="s">
        <v>179</v>
      </c>
      <c r="H420" s="28" t="s">
        <v>36</v>
      </c>
      <c r="I420" s="28" t="s">
        <v>14</v>
      </c>
      <c r="J420" s="28" t="s">
        <v>5231</v>
      </c>
      <c r="K420" s="28" t="s">
        <v>5888</v>
      </c>
    </row>
    <row r="421" spans="1:11">
      <c r="A421" s="27">
        <v>419</v>
      </c>
      <c r="B421" s="28" t="s">
        <v>1258</v>
      </c>
      <c r="C421" s="29" t="s">
        <v>3234</v>
      </c>
      <c r="D421" s="29" t="s">
        <v>59</v>
      </c>
      <c r="E421" s="32">
        <v>33666</v>
      </c>
      <c r="F421" s="74">
        <v>46027</v>
      </c>
      <c r="G421" s="30" t="s">
        <v>179</v>
      </c>
      <c r="H421" s="28" t="s">
        <v>36</v>
      </c>
      <c r="I421" s="28" t="s">
        <v>56</v>
      </c>
      <c r="J421" s="28" t="s">
        <v>4728</v>
      </c>
      <c r="K421" s="28" t="s">
        <v>1260</v>
      </c>
    </row>
    <row r="422" spans="1:11">
      <c r="A422" s="27">
        <v>420</v>
      </c>
      <c r="B422" s="28" t="s">
        <v>1261</v>
      </c>
      <c r="C422" s="29" t="s">
        <v>3302</v>
      </c>
      <c r="D422" s="29" t="s">
        <v>59</v>
      </c>
      <c r="E422" s="32">
        <v>32989</v>
      </c>
      <c r="F422" s="74">
        <v>46027</v>
      </c>
      <c r="G422" s="30" t="s">
        <v>179</v>
      </c>
      <c r="H422" s="28" t="s">
        <v>36</v>
      </c>
      <c r="I422" s="28" t="s">
        <v>14</v>
      </c>
      <c r="J422" s="28" t="s">
        <v>4941</v>
      </c>
      <c r="K422" s="28" t="s">
        <v>5909</v>
      </c>
    </row>
    <row r="423" spans="1:11">
      <c r="A423" s="27">
        <v>421</v>
      </c>
      <c r="B423" s="28" t="s">
        <v>1264</v>
      </c>
      <c r="C423" s="29" t="s">
        <v>3368</v>
      </c>
      <c r="D423" s="29" t="s">
        <v>17</v>
      </c>
      <c r="E423" s="32">
        <v>36552</v>
      </c>
      <c r="F423" s="74">
        <v>46027</v>
      </c>
      <c r="G423" s="30" t="s">
        <v>179</v>
      </c>
      <c r="H423" s="28" t="s">
        <v>36</v>
      </c>
      <c r="I423" s="28" t="s">
        <v>14</v>
      </c>
      <c r="J423" s="28" t="s">
        <v>4611</v>
      </c>
      <c r="K423" s="28" t="s">
        <v>1266</v>
      </c>
    </row>
    <row r="424" spans="1:11">
      <c r="A424" s="27">
        <v>422</v>
      </c>
      <c r="B424" s="28" t="s">
        <v>1267</v>
      </c>
      <c r="C424" s="29" t="s">
        <v>3480</v>
      </c>
      <c r="D424" s="29" t="s">
        <v>59</v>
      </c>
      <c r="E424" s="32">
        <v>37658</v>
      </c>
      <c r="F424" s="74">
        <v>46027</v>
      </c>
      <c r="G424" s="30" t="s">
        <v>179</v>
      </c>
      <c r="H424" s="28" t="s">
        <v>36</v>
      </c>
      <c r="I424" s="28" t="s">
        <v>42</v>
      </c>
      <c r="J424" s="28" t="s">
        <v>5365</v>
      </c>
      <c r="K424" s="28" t="s">
        <v>1269</v>
      </c>
    </row>
    <row r="425" spans="1:11">
      <c r="A425" s="27">
        <v>423</v>
      </c>
      <c r="B425" s="28" t="s">
        <v>1270</v>
      </c>
      <c r="C425" s="29" t="s">
        <v>3303</v>
      </c>
      <c r="D425" s="29" t="s">
        <v>59</v>
      </c>
      <c r="E425" s="32">
        <v>37584</v>
      </c>
      <c r="F425" s="74">
        <v>46027</v>
      </c>
      <c r="G425" s="30" t="s">
        <v>179</v>
      </c>
      <c r="H425" s="28" t="s">
        <v>36</v>
      </c>
      <c r="I425" s="28" t="s">
        <v>14</v>
      </c>
      <c r="J425" s="28" t="s">
        <v>4807</v>
      </c>
      <c r="K425" s="28" t="s">
        <v>1272</v>
      </c>
    </row>
    <row r="426" spans="1:11">
      <c r="A426" s="27">
        <v>424</v>
      </c>
      <c r="B426" s="28" t="s">
        <v>1273</v>
      </c>
      <c r="C426" s="29" t="s">
        <v>3616</v>
      </c>
      <c r="D426" s="29" t="s">
        <v>59</v>
      </c>
      <c r="E426" s="32">
        <v>34530</v>
      </c>
      <c r="F426" s="74">
        <v>46027</v>
      </c>
      <c r="G426" s="30" t="s">
        <v>179</v>
      </c>
      <c r="H426" s="28" t="s">
        <v>36</v>
      </c>
      <c r="I426" s="28" t="s">
        <v>42</v>
      </c>
      <c r="J426" s="28" t="s">
        <v>5182</v>
      </c>
      <c r="K426" s="28" t="s">
        <v>1275</v>
      </c>
    </row>
    <row r="427" spans="1:11">
      <c r="A427" s="27">
        <v>425</v>
      </c>
      <c r="B427" s="28" t="s">
        <v>1276</v>
      </c>
      <c r="C427" s="29" t="s">
        <v>4156</v>
      </c>
      <c r="D427" s="29" t="s">
        <v>17</v>
      </c>
      <c r="E427" s="32">
        <v>37311</v>
      </c>
      <c r="F427" s="74">
        <v>46027</v>
      </c>
      <c r="G427" s="30" t="s">
        <v>40</v>
      </c>
      <c r="H427" s="28" t="s">
        <v>71</v>
      </c>
      <c r="I427" s="28" t="s">
        <v>14</v>
      </c>
      <c r="J427" s="28" t="s">
        <v>4723</v>
      </c>
      <c r="K427" s="28" t="s">
        <v>1278</v>
      </c>
    </row>
    <row r="428" spans="1:11">
      <c r="A428" s="27">
        <v>426</v>
      </c>
      <c r="B428" s="28" t="s">
        <v>1279</v>
      </c>
      <c r="C428" s="29" t="s">
        <v>4157</v>
      </c>
      <c r="D428" s="29" t="s">
        <v>17</v>
      </c>
      <c r="E428" s="32">
        <v>33669</v>
      </c>
      <c r="F428" s="74">
        <v>46027</v>
      </c>
      <c r="G428" s="30" t="s">
        <v>179</v>
      </c>
      <c r="H428" s="28" t="s">
        <v>36</v>
      </c>
      <c r="I428" s="28" t="s">
        <v>56</v>
      </c>
      <c r="J428" s="28" t="s">
        <v>4512</v>
      </c>
      <c r="K428" s="28" t="s">
        <v>1281</v>
      </c>
    </row>
    <row r="429" spans="1:11">
      <c r="A429" s="27">
        <v>427</v>
      </c>
      <c r="B429" s="28" t="s">
        <v>1282</v>
      </c>
      <c r="C429" s="29" t="s">
        <v>3369</v>
      </c>
      <c r="D429" s="29" t="s">
        <v>17</v>
      </c>
      <c r="E429" s="32">
        <v>36921</v>
      </c>
      <c r="F429" s="74">
        <v>46027</v>
      </c>
      <c r="G429" s="30" t="s">
        <v>179</v>
      </c>
      <c r="H429" s="28" t="s">
        <v>36</v>
      </c>
      <c r="I429" s="28" t="s">
        <v>56</v>
      </c>
      <c r="J429" s="28" t="s">
        <v>4574</v>
      </c>
      <c r="K429" s="28" t="s">
        <v>1284</v>
      </c>
    </row>
    <row r="430" spans="1:11">
      <c r="A430" s="27">
        <v>428</v>
      </c>
      <c r="B430" s="28" t="s">
        <v>1285</v>
      </c>
      <c r="C430" s="29" t="s">
        <v>3235</v>
      </c>
      <c r="D430" s="29" t="s">
        <v>59</v>
      </c>
      <c r="E430" s="32">
        <v>33996</v>
      </c>
      <c r="F430" s="74">
        <v>46027</v>
      </c>
      <c r="G430" s="30" t="s">
        <v>179</v>
      </c>
      <c r="H430" s="28" t="s">
        <v>36</v>
      </c>
      <c r="I430" s="28" t="s">
        <v>14</v>
      </c>
      <c r="J430" s="28" t="s">
        <v>5359</v>
      </c>
      <c r="K430" s="28" t="s">
        <v>1287</v>
      </c>
    </row>
    <row r="431" spans="1:11">
      <c r="A431" s="27">
        <v>429</v>
      </c>
      <c r="B431" s="28" t="s">
        <v>1288</v>
      </c>
      <c r="C431" s="29" t="s">
        <v>3236</v>
      </c>
      <c r="D431" s="29" t="s">
        <v>59</v>
      </c>
      <c r="E431" s="32">
        <v>37456</v>
      </c>
      <c r="F431" s="74">
        <v>46027</v>
      </c>
      <c r="G431" s="30" t="s">
        <v>172</v>
      </c>
      <c r="H431" s="28" t="s">
        <v>62</v>
      </c>
      <c r="I431" s="28" t="s">
        <v>42</v>
      </c>
      <c r="J431" s="28" t="s">
        <v>4524</v>
      </c>
      <c r="K431" s="28" t="s">
        <v>5845</v>
      </c>
    </row>
    <row r="432" spans="1:11">
      <c r="A432" s="27">
        <v>430</v>
      </c>
      <c r="B432" s="28" t="s">
        <v>1290</v>
      </c>
      <c r="C432" s="29" t="s">
        <v>4158</v>
      </c>
      <c r="D432" s="29" t="s">
        <v>59</v>
      </c>
      <c r="E432" s="32">
        <v>37690</v>
      </c>
      <c r="F432" s="74">
        <v>46027</v>
      </c>
      <c r="G432" s="30" t="s">
        <v>179</v>
      </c>
      <c r="H432" s="28" t="s">
        <v>36</v>
      </c>
      <c r="I432" s="28" t="s">
        <v>14</v>
      </c>
      <c r="J432" s="28" t="s">
        <v>5068</v>
      </c>
      <c r="K432" s="28" t="s">
        <v>1292</v>
      </c>
    </row>
    <row r="433" spans="1:11">
      <c r="A433" s="27">
        <v>431</v>
      </c>
      <c r="B433" s="28" t="s">
        <v>1293</v>
      </c>
      <c r="C433" s="29" t="s">
        <v>4159</v>
      </c>
      <c r="D433" s="29" t="s">
        <v>17</v>
      </c>
      <c r="E433" s="32">
        <v>34203</v>
      </c>
      <c r="F433" s="74">
        <v>46027</v>
      </c>
      <c r="G433" s="30" t="s">
        <v>40</v>
      </c>
      <c r="H433" s="28" t="s">
        <v>71</v>
      </c>
      <c r="I433" s="28" t="s">
        <v>42</v>
      </c>
      <c r="J433" s="28" t="s">
        <v>5309</v>
      </c>
      <c r="K433" s="28" t="s">
        <v>1295</v>
      </c>
    </row>
    <row r="434" spans="1:11">
      <c r="A434" s="27">
        <v>432</v>
      </c>
      <c r="B434" s="28" t="s">
        <v>1296</v>
      </c>
      <c r="C434" s="29" t="s">
        <v>3237</v>
      </c>
      <c r="D434" s="29" t="s">
        <v>59</v>
      </c>
      <c r="E434" s="32">
        <v>37644</v>
      </c>
      <c r="F434" s="74">
        <v>46027</v>
      </c>
      <c r="G434" s="30" t="s">
        <v>179</v>
      </c>
      <c r="H434" s="28" t="s">
        <v>36</v>
      </c>
      <c r="I434" s="28" t="s">
        <v>56</v>
      </c>
      <c r="J434" s="28" t="s">
        <v>4620</v>
      </c>
      <c r="K434" s="28" t="s">
        <v>1298</v>
      </c>
    </row>
    <row r="435" spans="1:11">
      <c r="A435" s="27">
        <v>433</v>
      </c>
      <c r="B435" s="28" t="s">
        <v>3948</v>
      </c>
      <c r="C435" s="29" t="s">
        <v>3559</v>
      </c>
      <c r="D435" s="29" t="s">
        <v>59</v>
      </c>
      <c r="E435" s="32">
        <v>31591</v>
      </c>
      <c r="F435" s="74">
        <v>46027</v>
      </c>
      <c r="G435" s="30" t="s">
        <v>179</v>
      </c>
      <c r="H435" s="28" t="s">
        <v>36</v>
      </c>
      <c r="I435" s="28" t="s">
        <v>14</v>
      </c>
      <c r="J435" s="28" t="s">
        <v>4760</v>
      </c>
      <c r="K435" s="28" t="s">
        <v>1300</v>
      </c>
    </row>
    <row r="436" spans="1:11">
      <c r="A436" s="27">
        <v>434</v>
      </c>
      <c r="B436" s="28" t="s">
        <v>1301</v>
      </c>
      <c r="C436" s="29" t="s">
        <v>4160</v>
      </c>
      <c r="D436" s="29" t="s">
        <v>59</v>
      </c>
      <c r="E436" s="32">
        <v>32489</v>
      </c>
      <c r="F436" s="74">
        <v>46027</v>
      </c>
      <c r="G436" s="30" t="s">
        <v>24</v>
      </c>
      <c r="H436" s="28" t="s">
        <v>25</v>
      </c>
      <c r="I436" s="28" t="s">
        <v>14</v>
      </c>
      <c r="J436" s="28" t="s">
        <v>5307</v>
      </c>
      <c r="K436" s="28" t="s">
        <v>5793</v>
      </c>
    </row>
    <row r="437" spans="1:11">
      <c r="A437" s="27">
        <v>435</v>
      </c>
      <c r="B437" s="28" t="s">
        <v>1303</v>
      </c>
      <c r="C437" s="29" t="s">
        <v>4161</v>
      </c>
      <c r="D437" s="29" t="s">
        <v>59</v>
      </c>
      <c r="E437" s="32">
        <v>37736</v>
      </c>
      <c r="F437" s="74">
        <v>46027</v>
      </c>
      <c r="G437" s="30" t="s">
        <v>179</v>
      </c>
      <c r="H437" s="28" t="s">
        <v>36</v>
      </c>
      <c r="I437" s="28" t="s">
        <v>14</v>
      </c>
      <c r="J437" s="28" t="s">
        <v>5235</v>
      </c>
      <c r="K437" s="28" t="s">
        <v>1305</v>
      </c>
    </row>
    <row r="438" spans="1:11">
      <c r="A438" s="27">
        <v>436</v>
      </c>
      <c r="B438" s="28" t="s">
        <v>1306</v>
      </c>
      <c r="C438" s="29" t="s">
        <v>3481</v>
      </c>
      <c r="D438" s="29" t="s">
        <v>59</v>
      </c>
      <c r="E438" s="32">
        <v>36891</v>
      </c>
      <c r="F438" s="74">
        <v>46027</v>
      </c>
      <c r="G438" s="30" t="s">
        <v>179</v>
      </c>
      <c r="H438" s="28" t="s">
        <v>36</v>
      </c>
      <c r="I438" s="28" t="s">
        <v>56</v>
      </c>
      <c r="J438" s="28" t="s">
        <v>4660</v>
      </c>
      <c r="K438" s="28" t="s">
        <v>5838</v>
      </c>
    </row>
    <row r="439" spans="1:11">
      <c r="A439" s="27">
        <v>437</v>
      </c>
      <c r="B439" s="28" t="s">
        <v>1308</v>
      </c>
      <c r="C439" s="29" t="s">
        <v>4162</v>
      </c>
      <c r="D439" s="29" t="s">
        <v>59</v>
      </c>
      <c r="E439" s="32">
        <v>33100</v>
      </c>
      <c r="F439" s="74">
        <v>46055</v>
      </c>
      <c r="G439" s="30" t="s">
        <v>24</v>
      </c>
      <c r="H439" s="28" t="s">
        <v>25</v>
      </c>
      <c r="I439" s="28" t="s">
        <v>14</v>
      </c>
      <c r="J439" s="28" t="s">
        <v>4543</v>
      </c>
      <c r="K439" s="28" t="s">
        <v>5792</v>
      </c>
    </row>
    <row r="440" spans="1:11">
      <c r="A440" s="27">
        <v>438</v>
      </c>
      <c r="B440" s="28" t="s">
        <v>1310</v>
      </c>
      <c r="C440" s="29" t="s">
        <v>3304</v>
      </c>
      <c r="D440" s="29" t="s">
        <v>59</v>
      </c>
      <c r="E440" s="32">
        <v>35591</v>
      </c>
      <c r="F440" s="74">
        <v>46055</v>
      </c>
      <c r="G440" s="30" t="s">
        <v>179</v>
      </c>
      <c r="H440" s="28" t="s">
        <v>36</v>
      </c>
      <c r="I440" s="28" t="s">
        <v>14</v>
      </c>
      <c r="J440" s="28" t="s">
        <v>5155</v>
      </c>
      <c r="K440" s="28" t="s">
        <v>1312</v>
      </c>
    </row>
    <row r="441" spans="1:11">
      <c r="A441" s="27">
        <v>439</v>
      </c>
      <c r="B441" s="28" t="s">
        <v>1313</v>
      </c>
      <c r="C441" s="29" t="s">
        <v>4163</v>
      </c>
      <c r="D441" s="29" t="s">
        <v>17</v>
      </c>
      <c r="E441" s="32">
        <v>32667</v>
      </c>
      <c r="F441" s="74">
        <v>46055</v>
      </c>
      <c r="G441" s="30" t="s">
        <v>85</v>
      </c>
      <c r="H441" s="28" t="s">
        <v>120</v>
      </c>
      <c r="I441" s="28" t="s">
        <v>14</v>
      </c>
      <c r="J441" s="28" t="s">
        <v>5409</v>
      </c>
      <c r="K441" s="28" t="s">
        <v>1315</v>
      </c>
    </row>
    <row r="442" spans="1:11">
      <c r="A442" s="27">
        <v>440</v>
      </c>
      <c r="B442" s="28" t="s">
        <v>1316</v>
      </c>
      <c r="C442" s="29" t="s">
        <v>4164</v>
      </c>
      <c r="D442" s="29" t="s">
        <v>59</v>
      </c>
      <c r="E442" s="32">
        <v>32675</v>
      </c>
      <c r="F442" s="74">
        <v>46055</v>
      </c>
      <c r="G442" s="30" t="s">
        <v>179</v>
      </c>
      <c r="H442" s="28" t="s">
        <v>36</v>
      </c>
      <c r="I442" s="28" t="s">
        <v>14</v>
      </c>
      <c r="J442" s="28" t="s">
        <v>5035</v>
      </c>
      <c r="K442" s="28" t="s">
        <v>1318</v>
      </c>
    </row>
    <row r="443" spans="1:11">
      <c r="A443" s="27">
        <v>441</v>
      </c>
      <c r="B443" s="28" t="s">
        <v>1319</v>
      </c>
      <c r="C443" s="29" t="s">
        <v>4165</v>
      </c>
      <c r="D443" s="29" t="s">
        <v>59</v>
      </c>
      <c r="E443" s="32">
        <v>36745</v>
      </c>
      <c r="F443" s="74">
        <v>46055</v>
      </c>
      <c r="G443" s="30" t="s">
        <v>179</v>
      </c>
      <c r="H443" s="28" t="s">
        <v>36</v>
      </c>
      <c r="I443" s="28" t="s">
        <v>42</v>
      </c>
      <c r="J443" s="28" t="s">
        <v>4689</v>
      </c>
      <c r="K443" s="28" t="s">
        <v>1321</v>
      </c>
    </row>
    <row r="444" spans="1:11">
      <c r="A444" s="27">
        <v>442</v>
      </c>
      <c r="B444" s="28" t="s">
        <v>1322</v>
      </c>
      <c r="C444" s="29" t="s">
        <v>3238</v>
      </c>
      <c r="D444" s="29" t="s">
        <v>59</v>
      </c>
      <c r="E444" s="32">
        <v>35298</v>
      </c>
      <c r="F444" s="74">
        <v>46055</v>
      </c>
      <c r="G444" s="30" t="s">
        <v>179</v>
      </c>
      <c r="H444" s="28" t="s">
        <v>36</v>
      </c>
      <c r="I444" s="28" t="s">
        <v>14</v>
      </c>
      <c r="J444" s="28" t="s">
        <v>5024</v>
      </c>
      <c r="K444" s="28" t="s">
        <v>1324</v>
      </c>
    </row>
    <row r="445" spans="1:11">
      <c r="A445" s="27">
        <v>443</v>
      </c>
      <c r="B445" s="28" t="s">
        <v>1325</v>
      </c>
      <c r="C445" s="29" t="s">
        <v>3239</v>
      </c>
      <c r="D445" s="29" t="s">
        <v>59</v>
      </c>
      <c r="E445" s="32">
        <v>35619</v>
      </c>
      <c r="F445" s="74">
        <v>46055</v>
      </c>
      <c r="G445" s="30" t="s">
        <v>179</v>
      </c>
      <c r="H445" s="28" t="s">
        <v>36</v>
      </c>
      <c r="I445" s="28" t="s">
        <v>14</v>
      </c>
      <c r="J445" s="28" t="s">
        <v>4719</v>
      </c>
      <c r="K445" s="28" t="s">
        <v>1327</v>
      </c>
    </row>
    <row r="446" spans="1:11">
      <c r="A446" s="27">
        <v>444</v>
      </c>
      <c r="B446" s="28" t="s">
        <v>1328</v>
      </c>
      <c r="C446" s="29" t="s">
        <v>4166</v>
      </c>
      <c r="D446" s="29" t="s">
        <v>17</v>
      </c>
      <c r="E446" s="32">
        <v>35879</v>
      </c>
      <c r="F446" s="74">
        <v>46055</v>
      </c>
      <c r="G446" s="30" t="s">
        <v>40</v>
      </c>
      <c r="H446" s="28" t="s">
        <v>71</v>
      </c>
      <c r="I446" s="28" t="s">
        <v>42</v>
      </c>
      <c r="J446" s="28" t="s">
        <v>4926</v>
      </c>
      <c r="K446" s="28" t="s">
        <v>1330</v>
      </c>
    </row>
    <row r="447" spans="1:11">
      <c r="A447" s="27">
        <v>445</v>
      </c>
      <c r="B447" s="28" t="s">
        <v>1331</v>
      </c>
      <c r="C447" s="29" t="s">
        <v>4167</v>
      </c>
      <c r="D447" s="29" t="s">
        <v>17</v>
      </c>
      <c r="E447" s="32">
        <v>37580</v>
      </c>
      <c r="F447" s="74">
        <v>46055</v>
      </c>
      <c r="G447" s="30" t="s">
        <v>179</v>
      </c>
      <c r="H447" s="28" t="s">
        <v>36</v>
      </c>
      <c r="I447" s="28" t="s">
        <v>56</v>
      </c>
      <c r="J447" s="28" t="s">
        <v>4505</v>
      </c>
      <c r="K447" s="28" t="s">
        <v>1333</v>
      </c>
    </row>
    <row r="448" spans="1:11">
      <c r="A448" s="27">
        <v>446</v>
      </c>
      <c r="B448" s="28" t="s">
        <v>1334</v>
      </c>
      <c r="C448" s="29" t="s">
        <v>4168</v>
      </c>
      <c r="D448" s="29" t="s">
        <v>17</v>
      </c>
      <c r="E448" s="32">
        <v>31218</v>
      </c>
      <c r="F448" s="74">
        <v>46055</v>
      </c>
      <c r="G448" s="30" t="s">
        <v>85</v>
      </c>
      <c r="H448" s="28" t="s">
        <v>120</v>
      </c>
      <c r="I448" s="28" t="s">
        <v>56</v>
      </c>
      <c r="J448" s="28" t="s">
        <v>5390</v>
      </c>
      <c r="K448" s="28" t="s">
        <v>1336</v>
      </c>
    </row>
    <row r="449" spans="1:11">
      <c r="A449" s="27">
        <v>447</v>
      </c>
      <c r="B449" s="28" t="s">
        <v>1337</v>
      </c>
      <c r="C449" s="29" t="s">
        <v>4169</v>
      </c>
      <c r="D449" s="29" t="s">
        <v>59</v>
      </c>
      <c r="E449" s="32">
        <v>34752</v>
      </c>
      <c r="F449" s="74">
        <v>46055</v>
      </c>
      <c r="G449" s="30" t="s">
        <v>179</v>
      </c>
      <c r="H449" s="28" t="s">
        <v>36</v>
      </c>
      <c r="I449" s="28" t="s">
        <v>14</v>
      </c>
      <c r="J449" s="28" t="s">
        <v>5377</v>
      </c>
      <c r="K449" s="28" t="s">
        <v>1339</v>
      </c>
    </row>
    <row r="450" spans="1:11">
      <c r="A450" s="27">
        <v>448</v>
      </c>
      <c r="B450" s="28" t="s">
        <v>1340</v>
      </c>
      <c r="C450" s="29" t="s">
        <v>3482</v>
      </c>
      <c r="D450" s="29" t="s">
        <v>59</v>
      </c>
      <c r="E450" s="32">
        <v>36971</v>
      </c>
      <c r="F450" s="74">
        <v>46055</v>
      </c>
      <c r="G450" s="30" t="s">
        <v>179</v>
      </c>
      <c r="H450" s="28" t="s">
        <v>36</v>
      </c>
      <c r="I450" s="28" t="s">
        <v>56</v>
      </c>
      <c r="J450" s="28" t="s">
        <v>4933</v>
      </c>
      <c r="K450" s="28" t="s">
        <v>1342</v>
      </c>
    </row>
    <row r="451" spans="1:11">
      <c r="A451" s="27">
        <v>449</v>
      </c>
      <c r="B451" s="28" t="s">
        <v>1343</v>
      </c>
      <c r="C451" s="29" t="s">
        <v>4170</v>
      </c>
      <c r="D451" s="29" t="s">
        <v>17</v>
      </c>
      <c r="E451" s="32">
        <v>36815</v>
      </c>
      <c r="F451" s="74">
        <v>46055</v>
      </c>
      <c r="G451" s="30" t="s">
        <v>85</v>
      </c>
      <c r="H451" s="28" t="s">
        <v>120</v>
      </c>
      <c r="I451" s="28" t="s">
        <v>56</v>
      </c>
      <c r="J451" s="28" t="s">
        <v>4972</v>
      </c>
      <c r="K451" s="28" t="s">
        <v>1345</v>
      </c>
    </row>
    <row r="452" spans="1:11">
      <c r="A452" s="27">
        <v>450</v>
      </c>
      <c r="B452" s="28" t="s">
        <v>3949</v>
      </c>
      <c r="C452" s="29" t="s">
        <v>4171</v>
      </c>
      <c r="D452" s="29" t="s">
        <v>59</v>
      </c>
      <c r="E452" s="32">
        <v>35075</v>
      </c>
      <c r="F452" s="74">
        <v>46055</v>
      </c>
      <c r="G452" s="30" t="s">
        <v>24</v>
      </c>
      <c r="H452" s="28" t="s">
        <v>25</v>
      </c>
      <c r="I452" s="28" t="s">
        <v>56</v>
      </c>
      <c r="J452" s="28" t="s">
        <v>4942</v>
      </c>
      <c r="K452" s="28" t="s">
        <v>1347</v>
      </c>
    </row>
    <row r="453" spans="1:11">
      <c r="A453" s="27">
        <v>451</v>
      </c>
      <c r="B453" s="28" t="s">
        <v>1348</v>
      </c>
      <c r="C453" s="29" t="s">
        <v>4172</v>
      </c>
      <c r="D453" s="29" t="s">
        <v>17</v>
      </c>
      <c r="E453" s="32">
        <v>34349</v>
      </c>
      <c r="F453" s="74">
        <v>46055</v>
      </c>
      <c r="G453" s="30" t="s">
        <v>40</v>
      </c>
      <c r="H453" s="28" t="s">
        <v>71</v>
      </c>
      <c r="I453" s="28" t="s">
        <v>14</v>
      </c>
      <c r="J453" s="28" t="s">
        <v>4755</v>
      </c>
      <c r="K453" s="28" t="s">
        <v>5851</v>
      </c>
    </row>
    <row r="454" spans="1:11">
      <c r="A454" s="27">
        <v>452</v>
      </c>
      <c r="B454" s="28" t="s">
        <v>1351</v>
      </c>
      <c r="C454" s="29" t="s">
        <v>4173</v>
      </c>
      <c r="D454" s="29" t="s">
        <v>59</v>
      </c>
      <c r="E454" s="32">
        <v>31638</v>
      </c>
      <c r="F454" s="74">
        <v>46055</v>
      </c>
      <c r="G454" s="30" t="s">
        <v>24</v>
      </c>
      <c r="H454" s="28" t="s">
        <v>25</v>
      </c>
      <c r="I454" s="28" t="s">
        <v>56</v>
      </c>
      <c r="J454" s="28" t="s">
        <v>4724</v>
      </c>
      <c r="K454" s="28" t="s">
        <v>1353</v>
      </c>
    </row>
    <row r="455" spans="1:11">
      <c r="A455" s="27">
        <v>453</v>
      </c>
      <c r="B455" s="28" t="s">
        <v>1354</v>
      </c>
      <c r="C455" s="29" t="s">
        <v>3370</v>
      </c>
      <c r="D455" s="29" t="s">
        <v>17</v>
      </c>
      <c r="E455" s="32">
        <v>35771</v>
      </c>
      <c r="F455" s="74">
        <v>46055</v>
      </c>
      <c r="G455" s="30" t="s">
        <v>179</v>
      </c>
      <c r="H455" s="28" t="s">
        <v>36</v>
      </c>
      <c r="I455" s="28" t="s">
        <v>42</v>
      </c>
      <c r="J455" s="28" t="s">
        <v>4468</v>
      </c>
      <c r="K455" s="28" t="s">
        <v>1356</v>
      </c>
    </row>
    <row r="456" spans="1:11">
      <c r="A456" s="27">
        <v>454</v>
      </c>
      <c r="B456" s="28" t="s">
        <v>1357</v>
      </c>
      <c r="C456" s="29" t="s">
        <v>4174</v>
      </c>
      <c r="D456" s="29" t="s">
        <v>59</v>
      </c>
      <c r="E456" s="32">
        <v>35542</v>
      </c>
      <c r="F456" s="74">
        <v>46055</v>
      </c>
      <c r="G456" s="30" t="s">
        <v>179</v>
      </c>
      <c r="H456" s="28" t="s">
        <v>36</v>
      </c>
      <c r="I456" s="28" t="s">
        <v>56</v>
      </c>
      <c r="J456" s="28" t="s">
        <v>5247</v>
      </c>
      <c r="K456" s="28" t="s">
        <v>5938</v>
      </c>
    </row>
    <row r="457" spans="1:11">
      <c r="A457" s="27">
        <v>455</v>
      </c>
      <c r="B457" s="28" t="s">
        <v>1360</v>
      </c>
      <c r="C457" s="29" t="s">
        <v>4175</v>
      </c>
      <c r="D457" s="29" t="s">
        <v>17</v>
      </c>
      <c r="E457" s="32">
        <v>31161</v>
      </c>
      <c r="F457" s="74">
        <v>46055</v>
      </c>
      <c r="G457" s="30" t="s">
        <v>85</v>
      </c>
      <c r="H457" s="28" t="s">
        <v>120</v>
      </c>
      <c r="I457" s="28" t="s">
        <v>56</v>
      </c>
      <c r="J457" s="28" t="s">
        <v>5000</v>
      </c>
      <c r="K457" s="28" t="s">
        <v>1362</v>
      </c>
    </row>
    <row r="458" spans="1:11">
      <c r="A458" s="27">
        <v>456</v>
      </c>
      <c r="B458" s="28" t="s">
        <v>1363</v>
      </c>
      <c r="C458" s="29" t="s">
        <v>4176</v>
      </c>
      <c r="D458" s="29" t="s">
        <v>59</v>
      </c>
      <c r="E458" s="32">
        <v>37562</v>
      </c>
      <c r="F458" s="74">
        <v>46055</v>
      </c>
      <c r="G458" s="30" t="s">
        <v>179</v>
      </c>
      <c r="H458" s="28" t="s">
        <v>36</v>
      </c>
      <c r="I458" s="28" t="s">
        <v>14</v>
      </c>
      <c r="J458" s="28" t="s">
        <v>4464</v>
      </c>
      <c r="K458" s="28" t="s">
        <v>1365</v>
      </c>
    </row>
    <row r="459" spans="1:11">
      <c r="A459" s="27">
        <v>457</v>
      </c>
      <c r="B459" s="28" t="s">
        <v>1366</v>
      </c>
      <c r="C459" s="29" t="s">
        <v>3371</v>
      </c>
      <c r="D459" s="29" t="s">
        <v>17</v>
      </c>
      <c r="E459" s="32">
        <v>31107</v>
      </c>
      <c r="F459" s="74">
        <v>46055</v>
      </c>
      <c r="G459" s="30" t="s">
        <v>179</v>
      </c>
      <c r="H459" s="28" t="s">
        <v>36</v>
      </c>
      <c r="I459" s="28" t="s">
        <v>56</v>
      </c>
      <c r="J459" s="28" t="s">
        <v>5203</v>
      </c>
      <c r="K459" s="28" t="s">
        <v>1368</v>
      </c>
    </row>
    <row r="460" spans="1:11">
      <c r="A460" s="27">
        <v>458</v>
      </c>
      <c r="B460" s="28" t="s">
        <v>1369</v>
      </c>
      <c r="C460" s="29" t="s">
        <v>4177</v>
      </c>
      <c r="D460" s="29" t="s">
        <v>17</v>
      </c>
      <c r="E460" s="32">
        <v>31138</v>
      </c>
      <c r="F460" s="74">
        <v>46055</v>
      </c>
      <c r="G460" s="30" t="s">
        <v>85</v>
      </c>
      <c r="H460" s="28" t="s">
        <v>120</v>
      </c>
      <c r="I460" s="28" t="s">
        <v>42</v>
      </c>
      <c r="J460" s="28" t="s">
        <v>4671</v>
      </c>
      <c r="K460" s="28" t="s">
        <v>1371</v>
      </c>
    </row>
    <row r="461" spans="1:11">
      <c r="A461" s="27">
        <v>459</v>
      </c>
      <c r="B461" s="28" t="s">
        <v>1372</v>
      </c>
      <c r="C461" s="29" t="s">
        <v>4178</v>
      </c>
      <c r="D461" s="29" t="s">
        <v>59</v>
      </c>
      <c r="E461" s="32">
        <v>32394</v>
      </c>
      <c r="F461" s="74">
        <v>46055</v>
      </c>
      <c r="G461" s="30" t="s">
        <v>24</v>
      </c>
      <c r="H461" s="28" t="s">
        <v>25</v>
      </c>
      <c r="I461" s="28" t="s">
        <v>56</v>
      </c>
      <c r="J461" s="28" t="s">
        <v>4650</v>
      </c>
      <c r="K461" s="28" t="s">
        <v>1374</v>
      </c>
    </row>
    <row r="462" spans="1:11">
      <c r="A462" s="27">
        <v>460</v>
      </c>
      <c r="B462" s="28" t="s">
        <v>1375</v>
      </c>
      <c r="C462" s="29" t="s">
        <v>3372</v>
      </c>
      <c r="D462" s="29" t="s">
        <v>17</v>
      </c>
      <c r="E462" s="32">
        <v>33609</v>
      </c>
      <c r="F462" s="74">
        <v>46055</v>
      </c>
      <c r="G462" s="30" t="s">
        <v>179</v>
      </c>
      <c r="H462" s="28" t="s">
        <v>36</v>
      </c>
      <c r="I462" s="28" t="s">
        <v>14</v>
      </c>
      <c r="J462" s="28" t="s">
        <v>4980</v>
      </c>
      <c r="K462" s="28" t="s">
        <v>1377</v>
      </c>
    </row>
    <row r="463" spans="1:11">
      <c r="A463" s="27">
        <v>461</v>
      </c>
      <c r="B463" s="28" t="s">
        <v>1378</v>
      </c>
      <c r="C463" s="29" t="s">
        <v>3373</v>
      </c>
      <c r="D463" s="29" t="s">
        <v>17</v>
      </c>
      <c r="E463" s="32">
        <v>37772</v>
      </c>
      <c r="F463" s="74">
        <v>46055</v>
      </c>
      <c r="G463" s="30" t="s">
        <v>179</v>
      </c>
      <c r="H463" s="28" t="s">
        <v>36</v>
      </c>
      <c r="I463" s="28" t="s">
        <v>56</v>
      </c>
      <c r="J463" s="28" t="s">
        <v>5017</v>
      </c>
      <c r="K463" s="28" t="s">
        <v>1380</v>
      </c>
    </row>
    <row r="464" spans="1:11">
      <c r="A464" s="27">
        <v>462</v>
      </c>
      <c r="B464" s="28" t="s">
        <v>1381</v>
      </c>
      <c r="C464" s="29" t="s">
        <v>3483</v>
      </c>
      <c r="D464" s="29" t="s">
        <v>59</v>
      </c>
      <c r="E464" s="32">
        <v>34275</v>
      </c>
      <c r="F464" s="74">
        <v>46055</v>
      </c>
      <c r="G464" s="30" t="s">
        <v>179</v>
      </c>
      <c r="H464" s="28" t="s">
        <v>36</v>
      </c>
      <c r="I464" s="28" t="s">
        <v>14</v>
      </c>
      <c r="J464" s="28" t="s">
        <v>5174</v>
      </c>
      <c r="K464" s="28" t="s">
        <v>1382</v>
      </c>
    </row>
    <row r="465" spans="1:11">
      <c r="A465" s="27">
        <v>463</v>
      </c>
      <c r="B465" s="28" t="s">
        <v>1383</v>
      </c>
      <c r="C465" s="29" t="s">
        <v>4179</v>
      </c>
      <c r="D465" s="29" t="s">
        <v>17</v>
      </c>
      <c r="E465" s="32">
        <v>37015</v>
      </c>
      <c r="F465" s="74">
        <v>46055</v>
      </c>
      <c r="G465" s="30" t="s">
        <v>40</v>
      </c>
      <c r="H465" s="28" t="s">
        <v>71</v>
      </c>
      <c r="I465" s="28" t="s">
        <v>42</v>
      </c>
      <c r="J465" s="28" t="s">
        <v>4617</v>
      </c>
      <c r="K465" s="28" t="s">
        <v>1385</v>
      </c>
    </row>
    <row r="466" spans="1:11">
      <c r="A466" s="27">
        <v>464</v>
      </c>
      <c r="B466" s="28" t="s">
        <v>3950</v>
      </c>
      <c r="C466" s="29" t="s">
        <v>3374</v>
      </c>
      <c r="D466" s="29" t="s">
        <v>17</v>
      </c>
      <c r="E466" s="32">
        <v>35676</v>
      </c>
      <c r="F466" s="74">
        <v>46055</v>
      </c>
      <c r="G466" s="30" t="s">
        <v>179</v>
      </c>
      <c r="H466" s="28" t="s">
        <v>36</v>
      </c>
      <c r="I466" s="28" t="s">
        <v>14</v>
      </c>
      <c r="J466" s="28" t="s">
        <v>5426</v>
      </c>
      <c r="K466" s="28" t="s">
        <v>1387</v>
      </c>
    </row>
    <row r="467" spans="1:11">
      <c r="A467" s="27">
        <v>465</v>
      </c>
      <c r="B467" s="28" t="s">
        <v>1388</v>
      </c>
      <c r="C467" s="29" t="s">
        <v>4180</v>
      </c>
      <c r="D467" s="29" t="s">
        <v>59</v>
      </c>
      <c r="E467" s="32">
        <v>34184</v>
      </c>
      <c r="F467" s="74">
        <v>46055</v>
      </c>
      <c r="G467" s="30" t="s">
        <v>24</v>
      </c>
      <c r="H467" s="28" t="s">
        <v>25</v>
      </c>
      <c r="I467" s="28" t="s">
        <v>56</v>
      </c>
      <c r="J467" s="28" t="s">
        <v>4540</v>
      </c>
      <c r="K467" s="28" t="s">
        <v>5791</v>
      </c>
    </row>
    <row r="468" spans="1:11">
      <c r="A468" s="27">
        <v>466</v>
      </c>
      <c r="B468" s="28" t="s">
        <v>1390</v>
      </c>
      <c r="C468" s="29" t="s">
        <v>4181</v>
      </c>
      <c r="D468" s="29" t="s">
        <v>17</v>
      </c>
      <c r="E468" s="32">
        <v>35387</v>
      </c>
      <c r="F468" s="74">
        <v>46055</v>
      </c>
      <c r="G468" s="30" t="s">
        <v>179</v>
      </c>
      <c r="H468" s="28" t="s">
        <v>36</v>
      </c>
      <c r="I468" s="28" t="s">
        <v>56</v>
      </c>
      <c r="J468" s="28" t="s">
        <v>4552</v>
      </c>
      <c r="K468" s="28" t="s">
        <v>5939</v>
      </c>
    </row>
    <row r="469" spans="1:11">
      <c r="A469" s="27">
        <v>467</v>
      </c>
      <c r="B469" s="28" t="s">
        <v>1393</v>
      </c>
      <c r="C469" s="29" t="s">
        <v>3240</v>
      </c>
      <c r="D469" s="29" t="s">
        <v>59</v>
      </c>
      <c r="E469" s="32">
        <v>37631</v>
      </c>
      <c r="F469" s="74">
        <v>46055</v>
      </c>
      <c r="G469" s="30" t="s">
        <v>179</v>
      </c>
      <c r="H469" s="28" t="s">
        <v>36</v>
      </c>
      <c r="I469" s="28" t="s">
        <v>42</v>
      </c>
      <c r="J469" s="28" t="s">
        <v>4881</v>
      </c>
      <c r="K469" s="28" t="s">
        <v>1395</v>
      </c>
    </row>
    <row r="470" spans="1:11">
      <c r="A470" s="27">
        <v>468</v>
      </c>
      <c r="B470" s="28" t="s">
        <v>1396</v>
      </c>
      <c r="C470" s="29" t="s">
        <v>3241</v>
      </c>
      <c r="D470" s="29" t="s">
        <v>59</v>
      </c>
      <c r="E470" s="32">
        <v>31645</v>
      </c>
      <c r="F470" s="74">
        <v>46055</v>
      </c>
      <c r="G470" s="30" t="s">
        <v>179</v>
      </c>
      <c r="H470" s="28" t="s">
        <v>36</v>
      </c>
      <c r="I470" s="28" t="s">
        <v>56</v>
      </c>
      <c r="J470" s="28" t="s">
        <v>5301</v>
      </c>
      <c r="K470" s="28" t="s">
        <v>1398</v>
      </c>
    </row>
    <row r="471" spans="1:11">
      <c r="A471" s="27">
        <v>469</v>
      </c>
      <c r="B471" s="28" t="s">
        <v>1399</v>
      </c>
      <c r="C471" s="29" t="s">
        <v>4182</v>
      </c>
      <c r="D471" s="29" t="s">
        <v>17</v>
      </c>
      <c r="E471" s="32">
        <v>35084</v>
      </c>
      <c r="F471" s="74">
        <v>46055</v>
      </c>
      <c r="G471" s="30" t="s">
        <v>85</v>
      </c>
      <c r="H471" s="28" t="s">
        <v>120</v>
      </c>
      <c r="I471" s="28" t="s">
        <v>42</v>
      </c>
      <c r="J471" s="28" t="s">
        <v>4483</v>
      </c>
      <c r="K471" s="28" t="s">
        <v>1401</v>
      </c>
    </row>
    <row r="472" spans="1:11">
      <c r="A472" s="27">
        <v>470</v>
      </c>
      <c r="B472" s="28" t="s">
        <v>1402</v>
      </c>
      <c r="C472" s="29" t="s">
        <v>4183</v>
      </c>
      <c r="D472" s="29" t="s">
        <v>59</v>
      </c>
      <c r="E472" s="32">
        <v>33127</v>
      </c>
      <c r="F472" s="74">
        <v>46055</v>
      </c>
      <c r="G472" s="30" t="s">
        <v>179</v>
      </c>
      <c r="H472" s="28" t="s">
        <v>36</v>
      </c>
      <c r="I472" s="28" t="s">
        <v>14</v>
      </c>
      <c r="J472" s="28" t="s">
        <v>4534</v>
      </c>
      <c r="K472" s="28" t="s">
        <v>5855</v>
      </c>
    </row>
    <row r="473" spans="1:11">
      <c r="A473" s="27">
        <v>471</v>
      </c>
      <c r="B473" s="28" t="s">
        <v>1405</v>
      </c>
      <c r="C473" s="29" t="s">
        <v>4184</v>
      </c>
      <c r="D473" s="29" t="s">
        <v>59</v>
      </c>
      <c r="E473" s="32">
        <v>34871</v>
      </c>
      <c r="F473" s="74">
        <v>46055</v>
      </c>
      <c r="G473" s="30" t="s">
        <v>179</v>
      </c>
      <c r="H473" s="28" t="s">
        <v>36</v>
      </c>
      <c r="I473" s="28" t="s">
        <v>14</v>
      </c>
      <c r="J473" s="28" t="s">
        <v>4907</v>
      </c>
      <c r="K473" s="28" t="s">
        <v>1407</v>
      </c>
    </row>
    <row r="474" spans="1:11">
      <c r="A474" s="27">
        <v>472</v>
      </c>
      <c r="B474" s="28" t="s">
        <v>1408</v>
      </c>
      <c r="C474" s="29" t="s">
        <v>3375</v>
      </c>
      <c r="D474" s="29" t="s">
        <v>17</v>
      </c>
      <c r="E474" s="32">
        <v>32233</v>
      </c>
      <c r="F474" s="74">
        <v>46055</v>
      </c>
      <c r="G474" s="30" t="s">
        <v>179</v>
      </c>
      <c r="H474" s="28" t="s">
        <v>36</v>
      </c>
      <c r="I474" s="28" t="s">
        <v>56</v>
      </c>
      <c r="J474" s="28" t="s">
        <v>4469</v>
      </c>
      <c r="K474" s="28" t="s">
        <v>1410</v>
      </c>
    </row>
    <row r="475" spans="1:11">
      <c r="A475" s="27">
        <v>473</v>
      </c>
      <c r="B475" s="28" t="s">
        <v>1411</v>
      </c>
      <c r="C475" s="29" t="s">
        <v>4185</v>
      </c>
      <c r="D475" s="29" t="s">
        <v>17</v>
      </c>
      <c r="E475" s="32">
        <v>33784</v>
      </c>
      <c r="F475" s="74">
        <v>46055</v>
      </c>
      <c r="G475" s="30" t="s">
        <v>85</v>
      </c>
      <c r="H475" s="28" t="s">
        <v>120</v>
      </c>
      <c r="I475" s="28" t="s">
        <v>14</v>
      </c>
      <c r="J475" s="28" t="s">
        <v>4785</v>
      </c>
      <c r="K475" s="28" t="s">
        <v>1413</v>
      </c>
    </row>
    <row r="476" spans="1:11">
      <c r="A476" s="27">
        <v>474</v>
      </c>
      <c r="B476" s="28" t="s">
        <v>1414</v>
      </c>
      <c r="C476" s="29" t="s">
        <v>4186</v>
      </c>
      <c r="D476" s="29" t="s">
        <v>59</v>
      </c>
      <c r="E476" s="32">
        <v>36204</v>
      </c>
      <c r="F476" s="74">
        <v>46055</v>
      </c>
      <c r="G476" s="30" t="s">
        <v>179</v>
      </c>
      <c r="H476" s="28" t="s">
        <v>36</v>
      </c>
      <c r="I476" s="28" t="s">
        <v>14</v>
      </c>
      <c r="J476" s="28" t="s">
        <v>4626</v>
      </c>
      <c r="K476" s="28" t="s">
        <v>1416</v>
      </c>
    </row>
    <row r="477" spans="1:11">
      <c r="A477" s="27">
        <v>475</v>
      </c>
      <c r="B477" s="28" t="s">
        <v>1417</v>
      </c>
      <c r="C477" s="29" t="s">
        <v>4187</v>
      </c>
      <c r="D477" s="29" t="s">
        <v>17</v>
      </c>
      <c r="E477" s="32">
        <v>33771</v>
      </c>
      <c r="F477" s="74">
        <v>46055</v>
      </c>
      <c r="G477" s="30" t="s">
        <v>24</v>
      </c>
      <c r="H477" s="28" t="s">
        <v>25</v>
      </c>
      <c r="I477" s="28" t="s">
        <v>14</v>
      </c>
      <c r="J477" s="28" t="s">
        <v>4744</v>
      </c>
      <c r="K477" s="28" t="s">
        <v>5816</v>
      </c>
    </row>
    <row r="478" spans="1:11">
      <c r="A478" s="27">
        <v>476</v>
      </c>
      <c r="B478" s="28" t="s">
        <v>1419</v>
      </c>
      <c r="C478" s="29" t="s">
        <v>3376</v>
      </c>
      <c r="D478" s="29" t="s">
        <v>17</v>
      </c>
      <c r="E478" s="32">
        <v>37038</v>
      </c>
      <c r="F478" s="74">
        <v>46055</v>
      </c>
      <c r="G478" s="30" t="s">
        <v>179</v>
      </c>
      <c r="H478" s="28" t="s">
        <v>36</v>
      </c>
      <c r="I478" s="28" t="s">
        <v>14</v>
      </c>
      <c r="J478" s="28" t="s">
        <v>4753</v>
      </c>
      <c r="K478" s="28" t="s">
        <v>5883</v>
      </c>
    </row>
    <row r="479" spans="1:11">
      <c r="A479" s="27">
        <v>477</v>
      </c>
      <c r="B479" s="28" t="s">
        <v>1422</v>
      </c>
      <c r="C479" s="29" t="s">
        <v>3484</v>
      </c>
      <c r="D479" s="29" t="s">
        <v>59</v>
      </c>
      <c r="E479" s="32">
        <v>33165</v>
      </c>
      <c r="F479" s="74">
        <v>46055</v>
      </c>
      <c r="G479" s="30" t="s">
        <v>179</v>
      </c>
      <c r="H479" s="28" t="s">
        <v>36</v>
      </c>
      <c r="I479" s="28" t="s">
        <v>56</v>
      </c>
      <c r="J479" s="28" t="s">
        <v>4929</v>
      </c>
      <c r="K479" s="28" t="s">
        <v>1424</v>
      </c>
    </row>
    <row r="480" spans="1:11">
      <c r="A480" s="27">
        <v>478</v>
      </c>
      <c r="B480" s="28" t="s">
        <v>1425</v>
      </c>
      <c r="C480" s="29" t="s">
        <v>4188</v>
      </c>
      <c r="D480" s="29" t="s">
        <v>59</v>
      </c>
      <c r="E480" s="32">
        <v>35774</v>
      </c>
      <c r="F480" s="74">
        <v>46055</v>
      </c>
      <c r="G480" s="30" t="s">
        <v>179</v>
      </c>
      <c r="H480" s="28" t="s">
        <v>36</v>
      </c>
      <c r="I480" s="28" t="s">
        <v>14</v>
      </c>
      <c r="J480" s="28" t="s">
        <v>5172</v>
      </c>
      <c r="K480" s="28" t="s">
        <v>1427</v>
      </c>
    </row>
    <row r="481" spans="1:11">
      <c r="A481" s="27">
        <v>479</v>
      </c>
      <c r="B481" s="28" t="s">
        <v>1428</v>
      </c>
      <c r="C481" s="29" t="s">
        <v>3377</v>
      </c>
      <c r="D481" s="29" t="s">
        <v>17</v>
      </c>
      <c r="E481" s="32">
        <v>31202</v>
      </c>
      <c r="F481" s="74">
        <v>46055</v>
      </c>
      <c r="G481" s="30" t="s">
        <v>179</v>
      </c>
      <c r="H481" s="28" t="s">
        <v>36</v>
      </c>
      <c r="I481" s="28" t="s">
        <v>56</v>
      </c>
      <c r="J481" s="28" t="s">
        <v>4692</v>
      </c>
      <c r="K481" s="28" t="s">
        <v>1430</v>
      </c>
    </row>
    <row r="482" spans="1:11">
      <c r="A482" s="27">
        <v>480</v>
      </c>
      <c r="B482" s="28" t="s">
        <v>1431</v>
      </c>
      <c r="C482" s="29" t="s">
        <v>3242</v>
      </c>
      <c r="D482" s="29" t="s">
        <v>59</v>
      </c>
      <c r="E482" s="32">
        <v>35345</v>
      </c>
      <c r="F482" s="74">
        <v>46055</v>
      </c>
      <c r="G482" s="30" t="s">
        <v>179</v>
      </c>
      <c r="H482" s="28" t="s">
        <v>36</v>
      </c>
      <c r="I482" s="28" t="s">
        <v>14</v>
      </c>
      <c r="J482" s="28" t="s">
        <v>4607</v>
      </c>
      <c r="K482" s="28" t="s">
        <v>1433</v>
      </c>
    </row>
    <row r="483" spans="1:11">
      <c r="A483" s="27">
        <v>481</v>
      </c>
      <c r="B483" s="28" t="s">
        <v>1434</v>
      </c>
      <c r="C483" s="29" t="s">
        <v>4189</v>
      </c>
      <c r="D483" s="29" t="s">
        <v>59</v>
      </c>
      <c r="E483" s="32">
        <v>34077</v>
      </c>
      <c r="F483" s="74">
        <v>46055</v>
      </c>
      <c r="G483" s="30" t="s">
        <v>179</v>
      </c>
      <c r="H483" s="28" t="s">
        <v>36</v>
      </c>
      <c r="I483" s="28" t="s">
        <v>14</v>
      </c>
      <c r="J483" s="28" t="s">
        <v>4820</v>
      </c>
      <c r="K483" s="28" t="s">
        <v>1436</v>
      </c>
    </row>
    <row r="484" spans="1:11">
      <c r="A484" s="27">
        <v>482</v>
      </c>
      <c r="B484" s="28" t="s">
        <v>1437</v>
      </c>
      <c r="C484" s="29" t="s">
        <v>4190</v>
      </c>
      <c r="D484" s="29" t="s">
        <v>17</v>
      </c>
      <c r="E484" s="32">
        <v>32707</v>
      </c>
      <c r="F484" s="74">
        <v>46055</v>
      </c>
      <c r="G484" s="30" t="s">
        <v>85</v>
      </c>
      <c r="H484" s="28" t="s">
        <v>120</v>
      </c>
      <c r="I484" s="28" t="s">
        <v>42</v>
      </c>
      <c r="J484" s="28" t="s">
        <v>5122</v>
      </c>
      <c r="K484" s="28" t="s">
        <v>1439</v>
      </c>
    </row>
    <row r="485" spans="1:11">
      <c r="A485" s="27">
        <v>483</v>
      </c>
      <c r="B485" s="28" t="s">
        <v>1440</v>
      </c>
      <c r="C485" s="29" t="s">
        <v>3617</v>
      </c>
      <c r="D485" s="29" t="s">
        <v>59</v>
      </c>
      <c r="E485" s="32">
        <v>34863</v>
      </c>
      <c r="F485" s="74">
        <v>46055</v>
      </c>
      <c r="G485" s="30" t="s">
        <v>179</v>
      </c>
      <c r="H485" s="28" t="s">
        <v>36</v>
      </c>
      <c r="I485" s="28" t="s">
        <v>42</v>
      </c>
      <c r="J485" s="28" t="s">
        <v>4658</v>
      </c>
      <c r="K485" s="28" t="s">
        <v>1442</v>
      </c>
    </row>
    <row r="486" spans="1:11">
      <c r="A486" s="27">
        <v>484</v>
      </c>
      <c r="B486" s="28" t="s">
        <v>1443</v>
      </c>
      <c r="C486" s="29" t="s">
        <v>4191</v>
      </c>
      <c r="D486" s="29" t="s">
        <v>59</v>
      </c>
      <c r="E486" s="32">
        <v>37399</v>
      </c>
      <c r="F486" s="74">
        <v>46055</v>
      </c>
      <c r="G486" s="30" t="s">
        <v>179</v>
      </c>
      <c r="H486" s="28" t="s">
        <v>36</v>
      </c>
      <c r="I486" s="28" t="s">
        <v>14</v>
      </c>
      <c r="J486" s="28" t="s">
        <v>4910</v>
      </c>
      <c r="K486" s="28" t="s">
        <v>1445</v>
      </c>
    </row>
    <row r="487" spans="1:11">
      <c r="A487" s="27">
        <v>485</v>
      </c>
      <c r="B487" s="28" t="s">
        <v>1446</v>
      </c>
      <c r="C487" s="29" t="s">
        <v>4192</v>
      </c>
      <c r="D487" s="29" t="s">
        <v>17</v>
      </c>
      <c r="E487" s="32">
        <v>31145</v>
      </c>
      <c r="F487" s="74">
        <v>46055</v>
      </c>
      <c r="G487" s="30" t="s">
        <v>85</v>
      </c>
      <c r="H487" s="28" t="s">
        <v>120</v>
      </c>
      <c r="I487" s="28" t="s">
        <v>14</v>
      </c>
      <c r="J487" s="28" t="s">
        <v>5133</v>
      </c>
      <c r="K487" s="28" t="s">
        <v>1448</v>
      </c>
    </row>
    <row r="488" spans="1:11">
      <c r="A488" s="27">
        <v>486</v>
      </c>
      <c r="B488" s="28" t="s">
        <v>1449</v>
      </c>
      <c r="C488" s="29" t="s">
        <v>4193</v>
      </c>
      <c r="D488" s="29" t="s">
        <v>59</v>
      </c>
      <c r="E488" s="32">
        <v>36785</v>
      </c>
      <c r="F488" s="74">
        <v>46055</v>
      </c>
      <c r="G488" s="30" t="s">
        <v>179</v>
      </c>
      <c r="H488" s="28" t="s">
        <v>36</v>
      </c>
      <c r="I488" s="28" t="s">
        <v>14</v>
      </c>
      <c r="J488" s="28" t="s">
        <v>5278</v>
      </c>
      <c r="K488" s="28" t="s">
        <v>1451</v>
      </c>
    </row>
    <row r="489" spans="1:11">
      <c r="A489" s="27">
        <v>487</v>
      </c>
      <c r="B489" s="28" t="s">
        <v>1452</v>
      </c>
      <c r="C489" s="29" t="s">
        <v>4194</v>
      </c>
      <c r="D489" s="29" t="s">
        <v>59</v>
      </c>
      <c r="E489" s="32">
        <v>36769</v>
      </c>
      <c r="F489" s="74">
        <v>46055</v>
      </c>
      <c r="G489" s="30" t="s">
        <v>24</v>
      </c>
      <c r="H489" s="28" t="s">
        <v>25</v>
      </c>
      <c r="I489" s="28" t="s">
        <v>56</v>
      </c>
      <c r="J489" s="28" t="s">
        <v>4641</v>
      </c>
      <c r="K489" s="28" t="s">
        <v>1454</v>
      </c>
    </row>
    <row r="490" spans="1:11">
      <c r="A490" s="27">
        <v>488</v>
      </c>
      <c r="B490" s="28" t="s">
        <v>1455</v>
      </c>
      <c r="C490" s="29" t="s">
        <v>4195</v>
      </c>
      <c r="D490" s="29" t="s">
        <v>59</v>
      </c>
      <c r="E490" s="32">
        <v>31895</v>
      </c>
      <c r="F490" s="74">
        <v>46055</v>
      </c>
      <c r="G490" s="30" t="s">
        <v>179</v>
      </c>
      <c r="H490" s="28" t="s">
        <v>36</v>
      </c>
      <c r="I490" s="28" t="s">
        <v>14</v>
      </c>
      <c r="J490" s="28" t="s">
        <v>4685</v>
      </c>
      <c r="K490" s="28" t="s">
        <v>1457</v>
      </c>
    </row>
    <row r="491" spans="1:11">
      <c r="A491" s="27">
        <v>489</v>
      </c>
      <c r="B491" s="28" t="s">
        <v>1458</v>
      </c>
      <c r="C491" s="29" t="s">
        <v>4196</v>
      </c>
      <c r="D491" s="29" t="s">
        <v>17</v>
      </c>
      <c r="E491" s="32">
        <v>33702</v>
      </c>
      <c r="F491" s="74">
        <v>46055</v>
      </c>
      <c r="G491" s="30" t="s">
        <v>40</v>
      </c>
      <c r="H491" s="28" t="s">
        <v>71</v>
      </c>
      <c r="I491" s="28" t="s">
        <v>14</v>
      </c>
      <c r="J491" s="28" t="s">
        <v>5208</v>
      </c>
      <c r="K491" s="28" t="s">
        <v>1460</v>
      </c>
    </row>
    <row r="492" spans="1:11">
      <c r="A492" s="27">
        <v>490</v>
      </c>
      <c r="B492" s="28" t="s">
        <v>1461</v>
      </c>
      <c r="C492" s="29" t="s">
        <v>4197</v>
      </c>
      <c r="D492" s="29" t="s">
        <v>59</v>
      </c>
      <c r="E492" s="32">
        <v>34520</v>
      </c>
      <c r="F492" s="74">
        <v>46055</v>
      </c>
      <c r="G492" s="30" t="s">
        <v>24</v>
      </c>
      <c r="H492" s="28" t="s">
        <v>25</v>
      </c>
      <c r="I492" s="28" t="s">
        <v>14</v>
      </c>
      <c r="J492" s="28" t="s">
        <v>4885</v>
      </c>
      <c r="K492" s="28" t="s">
        <v>1463</v>
      </c>
    </row>
    <row r="493" spans="1:11">
      <c r="A493" s="27">
        <v>491</v>
      </c>
      <c r="B493" s="28" t="s">
        <v>1464</v>
      </c>
      <c r="C493" s="29" t="s">
        <v>3378</v>
      </c>
      <c r="D493" s="29" t="s">
        <v>17</v>
      </c>
      <c r="E493" s="32">
        <v>37694</v>
      </c>
      <c r="F493" s="74">
        <v>46055</v>
      </c>
      <c r="G493" s="30" t="s">
        <v>179</v>
      </c>
      <c r="H493" s="28" t="s">
        <v>36</v>
      </c>
      <c r="I493" s="28" t="s">
        <v>56</v>
      </c>
      <c r="J493" s="28" t="s">
        <v>4517</v>
      </c>
      <c r="K493" s="28" t="s">
        <v>1466</v>
      </c>
    </row>
    <row r="494" spans="1:11">
      <c r="A494" s="27">
        <v>492</v>
      </c>
      <c r="B494" s="28" t="s">
        <v>1467</v>
      </c>
      <c r="C494" s="29" t="s">
        <v>4198</v>
      </c>
      <c r="D494" s="29" t="s">
        <v>17</v>
      </c>
      <c r="E494" s="32">
        <v>31410</v>
      </c>
      <c r="F494" s="74">
        <v>46055</v>
      </c>
      <c r="G494" s="30" t="s">
        <v>85</v>
      </c>
      <c r="H494" s="28" t="s">
        <v>120</v>
      </c>
      <c r="I494" s="28" t="s">
        <v>14</v>
      </c>
      <c r="J494" s="28" t="s">
        <v>4495</v>
      </c>
      <c r="K494" s="28" t="s">
        <v>5891</v>
      </c>
    </row>
    <row r="495" spans="1:11">
      <c r="A495" s="27">
        <v>493</v>
      </c>
      <c r="B495" s="28" t="s">
        <v>1470</v>
      </c>
      <c r="C495" s="29" t="s">
        <v>3618</v>
      </c>
      <c r="D495" s="29" t="s">
        <v>59</v>
      </c>
      <c r="E495" s="32">
        <v>36946</v>
      </c>
      <c r="F495" s="74">
        <v>46055</v>
      </c>
      <c r="G495" s="30" t="s">
        <v>179</v>
      </c>
      <c r="H495" s="28" t="s">
        <v>36</v>
      </c>
      <c r="I495" s="28" t="s">
        <v>14</v>
      </c>
      <c r="J495" s="28" t="s">
        <v>5245</v>
      </c>
      <c r="K495" s="28" t="s">
        <v>1472</v>
      </c>
    </row>
    <row r="496" spans="1:11">
      <c r="A496" s="27">
        <v>494</v>
      </c>
      <c r="B496" s="28" t="s">
        <v>1473</v>
      </c>
      <c r="C496" s="29" t="s">
        <v>4199</v>
      </c>
      <c r="D496" s="29" t="s">
        <v>17</v>
      </c>
      <c r="E496" s="32">
        <v>32891</v>
      </c>
      <c r="F496" s="74">
        <v>46055</v>
      </c>
      <c r="G496" s="30" t="s">
        <v>85</v>
      </c>
      <c r="H496" s="28" t="s">
        <v>120</v>
      </c>
      <c r="I496" s="28" t="s">
        <v>42</v>
      </c>
      <c r="J496" s="28" t="s">
        <v>4478</v>
      </c>
      <c r="K496" s="28" t="s">
        <v>5934</v>
      </c>
    </row>
    <row r="497" spans="1:11">
      <c r="A497" s="27">
        <v>495</v>
      </c>
      <c r="B497" s="28" t="s">
        <v>1476</v>
      </c>
      <c r="C497" s="29" t="s">
        <v>3379</v>
      </c>
      <c r="D497" s="29" t="s">
        <v>17</v>
      </c>
      <c r="E497" s="32">
        <v>32157</v>
      </c>
      <c r="F497" s="74">
        <v>46055</v>
      </c>
      <c r="G497" s="30" t="s">
        <v>179</v>
      </c>
      <c r="H497" s="28" t="s">
        <v>36</v>
      </c>
      <c r="I497" s="28" t="s">
        <v>42</v>
      </c>
      <c r="J497" s="28" t="s">
        <v>5214</v>
      </c>
      <c r="K497" s="28" t="s">
        <v>1478</v>
      </c>
    </row>
    <row r="498" spans="1:11">
      <c r="A498" s="27">
        <v>496</v>
      </c>
      <c r="B498" s="28" t="s">
        <v>1479</v>
      </c>
      <c r="C498" s="29" t="s">
        <v>3380</v>
      </c>
      <c r="D498" s="29" t="s">
        <v>17</v>
      </c>
      <c r="E498" s="32">
        <v>36272</v>
      </c>
      <c r="F498" s="74">
        <v>46055</v>
      </c>
      <c r="G498" s="30" t="s">
        <v>179</v>
      </c>
      <c r="H498" s="28" t="s">
        <v>36</v>
      </c>
      <c r="I498" s="28" t="s">
        <v>42</v>
      </c>
      <c r="J498" s="28" t="s">
        <v>5196</v>
      </c>
      <c r="K498" s="28" t="s">
        <v>1481</v>
      </c>
    </row>
    <row r="499" spans="1:11">
      <c r="A499" s="27">
        <v>497</v>
      </c>
      <c r="B499" s="28" t="s">
        <v>1482</v>
      </c>
      <c r="C499" s="29" t="s">
        <v>4200</v>
      </c>
      <c r="D499" s="29" t="s">
        <v>17</v>
      </c>
      <c r="E499" s="32">
        <v>36554</v>
      </c>
      <c r="F499" s="74">
        <v>46055</v>
      </c>
      <c r="G499" s="30" t="s">
        <v>85</v>
      </c>
      <c r="H499" s="28" t="s">
        <v>120</v>
      </c>
      <c r="I499" s="28" t="s">
        <v>14</v>
      </c>
      <c r="J499" s="28" t="s">
        <v>5056</v>
      </c>
      <c r="K499" s="28" t="s">
        <v>1484</v>
      </c>
    </row>
    <row r="500" spans="1:11">
      <c r="A500" s="27">
        <v>498</v>
      </c>
      <c r="B500" s="28" t="s">
        <v>1485</v>
      </c>
      <c r="C500" s="29" t="s">
        <v>3243</v>
      </c>
      <c r="D500" s="29" t="s">
        <v>59</v>
      </c>
      <c r="E500" s="32">
        <v>33299</v>
      </c>
      <c r="F500" s="74">
        <v>46055</v>
      </c>
      <c r="G500" s="30" t="s">
        <v>179</v>
      </c>
      <c r="H500" s="28" t="s">
        <v>36</v>
      </c>
      <c r="I500" s="28" t="s">
        <v>14</v>
      </c>
      <c r="J500" s="28" t="s">
        <v>5244</v>
      </c>
      <c r="K500" s="28" t="s">
        <v>1487</v>
      </c>
    </row>
    <row r="501" spans="1:11">
      <c r="A501" s="27">
        <v>499</v>
      </c>
      <c r="B501" s="28" t="s">
        <v>1488</v>
      </c>
      <c r="C501" s="29" t="s">
        <v>3560</v>
      </c>
      <c r="D501" s="29" t="s">
        <v>17</v>
      </c>
      <c r="E501" s="32">
        <v>31636</v>
      </c>
      <c r="F501" s="74">
        <v>46055</v>
      </c>
      <c r="G501" s="30" t="s">
        <v>179</v>
      </c>
      <c r="H501" s="28" t="s">
        <v>36</v>
      </c>
      <c r="I501" s="28" t="s">
        <v>14</v>
      </c>
      <c r="J501" s="28" t="s">
        <v>4950</v>
      </c>
      <c r="K501" s="28" t="s">
        <v>5882</v>
      </c>
    </row>
    <row r="502" spans="1:11">
      <c r="A502" s="27">
        <v>500</v>
      </c>
      <c r="B502" s="28" t="s">
        <v>1491</v>
      </c>
      <c r="C502" s="29" t="s">
        <v>4201</v>
      </c>
      <c r="D502" s="29" t="s">
        <v>17</v>
      </c>
      <c r="E502" s="32">
        <v>36123</v>
      </c>
      <c r="F502" s="74">
        <v>46055</v>
      </c>
      <c r="G502" s="30" t="s">
        <v>85</v>
      </c>
      <c r="H502" s="28" t="s">
        <v>120</v>
      </c>
      <c r="I502" s="28" t="s">
        <v>14</v>
      </c>
      <c r="J502" s="28" t="s">
        <v>4860</v>
      </c>
      <c r="K502" s="28" t="s">
        <v>1492</v>
      </c>
    </row>
    <row r="503" spans="1:11">
      <c r="A503" s="27">
        <v>501</v>
      </c>
      <c r="B503" s="28" t="s">
        <v>1493</v>
      </c>
      <c r="C503" s="29" t="s">
        <v>4202</v>
      </c>
      <c r="D503" s="29" t="s">
        <v>59</v>
      </c>
      <c r="E503" s="32">
        <v>34578</v>
      </c>
      <c r="F503" s="74">
        <v>46055</v>
      </c>
      <c r="G503" s="30" t="s">
        <v>179</v>
      </c>
      <c r="H503" s="28" t="s">
        <v>36</v>
      </c>
      <c r="I503" s="28" t="s">
        <v>14</v>
      </c>
      <c r="J503" s="28" t="s">
        <v>5191</v>
      </c>
      <c r="K503" s="28" t="s">
        <v>1495</v>
      </c>
    </row>
    <row r="504" spans="1:11">
      <c r="A504" s="27">
        <v>502</v>
      </c>
      <c r="B504" s="28" t="s">
        <v>1496</v>
      </c>
      <c r="C504" s="29" t="s">
        <v>3244</v>
      </c>
      <c r="D504" s="29" t="s">
        <v>59</v>
      </c>
      <c r="E504" s="32">
        <v>35230</v>
      </c>
      <c r="F504" s="74">
        <v>46055</v>
      </c>
      <c r="G504" s="30" t="s">
        <v>179</v>
      </c>
      <c r="H504" s="28" t="s">
        <v>36</v>
      </c>
      <c r="I504" s="28" t="s">
        <v>56</v>
      </c>
      <c r="J504" s="28" t="s">
        <v>4925</v>
      </c>
      <c r="K504" s="28" t="s">
        <v>1497</v>
      </c>
    </row>
    <row r="505" spans="1:11">
      <c r="A505" s="27">
        <v>503</v>
      </c>
      <c r="B505" s="28" t="s">
        <v>1498</v>
      </c>
      <c r="C505" s="29" t="s">
        <v>3485</v>
      </c>
      <c r="D505" s="29" t="s">
        <v>59</v>
      </c>
      <c r="E505" s="32">
        <v>36325</v>
      </c>
      <c r="F505" s="74">
        <v>46055</v>
      </c>
      <c r="G505" s="30" t="s">
        <v>179</v>
      </c>
      <c r="H505" s="28" t="s">
        <v>36</v>
      </c>
      <c r="I505" s="28" t="s">
        <v>14</v>
      </c>
      <c r="J505" s="28" t="s">
        <v>5285</v>
      </c>
      <c r="K505" s="28" t="s">
        <v>1500</v>
      </c>
    </row>
    <row r="506" spans="1:11">
      <c r="A506" s="27">
        <v>504</v>
      </c>
      <c r="B506" s="28" t="s">
        <v>1501</v>
      </c>
      <c r="C506" s="29" t="s">
        <v>4203</v>
      </c>
      <c r="D506" s="29" t="s">
        <v>59</v>
      </c>
      <c r="E506" s="32">
        <v>33542</v>
      </c>
      <c r="F506" s="74">
        <v>46055</v>
      </c>
      <c r="G506" s="30" t="s">
        <v>179</v>
      </c>
      <c r="H506" s="28" t="s">
        <v>36</v>
      </c>
      <c r="I506" s="28" t="s">
        <v>14</v>
      </c>
      <c r="J506" s="28" t="s">
        <v>5134</v>
      </c>
      <c r="K506" s="28" t="s">
        <v>5864</v>
      </c>
    </row>
    <row r="507" spans="1:11">
      <c r="A507" s="27">
        <v>505</v>
      </c>
      <c r="B507" s="28" t="s">
        <v>1504</v>
      </c>
      <c r="C507" s="29" t="s">
        <v>4204</v>
      </c>
      <c r="D507" s="29" t="s">
        <v>17</v>
      </c>
      <c r="E507" s="32">
        <v>35400</v>
      </c>
      <c r="F507" s="74">
        <v>46055</v>
      </c>
      <c r="G507" s="30" t="s">
        <v>40</v>
      </c>
      <c r="H507" s="28" t="s">
        <v>71</v>
      </c>
      <c r="I507" s="28" t="s">
        <v>14</v>
      </c>
      <c r="J507" s="28" t="s">
        <v>4609</v>
      </c>
      <c r="K507" s="28" t="s">
        <v>1506</v>
      </c>
    </row>
    <row r="508" spans="1:11">
      <c r="A508" s="27">
        <v>506</v>
      </c>
      <c r="B508" s="28" t="s">
        <v>1507</v>
      </c>
      <c r="C508" s="29" t="s">
        <v>3619</v>
      </c>
      <c r="D508" s="29" t="s">
        <v>59</v>
      </c>
      <c r="E508" s="32">
        <v>37554</v>
      </c>
      <c r="F508" s="74">
        <v>46055</v>
      </c>
      <c r="G508" s="30" t="s">
        <v>179</v>
      </c>
      <c r="H508" s="28" t="s">
        <v>36</v>
      </c>
      <c r="I508" s="28" t="s">
        <v>42</v>
      </c>
      <c r="J508" s="28" t="s">
        <v>5058</v>
      </c>
      <c r="K508" s="28" t="s">
        <v>1508</v>
      </c>
    </row>
    <row r="509" spans="1:11">
      <c r="A509" s="27">
        <v>507</v>
      </c>
      <c r="B509" s="28" t="s">
        <v>1509</v>
      </c>
      <c r="C509" s="29" t="s">
        <v>3620</v>
      </c>
      <c r="D509" s="29" t="s">
        <v>59</v>
      </c>
      <c r="E509" s="32">
        <v>31786</v>
      </c>
      <c r="F509" s="74">
        <v>46055</v>
      </c>
      <c r="G509" s="30" t="s">
        <v>179</v>
      </c>
      <c r="H509" s="28" t="s">
        <v>36</v>
      </c>
      <c r="I509" s="28" t="s">
        <v>14</v>
      </c>
      <c r="J509" s="28" t="s">
        <v>5030</v>
      </c>
      <c r="K509" s="28" t="s">
        <v>5822</v>
      </c>
    </row>
    <row r="510" spans="1:11">
      <c r="A510" s="27">
        <v>508</v>
      </c>
      <c r="B510" s="28" t="s">
        <v>1511</v>
      </c>
      <c r="C510" s="29" t="s">
        <v>3305</v>
      </c>
      <c r="D510" s="29" t="s">
        <v>59</v>
      </c>
      <c r="E510" s="32">
        <v>31121</v>
      </c>
      <c r="F510" s="74">
        <v>46055</v>
      </c>
      <c r="G510" s="30" t="s">
        <v>172</v>
      </c>
      <c r="H510" s="28" t="s">
        <v>62</v>
      </c>
      <c r="I510" s="28" t="s">
        <v>56</v>
      </c>
      <c r="J510" s="28" t="s">
        <v>5153</v>
      </c>
      <c r="K510" s="28" t="s">
        <v>1513</v>
      </c>
    </row>
    <row r="511" spans="1:11">
      <c r="A511" s="27">
        <v>509</v>
      </c>
      <c r="B511" s="28" t="s">
        <v>1514</v>
      </c>
      <c r="C511" s="29" t="s">
        <v>3621</v>
      </c>
      <c r="D511" s="29" t="s">
        <v>59</v>
      </c>
      <c r="E511" s="32">
        <v>36456</v>
      </c>
      <c r="F511" s="74">
        <v>46055</v>
      </c>
      <c r="G511" s="30" t="s">
        <v>179</v>
      </c>
      <c r="H511" s="28" t="s">
        <v>36</v>
      </c>
      <c r="I511" s="28" t="s">
        <v>14</v>
      </c>
      <c r="J511" s="28" t="s">
        <v>5249</v>
      </c>
      <c r="K511" s="28" t="s">
        <v>1516</v>
      </c>
    </row>
    <row r="512" spans="1:11">
      <c r="A512" s="27">
        <v>510</v>
      </c>
      <c r="B512" s="28" t="s">
        <v>1517</v>
      </c>
      <c r="C512" s="29" t="s">
        <v>4205</v>
      </c>
      <c r="D512" s="29" t="s">
        <v>59</v>
      </c>
      <c r="E512" s="32">
        <v>31659</v>
      </c>
      <c r="F512" s="74">
        <v>46055</v>
      </c>
      <c r="G512" s="30" t="s">
        <v>24</v>
      </c>
      <c r="H512" s="28" t="s">
        <v>25</v>
      </c>
      <c r="I512" s="28" t="s">
        <v>56</v>
      </c>
      <c r="J512" s="28" t="s">
        <v>5160</v>
      </c>
      <c r="K512" s="28" t="s">
        <v>1519</v>
      </c>
    </row>
    <row r="513" spans="1:11">
      <c r="A513" s="27">
        <v>511</v>
      </c>
      <c r="B513" s="28" t="s">
        <v>1520</v>
      </c>
      <c r="C513" s="29" t="s">
        <v>4206</v>
      </c>
      <c r="D513" s="29" t="s">
        <v>17</v>
      </c>
      <c r="E513" s="32">
        <v>36363</v>
      </c>
      <c r="F513" s="74">
        <v>46055</v>
      </c>
      <c r="G513" s="30" t="s">
        <v>85</v>
      </c>
      <c r="H513" s="28" t="s">
        <v>120</v>
      </c>
      <c r="I513" s="28" t="s">
        <v>14</v>
      </c>
      <c r="J513" s="28" t="s">
        <v>5014</v>
      </c>
      <c r="K513" s="28" t="s">
        <v>1522</v>
      </c>
    </row>
    <row r="514" spans="1:11">
      <c r="A514" s="27">
        <v>512</v>
      </c>
      <c r="B514" s="28" t="s">
        <v>1523</v>
      </c>
      <c r="C514" s="29" t="s">
        <v>4207</v>
      </c>
      <c r="D514" s="29" t="s">
        <v>59</v>
      </c>
      <c r="E514" s="32">
        <v>37315</v>
      </c>
      <c r="F514" s="74">
        <v>46055</v>
      </c>
      <c r="G514" s="30" t="s">
        <v>24</v>
      </c>
      <c r="H514" s="28" t="s">
        <v>25</v>
      </c>
      <c r="I514" s="28" t="s">
        <v>14</v>
      </c>
      <c r="J514" s="28" t="s">
        <v>4745</v>
      </c>
      <c r="K514" s="28" t="s">
        <v>1525</v>
      </c>
    </row>
    <row r="515" spans="1:11">
      <c r="A515" s="27">
        <v>513</v>
      </c>
      <c r="B515" s="28" t="s">
        <v>1526</v>
      </c>
      <c r="C515" s="29" t="s">
        <v>3622</v>
      </c>
      <c r="D515" s="29" t="s">
        <v>59</v>
      </c>
      <c r="E515" s="32">
        <v>33799</v>
      </c>
      <c r="F515" s="74">
        <v>46055</v>
      </c>
      <c r="G515" s="30" t="s">
        <v>179</v>
      </c>
      <c r="H515" s="28" t="s">
        <v>36</v>
      </c>
      <c r="I515" s="28" t="s">
        <v>42</v>
      </c>
      <c r="J515" s="28" t="s">
        <v>5407</v>
      </c>
      <c r="K515" s="28" t="s">
        <v>1528</v>
      </c>
    </row>
    <row r="516" spans="1:11">
      <c r="A516" s="27">
        <v>514</v>
      </c>
      <c r="B516" s="28" t="s">
        <v>1529</v>
      </c>
      <c r="C516" s="29" t="s">
        <v>3381</v>
      </c>
      <c r="D516" s="29" t="s">
        <v>17</v>
      </c>
      <c r="E516" s="32">
        <v>31365</v>
      </c>
      <c r="F516" s="74">
        <v>46055</v>
      </c>
      <c r="G516" s="30" t="s">
        <v>179</v>
      </c>
      <c r="H516" s="28" t="s">
        <v>36</v>
      </c>
      <c r="I516" s="28" t="s">
        <v>14</v>
      </c>
      <c r="J516" s="28" t="s">
        <v>5158</v>
      </c>
      <c r="K516" s="28" t="s">
        <v>1530</v>
      </c>
    </row>
    <row r="517" spans="1:11">
      <c r="A517" s="27">
        <v>515</v>
      </c>
      <c r="B517" s="28" t="s">
        <v>1531</v>
      </c>
      <c r="C517" s="29" t="s">
        <v>3245</v>
      </c>
      <c r="D517" s="29" t="s">
        <v>59</v>
      </c>
      <c r="E517" s="32">
        <v>33505</v>
      </c>
      <c r="F517" s="74">
        <v>46055</v>
      </c>
      <c r="G517" s="30" t="s">
        <v>179</v>
      </c>
      <c r="H517" s="28" t="s">
        <v>36</v>
      </c>
      <c r="I517" s="28" t="s">
        <v>14</v>
      </c>
      <c r="J517" s="28" t="s">
        <v>5065</v>
      </c>
      <c r="K517" s="28" t="s">
        <v>5854</v>
      </c>
    </row>
    <row r="518" spans="1:11">
      <c r="A518" s="27">
        <v>516</v>
      </c>
      <c r="B518" s="28" t="s">
        <v>1534</v>
      </c>
      <c r="C518" s="29" t="s">
        <v>4208</v>
      </c>
      <c r="D518" s="29" t="s">
        <v>59</v>
      </c>
      <c r="E518" s="32">
        <v>36794</v>
      </c>
      <c r="F518" s="74">
        <v>46055</v>
      </c>
      <c r="G518" s="30" t="s">
        <v>24</v>
      </c>
      <c r="H518" s="28" t="s">
        <v>25</v>
      </c>
      <c r="I518" s="28" t="s">
        <v>56</v>
      </c>
      <c r="J518" s="28" t="s">
        <v>5114</v>
      </c>
      <c r="K518" s="28" t="s">
        <v>1536</v>
      </c>
    </row>
    <row r="519" spans="1:11">
      <c r="A519" s="27">
        <v>517</v>
      </c>
      <c r="B519" s="28" t="s">
        <v>1537</v>
      </c>
      <c r="C519" s="29" t="s">
        <v>4209</v>
      </c>
      <c r="D519" s="29" t="s">
        <v>17</v>
      </c>
      <c r="E519" s="32">
        <v>31082</v>
      </c>
      <c r="F519" s="74">
        <v>46055</v>
      </c>
      <c r="G519" s="30" t="s">
        <v>179</v>
      </c>
      <c r="H519" s="28" t="s">
        <v>36</v>
      </c>
      <c r="I519" s="28" t="s">
        <v>14</v>
      </c>
      <c r="J519" s="28" t="s">
        <v>5348</v>
      </c>
      <c r="K519" s="28" t="s">
        <v>1539</v>
      </c>
    </row>
    <row r="520" spans="1:11">
      <c r="A520" s="27">
        <v>518</v>
      </c>
      <c r="B520" s="28" t="s">
        <v>1540</v>
      </c>
      <c r="C520" s="29" t="s">
        <v>3486</v>
      </c>
      <c r="D520" s="29" t="s">
        <v>59</v>
      </c>
      <c r="E520" s="32">
        <v>33836</v>
      </c>
      <c r="F520" s="74">
        <v>46055</v>
      </c>
      <c r="G520" s="30" t="s">
        <v>179</v>
      </c>
      <c r="H520" s="28" t="s">
        <v>36</v>
      </c>
      <c r="I520" s="28" t="s">
        <v>42</v>
      </c>
      <c r="J520" s="28" t="s">
        <v>4663</v>
      </c>
      <c r="K520" s="28" t="s">
        <v>5923</v>
      </c>
    </row>
    <row r="521" spans="1:11">
      <c r="A521" s="27">
        <v>519</v>
      </c>
      <c r="B521" s="28" t="s">
        <v>1543</v>
      </c>
      <c r="C521" s="29" t="s">
        <v>3487</v>
      </c>
      <c r="D521" s="29" t="s">
        <v>59</v>
      </c>
      <c r="E521" s="32">
        <v>36334</v>
      </c>
      <c r="F521" s="74">
        <v>46055</v>
      </c>
      <c r="G521" s="30" t="s">
        <v>179</v>
      </c>
      <c r="H521" s="28" t="s">
        <v>36</v>
      </c>
      <c r="I521" s="28" t="s">
        <v>14</v>
      </c>
      <c r="J521" s="28" t="s">
        <v>4698</v>
      </c>
      <c r="K521" s="28" t="s">
        <v>1545</v>
      </c>
    </row>
    <row r="522" spans="1:11">
      <c r="A522" s="27">
        <v>520</v>
      </c>
      <c r="B522" s="28" t="s">
        <v>1546</v>
      </c>
      <c r="C522" s="29" t="s">
        <v>4210</v>
      </c>
      <c r="D522" s="29" t="s">
        <v>17</v>
      </c>
      <c r="E522" s="32">
        <v>37351</v>
      </c>
      <c r="F522" s="74">
        <v>46055</v>
      </c>
      <c r="G522" s="30" t="s">
        <v>40</v>
      </c>
      <c r="H522" s="28" t="s">
        <v>71</v>
      </c>
      <c r="I522" s="28" t="s">
        <v>14</v>
      </c>
      <c r="J522" s="28" t="s">
        <v>4545</v>
      </c>
      <c r="K522" s="28" t="s">
        <v>1548</v>
      </c>
    </row>
    <row r="523" spans="1:11">
      <c r="A523" s="27">
        <v>521</v>
      </c>
      <c r="B523" s="28" t="s">
        <v>1549</v>
      </c>
      <c r="C523" s="29" t="s">
        <v>3488</v>
      </c>
      <c r="D523" s="29" t="s">
        <v>59</v>
      </c>
      <c r="E523" s="32">
        <v>31695</v>
      </c>
      <c r="F523" s="74">
        <v>46055</v>
      </c>
      <c r="G523" s="30" t="s">
        <v>179</v>
      </c>
      <c r="H523" s="28" t="s">
        <v>36</v>
      </c>
      <c r="I523" s="28" t="s">
        <v>42</v>
      </c>
      <c r="J523" s="28" t="s">
        <v>4721</v>
      </c>
      <c r="K523" s="28" t="s">
        <v>1551</v>
      </c>
    </row>
    <row r="524" spans="1:11">
      <c r="A524" s="27">
        <v>522</v>
      </c>
      <c r="B524" s="28" t="s">
        <v>1552</v>
      </c>
      <c r="C524" s="29" t="s">
        <v>4211</v>
      </c>
      <c r="D524" s="29" t="s">
        <v>59</v>
      </c>
      <c r="E524" s="32">
        <v>35616</v>
      </c>
      <c r="F524" s="74">
        <v>46055</v>
      </c>
      <c r="G524" s="30" t="s">
        <v>24</v>
      </c>
      <c r="H524" s="28" t="s">
        <v>25</v>
      </c>
      <c r="I524" s="28" t="s">
        <v>56</v>
      </c>
      <c r="J524" s="28" t="s">
        <v>5282</v>
      </c>
      <c r="K524" s="28" t="s">
        <v>1554</v>
      </c>
    </row>
    <row r="525" spans="1:11">
      <c r="A525" s="27">
        <v>523</v>
      </c>
      <c r="B525" s="28" t="s">
        <v>1555</v>
      </c>
      <c r="C525" s="29" t="s">
        <v>4212</v>
      </c>
      <c r="D525" s="29" t="s">
        <v>17</v>
      </c>
      <c r="E525" s="32">
        <v>32047</v>
      </c>
      <c r="F525" s="74">
        <v>46055</v>
      </c>
      <c r="G525" s="30" t="s">
        <v>179</v>
      </c>
      <c r="H525" s="28" t="s">
        <v>36</v>
      </c>
      <c r="I525" s="28" t="s">
        <v>56</v>
      </c>
      <c r="J525" s="28" t="s">
        <v>4527</v>
      </c>
      <c r="K525" s="28" t="s">
        <v>5794</v>
      </c>
    </row>
    <row r="526" spans="1:11">
      <c r="A526" s="27">
        <v>524</v>
      </c>
      <c r="B526" s="28" t="s">
        <v>1557</v>
      </c>
      <c r="C526" s="29" t="s">
        <v>3382</v>
      </c>
      <c r="D526" s="29" t="s">
        <v>17</v>
      </c>
      <c r="E526" s="32">
        <v>31655</v>
      </c>
      <c r="F526" s="74">
        <v>46055</v>
      </c>
      <c r="G526" s="30" t="s">
        <v>179</v>
      </c>
      <c r="H526" s="28" t="s">
        <v>36</v>
      </c>
      <c r="I526" s="28" t="s">
        <v>56</v>
      </c>
      <c r="J526" s="28" t="s">
        <v>4982</v>
      </c>
      <c r="K526" s="28" t="s">
        <v>5790</v>
      </c>
    </row>
    <row r="527" spans="1:11">
      <c r="A527" s="27">
        <v>525</v>
      </c>
      <c r="B527" s="28" t="s">
        <v>1559</v>
      </c>
      <c r="C527" s="29" t="s">
        <v>3489</v>
      </c>
      <c r="D527" s="29" t="s">
        <v>59</v>
      </c>
      <c r="E527" s="32">
        <v>35154</v>
      </c>
      <c r="F527" s="74">
        <v>46055</v>
      </c>
      <c r="G527" s="30" t="s">
        <v>179</v>
      </c>
      <c r="H527" s="28" t="s">
        <v>36</v>
      </c>
      <c r="I527" s="28" t="s">
        <v>42</v>
      </c>
      <c r="J527" s="28" t="s">
        <v>5352</v>
      </c>
      <c r="K527" s="28" t="s">
        <v>1561</v>
      </c>
    </row>
    <row r="528" spans="1:11">
      <c r="A528" s="27">
        <v>526</v>
      </c>
      <c r="B528" s="28" t="s">
        <v>1562</v>
      </c>
      <c r="C528" s="29" t="s">
        <v>3490</v>
      </c>
      <c r="D528" s="29" t="s">
        <v>17</v>
      </c>
      <c r="E528" s="32">
        <v>33152</v>
      </c>
      <c r="F528" s="74">
        <v>46055</v>
      </c>
      <c r="G528" s="30" t="s">
        <v>179</v>
      </c>
      <c r="H528" s="28" t="s">
        <v>36</v>
      </c>
      <c r="I528" s="28" t="s">
        <v>42</v>
      </c>
      <c r="J528" s="28" t="s">
        <v>5149</v>
      </c>
      <c r="K528" s="28" t="s">
        <v>5896</v>
      </c>
    </row>
    <row r="529" spans="1:11">
      <c r="A529" s="27">
        <v>527</v>
      </c>
      <c r="B529" s="28" t="s">
        <v>1565</v>
      </c>
      <c r="C529" s="29" t="s">
        <v>3383</v>
      </c>
      <c r="D529" s="29" t="s">
        <v>17</v>
      </c>
      <c r="E529" s="32">
        <v>37389</v>
      </c>
      <c r="F529" s="74">
        <v>46055</v>
      </c>
      <c r="G529" s="30" t="s">
        <v>179</v>
      </c>
      <c r="H529" s="28" t="s">
        <v>36</v>
      </c>
      <c r="I529" s="28" t="s">
        <v>56</v>
      </c>
      <c r="J529" s="28" t="s">
        <v>4675</v>
      </c>
      <c r="K529" s="28" t="s">
        <v>1567</v>
      </c>
    </row>
    <row r="530" spans="1:11">
      <c r="A530" s="27">
        <v>528</v>
      </c>
      <c r="B530" s="28" t="s">
        <v>1568</v>
      </c>
      <c r="C530" s="29" t="s">
        <v>3623</v>
      </c>
      <c r="D530" s="29" t="s">
        <v>59</v>
      </c>
      <c r="E530" s="32">
        <v>33627</v>
      </c>
      <c r="F530" s="74">
        <v>46055</v>
      </c>
      <c r="G530" s="30" t="s">
        <v>179</v>
      </c>
      <c r="H530" s="28" t="s">
        <v>36</v>
      </c>
      <c r="I530" s="28" t="s">
        <v>14</v>
      </c>
      <c r="J530" s="28" t="s">
        <v>5287</v>
      </c>
      <c r="K530" s="28" t="s">
        <v>1570</v>
      </c>
    </row>
    <row r="531" spans="1:11">
      <c r="A531" s="27">
        <v>529</v>
      </c>
      <c r="B531" s="28" t="s">
        <v>1571</v>
      </c>
      <c r="C531" s="29" t="s">
        <v>4213</v>
      </c>
      <c r="D531" s="29" t="s">
        <v>59</v>
      </c>
      <c r="E531" s="32">
        <v>34204</v>
      </c>
      <c r="F531" s="74">
        <v>46055</v>
      </c>
      <c r="G531" s="30" t="s">
        <v>179</v>
      </c>
      <c r="H531" s="28" t="s">
        <v>36</v>
      </c>
      <c r="I531" s="28" t="s">
        <v>14</v>
      </c>
      <c r="J531" s="28" t="s">
        <v>5087</v>
      </c>
      <c r="K531" s="28" t="s">
        <v>5902</v>
      </c>
    </row>
    <row r="532" spans="1:11">
      <c r="A532" s="27">
        <v>530</v>
      </c>
      <c r="B532" s="28" t="s">
        <v>1574</v>
      </c>
      <c r="C532" s="29" t="s">
        <v>4214</v>
      </c>
      <c r="D532" s="29" t="s">
        <v>59</v>
      </c>
      <c r="E532" s="32">
        <v>31222</v>
      </c>
      <c r="F532" s="74">
        <v>46055</v>
      </c>
      <c r="G532" s="30" t="s">
        <v>24</v>
      </c>
      <c r="H532" s="28" t="s">
        <v>25</v>
      </c>
      <c r="I532" s="28" t="s">
        <v>14</v>
      </c>
      <c r="J532" s="28" t="s">
        <v>5091</v>
      </c>
      <c r="K532" s="28" t="s">
        <v>1576</v>
      </c>
    </row>
    <row r="533" spans="1:11">
      <c r="A533" s="27">
        <v>531</v>
      </c>
      <c r="B533" s="28" t="s">
        <v>1577</v>
      </c>
      <c r="C533" s="29" t="s">
        <v>4215</v>
      </c>
      <c r="D533" s="29" t="s">
        <v>59</v>
      </c>
      <c r="E533" s="32">
        <v>33888</v>
      </c>
      <c r="F533" s="74">
        <v>46055</v>
      </c>
      <c r="G533" s="30" t="s">
        <v>179</v>
      </c>
      <c r="H533" s="28" t="s">
        <v>36</v>
      </c>
      <c r="I533" s="28" t="s">
        <v>14</v>
      </c>
      <c r="J533" s="28" t="s">
        <v>4895</v>
      </c>
      <c r="K533" s="28" t="s">
        <v>1578</v>
      </c>
    </row>
    <row r="534" spans="1:11">
      <c r="A534" s="27">
        <v>532</v>
      </c>
      <c r="B534" s="28" t="s">
        <v>1579</v>
      </c>
      <c r="C534" s="29" t="s">
        <v>4216</v>
      </c>
      <c r="D534" s="29" t="s">
        <v>17</v>
      </c>
      <c r="E534" s="32">
        <v>33751</v>
      </c>
      <c r="F534" s="74">
        <v>46055</v>
      </c>
      <c r="G534" s="30" t="s">
        <v>40</v>
      </c>
      <c r="H534" s="28" t="s">
        <v>71</v>
      </c>
      <c r="I534" s="28" t="s">
        <v>14</v>
      </c>
      <c r="J534" s="28" t="s">
        <v>4506</v>
      </c>
      <c r="K534" s="28" t="s">
        <v>5819</v>
      </c>
    </row>
    <row r="535" spans="1:11">
      <c r="A535" s="27">
        <v>533</v>
      </c>
      <c r="B535" s="28" t="s">
        <v>1581</v>
      </c>
      <c r="C535" s="29" t="s">
        <v>3246</v>
      </c>
      <c r="D535" s="29" t="s">
        <v>59</v>
      </c>
      <c r="E535" s="32">
        <v>35435</v>
      </c>
      <c r="F535" s="74">
        <v>46055</v>
      </c>
      <c r="G535" s="30" t="s">
        <v>179</v>
      </c>
      <c r="H535" s="28" t="s">
        <v>36</v>
      </c>
      <c r="I535" s="28" t="s">
        <v>42</v>
      </c>
      <c r="J535" s="28" t="s">
        <v>5274</v>
      </c>
      <c r="K535" s="28" t="s">
        <v>1583</v>
      </c>
    </row>
    <row r="536" spans="1:11">
      <c r="A536" s="27">
        <v>534</v>
      </c>
      <c r="B536" s="28" t="s">
        <v>1584</v>
      </c>
      <c r="C536" s="29" t="s">
        <v>3384</v>
      </c>
      <c r="D536" s="29" t="s">
        <v>17</v>
      </c>
      <c r="E536" s="32">
        <v>34349</v>
      </c>
      <c r="F536" s="74">
        <v>46055</v>
      </c>
      <c r="G536" s="30" t="s">
        <v>179</v>
      </c>
      <c r="H536" s="28" t="s">
        <v>36</v>
      </c>
      <c r="I536" s="28" t="s">
        <v>14</v>
      </c>
      <c r="J536" s="28" t="s">
        <v>4666</v>
      </c>
      <c r="K536" s="28" t="s">
        <v>1585</v>
      </c>
    </row>
    <row r="537" spans="1:11">
      <c r="A537" s="27">
        <v>535</v>
      </c>
      <c r="B537" s="28" t="s">
        <v>1586</v>
      </c>
      <c r="C537" s="29" t="s">
        <v>4217</v>
      </c>
      <c r="D537" s="29" t="s">
        <v>17</v>
      </c>
      <c r="E537" s="32">
        <v>32209</v>
      </c>
      <c r="F537" s="74">
        <v>46055</v>
      </c>
      <c r="G537" s="30" t="s">
        <v>85</v>
      </c>
      <c r="H537" s="28" t="s">
        <v>120</v>
      </c>
      <c r="I537" s="28" t="s">
        <v>56</v>
      </c>
      <c r="J537" s="28" t="s">
        <v>5225</v>
      </c>
      <c r="K537" s="28" t="s">
        <v>1588</v>
      </c>
    </row>
    <row r="538" spans="1:11">
      <c r="A538" s="27">
        <v>536</v>
      </c>
      <c r="B538" s="28" t="s">
        <v>1589</v>
      </c>
      <c r="C538" s="29" t="s">
        <v>4218</v>
      </c>
      <c r="D538" s="29" t="s">
        <v>17</v>
      </c>
      <c r="E538" s="32">
        <v>32311</v>
      </c>
      <c r="F538" s="74">
        <v>46055</v>
      </c>
      <c r="G538" s="30" t="s">
        <v>85</v>
      </c>
      <c r="H538" s="28" t="s">
        <v>120</v>
      </c>
      <c r="I538" s="28" t="s">
        <v>42</v>
      </c>
      <c r="J538" s="28" t="s">
        <v>5001</v>
      </c>
      <c r="K538" s="28" t="s">
        <v>1591</v>
      </c>
    </row>
    <row r="539" spans="1:11">
      <c r="A539" s="27">
        <v>537</v>
      </c>
      <c r="B539" s="28" t="s">
        <v>1592</v>
      </c>
      <c r="C539" s="29" t="s">
        <v>3385</v>
      </c>
      <c r="D539" s="29" t="s">
        <v>17</v>
      </c>
      <c r="E539" s="32">
        <v>35825</v>
      </c>
      <c r="F539" s="74">
        <v>46055</v>
      </c>
      <c r="G539" s="30" t="s">
        <v>179</v>
      </c>
      <c r="H539" s="28" t="s">
        <v>36</v>
      </c>
      <c r="I539" s="28" t="s">
        <v>14</v>
      </c>
      <c r="J539" s="28" t="s">
        <v>4759</v>
      </c>
      <c r="K539" s="28" t="s">
        <v>1594</v>
      </c>
    </row>
    <row r="540" spans="1:11">
      <c r="A540" s="27">
        <v>538</v>
      </c>
      <c r="B540" s="28" t="s">
        <v>1595</v>
      </c>
      <c r="C540" s="29" t="s">
        <v>3491</v>
      </c>
      <c r="D540" s="29" t="s">
        <v>59</v>
      </c>
      <c r="E540" s="32">
        <v>34567</v>
      </c>
      <c r="F540" s="74">
        <v>46055</v>
      </c>
      <c r="G540" s="30" t="s">
        <v>179</v>
      </c>
      <c r="H540" s="28" t="s">
        <v>36</v>
      </c>
      <c r="I540" s="28" t="s">
        <v>56</v>
      </c>
      <c r="J540" s="28" t="s">
        <v>4939</v>
      </c>
      <c r="K540" s="28" t="s">
        <v>1597</v>
      </c>
    </row>
    <row r="541" spans="1:11">
      <c r="A541" s="27">
        <v>539</v>
      </c>
      <c r="B541" s="28" t="s">
        <v>1598</v>
      </c>
      <c r="C541" s="29" t="s">
        <v>3386</v>
      </c>
      <c r="D541" s="29" t="s">
        <v>17</v>
      </c>
      <c r="E541" s="32">
        <v>34605</v>
      </c>
      <c r="F541" s="74">
        <v>46055</v>
      </c>
      <c r="G541" s="30" t="s">
        <v>179</v>
      </c>
      <c r="H541" s="28" t="s">
        <v>36</v>
      </c>
      <c r="I541" s="28" t="s">
        <v>42</v>
      </c>
      <c r="J541" s="28" t="s">
        <v>4646</v>
      </c>
      <c r="K541" s="28" t="s">
        <v>5872</v>
      </c>
    </row>
    <row r="542" spans="1:11">
      <c r="A542" s="27">
        <v>540</v>
      </c>
      <c r="B542" s="28" t="s">
        <v>1601</v>
      </c>
      <c r="C542" s="29" t="s">
        <v>4219</v>
      </c>
      <c r="D542" s="29" t="s">
        <v>17</v>
      </c>
      <c r="E542" s="32">
        <v>31686</v>
      </c>
      <c r="F542" s="74">
        <v>46055</v>
      </c>
      <c r="G542" s="30" t="s">
        <v>85</v>
      </c>
      <c r="H542" s="28" t="s">
        <v>120</v>
      </c>
      <c r="I542" s="28" t="s">
        <v>42</v>
      </c>
      <c r="J542" s="28" t="s">
        <v>4550</v>
      </c>
      <c r="K542" s="28" t="s">
        <v>1603</v>
      </c>
    </row>
    <row r="543" spans="1:11">
      <c r="A543" s="27">
        <v>541</v>
      </c>
      <c r="B543" s="28" t="s">
        <v>1604</v>
      </c>
      <c r="C543" s="29" t="s">
        <v>3247</v>
      </c>
      <c r="D543" s="29" t="s">
        <v>59</v>
      </c>
      <c r="E543" s="32">
        <v>34459</v>
      </c>
      <c r="F543" s="74">
        <v>46055</v>
      </c>
      <c r="G543" s="30" t="s">
        <v>179</v>
      </c>
      <c r="H543" s="28" t="s">
        <v>36</v>
      </c>
      <c r="I543" s="28" t="s">
        <v>14</v>
      </c>
      <c r="J543" s="28" t="s">
        <v>5255</v>
      </c>
      <c r="K543" s="28" t="s">
        <v>5832</v>
      </c>
    </row>
    <row r="544" spans="1:11">
      <c r="A544" s="27">
        <v>542</v>
      </c>
      <c r="B544" s="28" t="s">
        <v>1606</v>
      </c>
      <c r="C544" s="29" t="s">
        <v>4220</v>
      </c>
      <c r="D544" s="29" t="s">
        <v>17</v>
      </c>
      <c r="E544" s="32">
        <v>36024</v>
      </c>
      <c r="F544" s="74">
        <v>46055</v>
      </c>
      <c r="G544" s="30" t="s">
        <v>85</v>
      </c>
      <c r="H544" s="28" t="s">
        <v>120</v>
      </c>
      <c r="I544" s="28" t="s">
        <v>56</v>
      </c>
      <c r="J544" s="28" t="s">
        <v>4614</v>
      </c>
      <c r="K544" s="28" t="s">
        <v>1608</v>
      </c>
    </row>
    <row r="545" spans="1:11">
      <c r="A545" s="27">
        <v>543</v>
      </c>
      <c r="B545" s="28" t="s">
        <v>1609</v>
      </c>
      <c r="C545" s="29" t="s">
        <v>3518</v>
      </c>
      <c r="D545" s="29" t="s">
        <v>59</v>
      </c>
      <c r="E545" s="32">
        <v>33028</v>
      </c>
      <c r="F545" s="74">
        <v>46055</v>
      </c>
      <c r="G545" s="30" t="s">
        <v>179</v>
      </c>
      <c r="H545" s="28" t="s">
        <v>36</v>
      </c>
      <c r="I545" s="28" t="s">
        <v>42</v>
      </c>
      <c r="J545" s="28" t="s">
        <v>4561</v>
      </c>
      <c r="K545" s="28" t="s">
        <v>1611</v>
      </c>
    </row>
    <row r="546" spans="1:11">
      <c r="A546" s="27">
        <v>544</v>
      </c>
      <c r="B546" s="28" t="s">
        <v>1612</v>
      </c>
      <c r="C546" s="29" t="s">
        <v>4221</v>
      </c>
      <c r="D546" s="29" t="s">
        <v>17</v>
      </c>
      <c r="E546" s="32">
        <v>31574</v>
      </c>
      <c r="F546" s="74">
        <v>46055</v>
      </c>
      <c r="G546" s="30" t="s">
        <v>179</v>
      </c>
      <c r="H546" s="28" t="s">
        <v>36</v>
      </c>
      <c r="I546" s="28" t="s">
        <v>56</v>
      </c>
      <c r="J546" s="28" t="s">
        <v>4476</v>
      </c>
      <c r="K546" s="28" t="s">
        <v>1613</v>
      </c>
    </row>
    <row r="547" spans="1:11">
      <c r="A547" s="27">
        <v>545</v>
      </c>
      <c r="B547" s="28" t="s">
        <v>1614</v>
      </c>
      <c r="C547" s="29" t="s">
        <v>4222</v>
      </c>
      <c r="D547" s="29" t="s">
        <v>59</v>
      </c>
      <c r="E547" s="32">
        <v>31233</v>
      </c>
      <c r="F547" s="74">
        <v>46055</v>
      </c>
      <c r="G547" s="30" t="s">
        <v>24</v>
      </c>
      <c r="H547" s="28" t="s">
        <v>25</v>
      </c>
      <c r="I547" s="28" t="s">
        <v>56</v>
      </c>
      <c r="J547" s="28" t="s">
        <v>4530</v>
      </c>
      <c r="K547" s="28" t="s">
        <v>1616</v>
      </c>
    </row>
    <row r="548" spans="1:11">
      <c r="A548" s="27">
        <v>546</v>
      </c>
      <c r="B548" s="28" t="s">
        <v>1617</v>
      </c>
      <c r="C548" s="29" t="s">
        <v>4223</v>
      </c>
      <c r="D548" s="29" t="s">
        <v>17</v>
      </c>
      <c r="E548" s="32">
        <v>36853</v>
      </c>
      <c r="F548" s="74">
        <v>46055</v>
      </c>
      <c r="G548" s="30" t="s">
        <v>40</v>
      </c>
      <c r="H548" s="28" t="s">
        <v>71</v>
      </c>
      <c r="I548" s="28" t="s">
        <v>14</v>
      </c>
      <c r="J548" s="28" t="s">
        <v>4470</v>
      </c>
      <c r="K548" s="28" t="s">
        <v>1619</v>
      </c>
    </row>
    <row r="549" spans="1:11">
      <c r="A549" s="27">
        <v>547</v>
      </c>
      <c r="B549" s="28" t="s">
        <v>1620</v>
      </c>
      <c r="C549" s="29" t="s">
        <v>4224</v>
      </c>
      <c r="D549" s="29" t="s">
        <v>59</v>
      </c>
      <c r="E549" s="32">
        <v>34084</v>
      </c>
      <c r="F549" s="74">
        <v>46055</v>
      </c>
      <c r="G549" s="30" t="s">
        <v>24</v>
      </c>
      <c r="H549" s="28" t="s">
        <v>25</v>
      </c>
      <c r="I549" s="28" t="s">
        <v>56</v>
      </c>
      <c r="J549" s="28" t="s">
        <v>5183</v>
      </c>
      <c r="K549" s="28" t="s">
        <v>1622</v>
      </c>
    </row>
    <row r="550" spans="1:11">
      <c r="A550" s="27">
        <v>548</v>
      </c>
      <c r="B550" s="28" t="s">
        <v>1623</v>
      </c>
      <c r="C550" s="29" t="s">
        <v>3387</v>
      </c>
      <c r="D550" s="29" t="s">
        <v>17</v>
      </c>
      <c r="E550" s="32">
        <v>35411</v>
      </c>
      <c r="F550" s="74">
        <v>46055</v>
      </c>
      <c r="G550" s="30" t="s">
        <v>179</v>
      </c>
      <c r="H550" s="28" t="s">
        <v>36</v>
      </c>
      <c r="I550" s="28" t="s">
        <v>14</v>
      </c>
      <c r="J550" s="28" t="s">
        <v>4796</v>
      </c>
      <c r="K550" s="28" t="s">
        <v>1625</v>
      </c>
    </row>
    <row r="551" spans="1:11">
      <c r="A551" s="27">
        <v>549</v>
      </c>
      <c r="B551" s="28" t="s">
        <v>1626</v>
      </c>
      <c r="C551" s="29" t="s">
        <v>3248</v>
      </c>
      <c r="D551" s="29" t="s">
        <v>59</v>
      </c>
      <c r="E551" s="32">
        <v>37700</v>
      </c>
      <c r="F551" s="74">
        <v>46055</v>
      </c>
      <c r="G551" s="30" t="s">
        <v>179</v>
      </c>
      <c r="H551" s="28" t="s">
        <v>36</v>
      </c>
      <c r="I551" s="28" t="s">
        <v>56</v>
      </c>
      <c r="J551" s="28" t="s">
        <v>5083</v>
      </c>
      <c r="K551" s="28" t="s">
        <v>1628</v>
      </c>
    </row>
    <row r="552" spans="1:11">
      <c r="A552" s="27">
        <v>550</v>
      </c>
      <c r="B552" s="28" t="s">
        <v>1629</v>
      </c>
      <c r="C552" s="29" t="s">
        <v>4225</v>
      </c>
      <c r="D552" s="29" t="s">
        <v>17</v>
      </c>
      <c r="E552" s="32">
        <v>34299</v>
      </c>
      <c r="F552" s="74">
        <v>46055</v>
      </c>
      <c r="G552" s="30" t="s">
        <v>40</v>
      </c>
      <c r="H552" s="28" t="s">
        <v>71</v>
      </c>
      <c r="I552" s="28" t="s">
        <v>14</v>
      </c>
      <c r="J552" s="28" t="s">
        <v>4845</v>
      </c>
      <c r="K552" s="28" t="s">
        <v>5895</v>
      </c>
    </row>
    <row r="553" spans="1:11">
      <c r="A553" s="27">
        <v>551</v>
      </c>
      <c r="B553" s="28" t="s">
        <v>1632</v>
      </c>
      <c r="C553" s="29" t="s">
        <v>4226</v>
      </c>
      <c r="D553" s="29" t="s">
        <v>59</v>
      </c>
      <c r="E553" s="32">
        <v>31150</v>
      </c>
      <c r="F553" s="74">
        <v>46055</v>
      </c>
      <c r="G553" s="30" t="s">
        <v>179</v>
      </c>
      <c r="H553" s="28" t="s">
        <v>36</v>
      </c>
      <c r="I553" s="28" t="s">
        <v>14</v>
      </c>
      <c r="J553" s="28" t="s">
        <v>4801</v>
      </c>
      <c r="K553" s="28" t="s">
        <v>1634</v>
      </c>
    </row>
    <row r="554" spans="1:11">
      <c r="A554" s="27">
        <v>552</v>
      </c>
      <c r="B554" s="28" t="s">
        <v>1635</v>
      </c>
      <c r="C554" s="29" t="s">
        <v>4227</v>
      </c>
      <c r="D554" s="29" t="s">
        <v>59</v>
      </c>
      <c r="E554" s="32">
        <v>33150</v>
      </c>
      <c r="F554" s="74">
        <v>46055</v>
      </c>
      <c r="G554" s="30" t="s">
        <v>24</v>
      </c>
      <c r="H554" s="28" t="s">
        <v>25</v>
      </c>
      <c r="I554" s="28" t="s">
        <v>56</v>
      </c>
      <c r="J554" s="28" t="s">
        <v>5382</v>
      </c>
      <c r="K554" s="28" t="s">
        <v>1637</v>
      </c>
    </row>
    <row r="555" spans="1:11">
      <c r="A555" s="27">
        <v>553</v>
      </c>
      <c r="B555" s="28" t="s">
        <v>1638</v>
      </c>
      <c r="C555" s="29" t="s">
        <v>3492</v>
      </c>
      <c r="D555" s="29" t="s">
        <v>59</v>
      </c>
      <c r="E555" s="32">
        <v>32840</v>
      </c>
      <c r="F555" s="74">
        <v>46055</v>
      </c>
      <c r="G555" s="30" t="s">
        <v>179</v>
      </c>
      <c r="H555" s="28" t="s">
        <v>36</v>
      </c>
      <c r="I555" s="28" t="s">
        <v>14</v>
      </c>
      <c r="J555" s="28" t="s">
        <v>4897</v>
      </c>
      <c r="K555" s="28" t="s">
        <v>1640</v>
      </c>
    </row>
    <row r="556" spans="1:11">
      <c r="A556" s="27">
        <v>554</v>
      </c>
      <c r="B556" s="28" t="s">
        <v>1641</v>
      </c>
      <c r="C556" s="29" t="s">
        <v>3306</v>
      </c>
      <c r="D556" s="29" t="s">
        <v>59</v>
      </c>
      <c r="E556" s="32">
        <v>34147</v>
      </c>
      <c r="F556" s="74">
        <v>46055</v>
      </c>
      <c r="G556" s="30" t="s">
        <v>179</v>
      </c>
      <c r="H556" s="28" t="s">
        <v>36</v>
      </c>
      <c r="I556" s="28" t="s">
        <v>42</v>
      </c>
      <c r="J556" s="28" t="s">
        <v>4713</v>
      </c>
      <c r="K556" s="28" t="s">
        <v>1643</v>
      </c>
    </row>
    <row r="557" spans="1:11">
      <c r="A557" s="27">
        <v>555</v>
      </c>
      <c r="B557" s="28" t="s">
        <v>1644</v>
      </c>
      <c r="C557" s="29" t="s">
        <v>3493</v>
      </c>
      <c r="D557" s="29" t="s">
        <v>59</v>
      </c>
      <c r="E557" s="32">
        <v>34967</v>
      </c>
      <c r="F557" s="74">
        <v>46055</v>
      </c>
      <c r="G557" s="30" t="s">
        <v>179</v>
      </c>
      <c r="H557" s="28" t="s">
        <v>36</v>
      </c>
      <c r="I557" s="28" t="s">
        <v>56</v>
      </c>
      <c r="J557" s="28" t="s">
        <v>5072</v>
      </c>
      <c r="K557" s="28" t="s">
        <v>1646</v>
      </c>
    </row>
    <row r="558" spans="1:11">
      <c r="A558" s="27">
        <v>556</v>
      </c>
      <c r="B558" s="28" t="s">
        <v>1647</v>
      </c>
      <c r="C558" s="29" t="s">
        <v>4228</v>
      </c>
      <c r="D558" s="29" t="s">
        <v>17</v>
      </c>
      <c r="E558" s="32">
        <v>32663</v>
      </c>
      <c r="F558" s="74">
        <v>46055</v>
      </c>
      <c r="G558" s="30" t="s">
        <v>85</v>
      </c>
      <c r="H558" s="28" t="s">
        <v>120</v>
      </c>
      <c r="I558" s="28" t="s">
        <v>42</v>
      </c>
      <c r="J558" s="28" t="s">
        <v>5076</v>
      </c>
      <c r="K558" s="28" t="s">
        <v>1649</v>
      </c>
    </row>
    <row r="559" spans="1:11">
      <c r="A559" s="27">
        <v>557</v>
      </c>
      <c r="B559" s="28" t="s">
        <v>1650</v>
      </c>
      <c r="C559" s="29" t="s">
        <v>4229</v>
      </c>
      <c r="D559" s="29" t="s">
        <v>59</v>
      </c>
      <c r="E559" s="32">
        <v>36008</v>
      </c>
      <c r="F559" s="74">
        <v>46055</v>
      </c>
      <c r="G559" s="30" t="s">
        <v>179</v>
      </c>
      <c r="H559" s="28" t="s">
        <v>36</v>
      </c>
      <c r="I559" s="28" t="s">
        <v>56</v>
      </c>
      <c r="J559" s="28" t="s">
        <v>5392</v>
      </c>
      <c r="K559" s="28" t="s">
        <v>1652</v>
      </c>
    </row>
    <row r="560" spans="1:11">
      <c r="A560" s="27">
        <v>558</v>
      </c>
      <c r="B560" s="28" t="s">
        <v>1653</v>
      </c>
      <c r="C560" s="29" t="s">
        <v>4230</v>
      </c>
      <c r="D560" s="29" t="s">
        <v>17</v>
      </c>
      <c r="E560" s="32">
        <v>31506</v>
      </c>
      <c r="F560" s="74">
        <v>46055</v>
      </c>
      <c r="G560" s="30" t="s">
        <v>40</v>
      </c>
      <c r="H560" s="28" t="s">
        <v>71</v>
      </c>
      <c r="I560" s="28" t="s">
        <v>14</v>
      </c>
      <c r="J560" s="28" t="s">
        <v>4541</v>
      </c>
      <c r="K560" s="28" t="s">
        <v>1655</v>
      </c>
    </row>
    <row r="561" spans="1:11">
      <c r="A561" s="27">
        <v>559</v>
      </c>
      <c r="B561" s="28" t="s">
        <v>1656</v>
      </c>
      <c r="C561" s="29" t="s">
        <v>3494</v>
      </c>
      <c r="D561" s="29" t="s">
        <v>59</v>
      </c>
      <c r="E561" s="32">
        <v>33222</v>
      </c>
      <c r="F561" s="74">
        <v>46055</v>
      </c>
      <c r="G561" s="30" t="s">
        <v>179</v>
      </c>
      <c r="H561" s="28" t="s">
        <v>36</v>
      </c>
      <c r="I561" s="28" t="s">
        <v>42</v>
      </c>
      <c r="J561" s="28" t="s">
        <v>5391</v>
      </c>
      <c r="K561" s="28" t="s">
        <v>1658</v>
      </c>
    </row>
    <row r="562" spans="1:11">
      <c r="A562" s="27">
        <v>560</v>
      </c>
      <c r="B562" s="28" t="s">
        <v>3951</v>
      </c>
      <c r="C562" s="29" t="s">
        <v>4231</v>
      </c>
      <c r="D562" s="29" t="s">
        <v>59</v>
      </c>
      <c r="E562" s="32">
        <v>33512</v>
      </c>
      <c r="F562" s="74">
        <v>46055</v>
      </c>
      <c r="G562" s="30" t="s">
        <v>179</v>
      </c>
      <c r="H562" s="28" t="s">
        <v>36</v>
      </c>
      <c r="I562" s="28" t="s">
        <v>14</v>
      </c>
      <c r="J562" s="28" t="s">
        <v>5372</v>
      </c>
      <c r="K562" s="28" t="s">
        <v>1660</v>
      </c>
    </row>
    <row r="563" spans="1:11">
      <c r="A563" s="27">
        <v>561</v>
      </c>
      <c r="B563" s="28" t="s">
        <v>1661</v>
      </c>
      <c r="C563" s="29" t="s">
        <v>3388</v>
      </c>
      <c r="D563" s="29" t="s">
        <v>17</v>
      </c>
      <c r="E563" s="32">
        <v>32623</v>
      </c>
      <c r="F563" s="74">
        <v>46055</v>
      </c>
      <c r="G563" s="30" t="s">
        <v>179</v>
      </c>
      <c r="H563" s="28" t="s">
        <v>36</v>
      </c>
      <c r="I563" s="28" t="s">
        <v>56</v>
      </c>
      <c r="J563" s="28" t="s">
        <v>4992</v>
      </c>
      <c r="K563" s="28" t="s">
        <v>1663</v>
      </c>
    </row>
    <row r="564" spans="1:11">
      <c r="A564" s="27">
        <v>562</v>
      </c>
      <c r="B564" s="28" t="s">
        <v>1664</v>
      </c>
      <c r="C564" s="29" t="s">
        <v>3495</v>
      </c>
      <c r="D564" s="29" t="s">
        <v>59</v>
      </c>
      <c r="E564" s="32">
        <v>33225</v>
      </c>
      <c r="F564" s="74">
        <v>46055</v>
      </c>
      <c r="G564" s="30" t="s">
        <v>179</v>
      </c>
      <c r="H564" s="28" t="s">
        <v>36</v>
      </c>
      <c r="I564" s="28" t="s">
        <v>56</v>
      </c>
      <c r="J564" s="28" t="s">
        <v>4644</v>
      </c>
      <c r="K564" s="28" t="s">
        <v>1666</v>
      </c>
    </row>
    <row r="565" spans="1:11">
      <c r="A565" s="27">
        <v>563</v>
      </c>
      <c r="B565" s="28" t="s">
        <v>1667</v>
      </c>
      <c r="C565" s="29" t="s">
        <v>4232</v>
      </c>
      <c r="D565" s="29" t="s">
        <v>59</v>
      </c>
      <c r="E565" s="32">
        <v>33434</v>
      </c>
      <c r="F565" s="74">
        <v>46055</v>
      </c>
      <c r="G565" s="30" t="s">
        <v>24</v>
      </c>
      <c r="H565" s="28" t="s">
        <v>25</v>
      </c>
      <c r="I565" s="28" t="s">
        <v>42</v>
      </c>
      <c r="J565" s="28" t="s">
        <v>5178</v>
      </c>
      <c r="K565" s="28" t="s">
        <v>1669</v>
      </c>
    </row>
    <row r="566" spans="1:11">
      <c r="A566" s="27">
        <v>564</v>
      </c>
      <c r="B566" s="28" t="s">
        <v>1670</v>
      </c>
      <c r="C566" s="29" t="s">
        <v>3249</v>
      </c>
      <c r="D566" s="29" t="s">
        <v>59</v>
      </c>
      <c r="E566" s="32">
        <v>35467</v>
      </c>
      <c r="F566" s="74">
        <v>46055</v>
      </c>
      <c r="G566" s="30" t="s">
        <v>179</v>
      </c>
      <c r="H566" s="28" t="s">
        <v>36</v>
      </c>
      <c r="I566" s="28" t="s">
        <v>42</v>
      </c>
      <c r="J566" s="28" t="s">
        <v>4870</v>
      </c>
      <c r="K566" s="28" t="s">
        <v>1672</v>
      </c>
    </row>
    <row r="567" spans="1:11">
      <c r="A567" s="27">
        <v>565</v>
      </c>
      <c r="B567" s="28" t="s">
        <v>1673</v>
      </c>
      <c r="C567" s="29" t="s">
        <v>3389</v>
      </c>
      <c r="D567" s="29" t="s">
        <v>17</v>
      </c>
      <c r="E567" s="32">
        <v>36782</v>
      </c>
      <c r="F567" s="74">
        <v>46055</v>
      </c>
      <c r="G567" s="30" t="s">
        <v>179</v>
      </c>
      <c r="H567" s="28" t="s">
        <v>36</v>
      </c>
      <c r="I567" s="28" t="s">
        <v>14</v>
      </c>
      <c r="J567" s="28" t="s">
        <v>4997</v>
      </c>
      <c r="K567" s="28" t="s">
        <v>1675</v>
      </c>
    </row>
    <row r="568" spans="1:11">
      <c r="A568" s="27">
        <v>566</v>
      </c>
      <c r="B568" s="28" t="s">
        <v>1676</v>
      </c>
      <c r="C568" s="29" t="s">
        <v>3264</v>
      </c>
      <c r="D568" s="29" t="s">
        <v>59</v>
      </c>
      <c r="E568" s="32">
        <v>32806</v>
      </c>
      <c r="F568" s="74">
        <v>46055</v>
      </c>
      <c r="G568" s="30" t="s">
        <v>179</v>
      </c>
      <c r="H568" s="28" t="s">
        <v>36</v>
      </c>
      <c r="I568" s="28" t="s">
        <v>56</v>
      </c>
      <c r="J568" s="28" t="s">
        <v>4816</v>
      </c>
      <c r="K568" s="28" t="s">
        <v>1678</v>
      </c>
    </row>
    <row r="569" spans="1:11">
      <c r="A569" s="27">
        <v>567</v>
      </c>
      <c r="B569" s="28" t="s">
        <v>1679</v>
      </c>
      <c r="C569" s="29" t="s">
        <v>4233</v>
      </c>
      <c r="D569" s="29" t="s">
        <v>17</v>
      </c>
      <c r="E569" s="32">
        <v>33490</v>
      </c>
      <c r="F569" s="74">
        <v>46055</v>
      </c>
      <c r="G569" s="30" t="s">
        <v>179</v>
      </c>
      <c r="H569" s="28" t="s">
        <v>36</v>
      </c>
      <c r="I569" s="28" t="s">
        <v>14</v>
      </c>
      <c r="J569" s="28" t="s">
        <v>4991</v>
      </c>
      <c r="K569" s="28" t="s">
        <v>1681</v>
      </c>
    </row>
    <row r="570" spans="1:11">
      <c r="A570" s="27">
        <v>568</v>
      </c>
      <c r="B570" s="28" t="s">
        <v>1682</v>
      </c>
      <c r="C570" s="29" t="s">
        <v>3496</v>
      </c>
      <c r="D570" s="29" t="s">
        <v>59</v>
      </c>
      <c r="E570" s="32">
        <v>31886</v>
      </c>
      <c r="F570" s="74">
        <v>46055</v>
      </c>
      <c r="G570" s="30" t="s">
        <v>179</v>
      </c>
      <c r="H570" s="28" t="s">
        <v>36</v>
      </c>
      <c r="I570" s="28" t="s">
        <v>14</v>
      </c>
      <c r="J570" s="28" t="s">
        <v>5109</v>
      </c>
      <c r="K570" s="28" t="s">
        <v>1684</v>
      </c>
    </row>
    <row r="571" spans="1:11">
      <c r="A571" s="27">
        <v>569</v>
      </c>
      <c r="B571" s="28" t="s">
        <v>1685</v>
      </c>
      <c r="C571" s="29" t="s">
        <v>3497</v>
      </c>
      <c r="D571" s="29" t="s">
        <v>59</v>
      </c>
      <c r="E571" s="32">
        <v>37737</v>
      </c>
      <c r="F571" s="74">
        <v>46055</v>
      </c>
      <c r="G571" s="30" t="s">
        <v>179</v>
      </c>
      <c r="H571" s="28" t="s">
        <v>36</v>
      </c>
      <c r="I571" s="28" t="s">
        <v>42</v>
      </c>
      <c r="J571" s="28" t="s">
        <v>5062</v>
      </c>
      <c r="K571" s="28" t="s">
        <v>1687</v>
      </c>
    </row>
    <row r="572" spans="1:11">
      <c r="A572" s="27">
        <v>570</v>
      </c>
      <c r="B572" s="28" t="s">
        <v>1688</v>
      </c>
      <c r="C572" s="29" t="s">
        <v>3624</v>
      </c>
      <c r="D572" s="29" t="s">
        <v>59</v>
      </c>
      <c r="E572" s="32">
        <v>36044</v>
      </c>
      <c r="F572" s="74">
        <v>46055</v>
      </c>
      <c r="G572" s="30" t="s">
        <v>179</v>
      </c>
      <c r="H572" s="28" t="s">
        <v>36</v>
      </c>
      <c r="I572" s="28" t="s">
        <v>14</v>
      </c>
      <c r="J572" s="28" t="s">
        <v>5293</v>
      </c>
      <c r="K572" s="28" t="s">
        <v>5905</v>
      </c>
    </row>
    <row r="573" spans="1:11">
      <c r="A573" s="27">
        <v>571</v>
      </c>
      <c r="B573" s="28" t="s">
        <v>1691</v>
      </c>
      <c r="C573" s="29" t="s">
        <v>4234</v>
      </c>
      <c r="D573" s="29" t="s">
        <v>59</v>
      </c>
      <c r="E573" s="32">
        <v>33921</v>
      </c>
      <c r="F573" s="74">
        <v>46055</v>
      </c>
      <c r="G573" s="30" t="s">
        <v>24</v>
      </c>
      <c r="H573" s="28" t="s">
        <v>25</v>
      </c>
      <c r="I573" s="28" t="s">
        <v>56</v>
      </c>
      <c r="J573" s="28" t="s">
        <v>5423</v>
      </c>
      <c r="K573" s="28" t="s">
        <v>1693</v>
      </c>
    </row>
    <row r="574" spans="1:11">
      <c r="A574" s="27">
        <v>572</v>
      </c>
      <c r="B574" s="28" t="s">
        <v>1694</v>
      </c>
      <c r="C574" s="29" t="s">
        <v>4235</v>
      </c>
      <c r="D574" s="29" t="s">
        <v>59</v>
      </c>
      <c r="E574" s="32">
        <v>36428</v>
      </c>
      <c r="F574" s="74">
        <v>46055</v>
      </c>
      <c r="G574" s="30" t="s">
        <v>24</v>
      </c>
      <c r="H574" s="28" t="s">
        <v>25</v>
      </c>
      <c r="I574" s="28" t="s">
        <v>56</v>
      </c>
      <c r="J574" s="28" t="s">
        <v>4652</v>
      </c>
      <c r="K574" s="28" t="s">
        <v>5867</v>
      </c>
    </row>
    <row r="575" spans="1:11">
      <c r="A575" s="27">
        <v>573</v>
      </c>
      <c r="B575" s="28" t="s">
        <v>1697</v>
      </c>
      <c r="C575" s="29" t="s">
        <v>4236</v>
      </c>
      <c r="D575" s="29" t="s">
        <v>17</v>
      </c>
      <c r="E575" s="32">
        <v>33752</v>
      </c>
      <c r="F575" s="74">
        <v>46055</v>
      </c>
      <c r="G575" s="30" t="s">
        <v>85</v>
      </c>
      <c r="H575" s="28" t="s">
        <v>120</v>
      </c>
      <c r="I575" s="28" t="s">
        <v>14</v>
      </c>
      <c r="J575" s="28" t="s">
        <v>4797</v>
      </c>
      <c r="K575" s="28" t="s">
        <v>1699</v>
      </c>
    </row>
    <row r="576" spans="1:11">
      <c r="A576" s="27">
        <v>574</v>
      </c>
      <c r="B576" s="28" t="s">
        <v>1700</v>
      </c>
      <c r="C576" s="29" t="s">
        <v>3625</v>
      </c>
      <c r="D576" s="29" t="s">
        <v>59</v>
      </c>
      <c r="E576" s="32">
        <v>37562</v>
      </c>
      <c r="F576" s="74">
        <v>46055</v>
      </c>
      <c r="G576" s="30" t="s">
        <v>179</v>
      </c>
      <c r="H576" s="28" t="s">
        <v>36</v>
      </c>
      <c r="I576" s="28" t="s">
        <v>14</v>
      </c>
      <c r="J576" s="28" t="s">
        <v>4668</v>
      </c>
      <c r="K576" s="28" t="s">
        <v>1702</v>
      </c>
    </row>
    <row r="577" spans="1:11">
      <c r="A577" s="27">
        <v>575</v>
      </c>
      <c r="B577" s="28" t="s">
        <v>1703</v>
      </c>
      <c r="C577" s="29" t="s">
        <v>4237</v>
      </c>
      <c r="D577" s="29" t="s">
        <v>17</v>
      </c>
      <c r="E577" s="32">
        <v>31262</v>
      </c>
      <c r="F577" s="74">
        <v>46055</v>
      </c>
      <c r="G577" s="30" t="s">
        <v>85</v>
      </c>
      <c r="H577" s="28" t="s">
        <v>120</v>
      </c>
      <c r="I577" s="28" t="s">
        <v>56</v>
      </c>
      <c r="J577" s="28" t="s">
        <v>4618</v>
      </c>
      <c r="K577" s="28" t="s">
        <v>1705</v>
      </c>
    </row>
    <row r="578" spans="1:11">
      <c r="A578" s="27">
        <v>576</v>
      </c>
      <c r="B578" s="28" t="s">
        <v>1706</v>
      </c>
      <c r="C578" s="29" t="s">
        <v>3626</v>
      </c>
      <c r="D578" s="29" t="s">
        <v>59</v>
      </c>
      <c r="E578" s="32">
        <v>34284</v>
      </c>
      <c r="F578" s="74">
        <v>46055</v>
      </c>
      <c r="G578" s="30" t="s">
        <v>179</v>
      </c>
      <c r="H578" s="28" t="s">
        <v>36</v>
      </c>
      <c r="I578" s="28" t="s">
        <v>14</v>
      </c>
      <c r="J578" s="28" t="s">
        <v>5104</v>
      </c>
      <c r="K578" s="28" t="s">
        <v>1708</v>
      </c>
    </row>
    <row r="579" spans="1:11">
      <c r="A579" s="27">
        <v>577</v>
      </c>
      <c r="B579" s="28" t="s">
        <v>1709</v>
      </c>
      <c r="C579" s="29" t="s">
        <v>4238</v>
      </c>
      <c r="D579" s="29" t="s">
        <v>59</v>
      </c>
      <c r="E579" s="32">
        <v>35907</v>
      </c>
      <c r="F579" s="74">
        <v>46055</v>
      </c>
      <c r="G579" s="30" t="s">
        <v>179</v>
      </c>
      <c r="H579" s="28" t="s">
        <v>36</v>
      </c>
      <c r="I579" s="28" t="s">
        <v>14</v>
      </c>
      <c r="J579" s="28" t="s">
        <v>5028</v>
      </c>
      <c r="K579" s="28" t="s">
        <v>1711</v>
      </c>
    </row>
    <row r="580" spans="1:11">
      <c r="A580" s="27">
        <v>578</v>
      </c>
      <c r="B580" s="28" t="s">
        <v>1712</v>
      </c>
      <c r="C580" s="29" t="s">
        <v>4239</v>
      </c>
      <c r="D580" s="29" t="s">
        <v>59</v>
      </c>
      <c r="E580" s="32">
        <v>35337</v>
      </c>
      <c r="F580" s="74">
        <v>46055</v>
      </c>
      <c r="G580" s="30" t="s">
        <v>179</v>
      </c>
      <c r="H580" s="28" t="s">
        <v>36</v>
      </c>
      <c r="I580" s="28" t="s">
        <v>56</v>
      </c>
      <c r="J580" s="28" t="s">
        <v>4763</v>
      </c>
      <c r="K580" s="28" t="s">
        <v>1714</v>
      </c>
    </row>
    <row r="581" spans="1:11">
      <c r="A581" s="27">
        <v>579</v>
      </c>
      <c r="B581" s="28" t="s">
        <v>1715</v>
      </c>
      <c r="C581" s="29" t="s">
        <v>4240</v>
      </c>
      <c r="D581" s="29" t="s">
        <v>59</v>
      </c>
      <c r="E581" s="32">
        <v>33791</v>
      </c>
      <c r="F581" s="74">
        <v>46055</v>
      </c>
      <c r="G581" s="30" t="s">
        <v>24</v>
      </c>
      <c r="H581" s="28" t="s">
        <v>25</v>
      </c>
      <c r="I581" s="28" t="s">
        <v>56</v>
      </c>
      <c r="J581" s="28" t="s">
        <v>5252</v>
      </c>
      <c r="K581" s="28" t="s">
        <v>1717</v>
      </c>
    </row>
    <row r="582" spans="1:11">
      <c r="A582" s="27">
        <v>580</v>
      </c>
      <c r="B582" s="28" t="s">
        <v>1718</v>
      </c>
      <c r="C582" s="29" t="s">
        <v>3390</v>
      </c>
      <c r="D582" s="29" t="s">
        <v>17</v>
      </c>
      <c r="E582" s="32">
        <v>33265</v>
      </c>
      <c r="F582" s="74">
        <v>46055</v>
      </c>
      <c r="G582" s="30" t="s">
        <v>179</v>
      </c>
      <c r="H582" s="28" t="s">
        <v>36</v>
      </c>
      <c r="I582" s="28" t="s">
        <v>14</v>
      </c>
      <c r="J582" s="28" t="s">
        <v>4598</v>
      </c>
      <c r="K582" s="28" t="s">
        <v>1720</v>
      </c>
    </row>
    <row r="583" spans="1:11">
      <c r="A583" s="27">
        <v>581</v>
      </c>
      <c r="B583" s="28" t="s">
        <v>1721</v>
      </c>
      <c r="C583" s="29" t="s">
        <v>4241</v>
      </c>
      <c r="D583" s="29" t="s">
        <v>59</v>
      </c>
      <c r="E583" s="32">
        <v>36947</v>
      </c>
      <c r="F583" s="74">
        <v>46055</v>
      </c>
      <c r="G583" s="30" t="s">
        <v>179</v>
      </c>
      <c r="H583" s="28" t="s">
        <v>36</v>
      </c>
      <c r="I583" s="28" t="s">
        <v>56</v>
      </c>
      <c r="J583" s="28" t="s">
        <v>5306</v>
      </c>
      <c r="K583" s="28" t="s">
        <v>1723</v>
      </c>
    </row>
    <row r="584" spans="1:11">
      <c r="A584" s="27">
        <v>582</v>
      </c>
      <c r="B584" s="28" t="s">
        <v>1724</v>
      </c>
      <c r="C584" s="29" t="s">
        <v>3627</v>
      </c>
      <c r="D584" s="29" t="s">
        <v>59</v>
      </c>
      <c r="E584" s="32">
        <v>37615</v>
      </c>
      <c r="F584" s="74">
        <v>46055</v>
      </c>
      <c r="G584" s="30" t="s">
        <v>179</v>
      </c>
      <c r="H584" s="28" t="s">
        <v>36</v>
      </c>
      <c r="I584" s="28" t="s">
        <v>14</v>
      </c>
      <c r="J584" s="28" t="s">
        <v>5419</v>
      </c>
      <c r="K584" s="28" t="s">
        <v>1726</v>
      </c>
    </row>
    <row r="585" spans="1:11">
      <c r="A585" s="27">
        <v>583</v>
      </c>
      <c r="B585" s="28" t="s">
        <v>1727</v>
      </c>
      <c r="C585" s="29" t="s">
        <v>4242</v>
      </c>
      <c r="D585" s="29" t="s">
        <v>59</v>
      </c>
      <c r="E585" s="32">
        <v>35465</v>
      </c>
      <c r="F585" s="74">
        <v>46055</v>
      </c>
      <c r="G585" s="30" t="s">
        <v>179</v>
      </c>
      <c r="H585" s="28" t="s">
        <v>36</v>
      </c>
      <c r="I585" s="28" t="s">
        <v>14</v>
      </c>
      <c r="J585" s="28" t="s">
        <v>4937</v>
      </c>
      <c r="K585" s="28" t="s">
        <v>1729</v>
      </c>
    </row>
    <row r="586" spans="1:11">
      <c r="A586" s="27">
        <v>584</v>
      </c>
      <c r="B586" s="28" t="s">
        <v>1730</v>
      </c>
      <c r="C586" s="29" t="s">
        <v>3628</v>
      </c>
      <c r="D586" s="29" t="s">
        <v>59</v>
      </c>
      <c r="E586" s="32">
        <v>32958</v>
      </c>
      <c r="F586" s="74">
        <v>46083</v>
      </c>
      <c r="G586" s="30" t="s">
        <v>179</v>
      </c>
      <c r="H586" s="28" t="s">
        <v>36</v>
      </c>
      <c r="I586" s="28" t="s">
        <v>56</v>
      </c>
      <c r="J586" s="28" t="s">
        <v>4643</v>
      </c>
      <c r="K586" s="28" t="s">
        <v>1732</v>
      </c>
    </row>
    <row r="587" spans="1:11">
      <c r="A587" s="27">
        <v>585</v>
      </c>
      <c r="B587" s="28" t="s">
        <v>1733</v>
      </c>
      <c r="C587" s="29" t="s">
        <v>4243</v>
      </c>
      <c r="D587" s="29" t="s">
        <v>59</v>
      </c>
      <c r="E587" s="32">
        <v>31826</v>
      </c>
      <c r="F587" s="74">
        <v>46083</v>
      </c>
      <c r="G587" s="30" t="s">
        <v>179</v>
      </c>
      <c r="H587" s="28" t="s">
        <v>36</v>
      </c>
      <c r="I587" s="28" t="s">
        <v>14</v>
      </c>
      <c r="J587" s="28" t="s">
        <v>5362</v>
      </c>
      <c r="K587" s="28" t="s">
        <v>5950</v>
      </c>
    </row>
    <row r="588" spans="1:11">
      <c r="A588" s="27">
        <v>586</v>
      </c>
      <c r="B588" s="28" t="s">
        <v>1736</v>
      </c>
      <c r="C588" s="29" t="s">
        <v>3629</v>
      </c>
      <c r="D588" s="29" t="s">
        <v>59</v>
      </c>
      <c r="E588" s="32">
        <v>33460</v>
      </c>
      <c r="F588" s="74">
        <v>46083</v>
      </c>
      <c r="G588" s="30" t="s">
        <v>179</v>
      </c>
      <c r="H588" s="28" t="s">
        <v>36</v>
      </c>
      <c r="I588" s="28" t="s">
        <v>56</v>
      </c>
      <c r="J588" s="28" t="s">
        <v>5093</v>
      </c>
      <c r="K588" s="28" t="s">
        <v>1738</v>
      </c>
    </row>
    <row r="589" spans="1:11">
      <c r="A589" s="27">
        <v>587</v>
      </c>
      <c r="B589" s="28" t="s">
        <v>1739</v>
      </c>
      <c r="C589" s="29" t="s">
        <v>4244</v>
      </c>
      <c r="D589" s="29" t="s">
        <v>59</v>
      </c>
      <c r="E589" s="32">
        <v>34038</v>
      </c>
      <c r="F589" s="74">
        <v>46083</v>
      </c>
      <c r="G589" s="30" t="s">
        <v>24</v>
      </c>
      <c r="H589" s="28" t="s">
        <v>25</v>
      </c>
      <c r="I589" s="28" t="s">
        <v>42</v>
      </c>
      <c r="J589" s="28" t="s">
        <v>5110</v>
      </c>
      <c r="K589" s="28" t="s">
        <v>1741</v>
      </c>
    </row>
    <row r="590" spans="1:11">
      <c r="A590" s="27">
        <v>588</v>
      </c>
      <c r="B590" s="28" t="s">
        <v>1742</v>
      </c>
      <c r="C590" s="29" t="s">
        <v>3391</v>
      </c>
      <c r="D590" s="29" t="s">
        <v>17</v>
      </c>
      <c r="E590" s="32">
        <v>34007</v>
      </c>
      <c r="F590" s="74">
        <v>46083</v>
      </c>
      <c r="G590" s="30" t="s">
        <v>179</v>
      </c>
      <c r="H590" s="28" t="s">
        <v>36</v>
      </c>
      <c r="I590" s="28" t="s">
        <v>42</v>
      </c>
      <c r="J590" s="28" t="s">
        <v>4821</v>
      </c>
      <c r="K590" s="28" t="s">
        <v>5789</v>
      </c>
    </row>
    <row r="591" spans="1:11">
      <c r="A591" s="27">
        <v>589</v>
      </c>
      <c r="B591" s="28" t="s">
        <v>1744</v>
      </c>
      <c r="C591" s="29" t="s">
        <v>4245</v>
      </c>
      <c r="D591" s="29" t="s">
        <v>59</v>
      </c>
      <c r="E591" s="32">
        <v>33316</v>
      </c>
      <c r="F591" s="74">
        <v>46083</v>
      </c>
      <c r="G591" s="30" t="s">
        <v>24</v>
      </c>
      <c r="H591" s="28" t="s">
        <v>25</v>
      </c>
      <c r="I591" s="28" t="s">
        <v>14</v>
      </c>
      <c r="J591" s="28" t="s">
        <v>4616</v>
      </c>
      <c r="K591" s="28" t="s">
        <v>5788</v>
      </c>
    </row>
    <row r="592" spans="1:11">
      <c r="A592" s="27">
        <v>590</v>
      </c>
      <c r="B592" s="28" t="s">
        <v>1746</v>
      </c>
      <c r="C592" s="29" t="s">
        <v>4246</v>
      </c>
      <c r="D592" s="29" t="s">
        <v>17</v>
      </c>
      <c r="E592" s="32">
        <v>35429</v>
      </c>
      <c r="F592" s="74">
        <v>46083</v>
      </c>
      <c r="G592" s="30" t="s">
        <v>85</v>
      </c>
      <c r="H592" s="28" t="s">
        <v>120</v>
      </c>
      <c r="I592" s="28" t="s">
        <v>42</v>
      </c>
      <c r="J592" s="28" t="s">
        <v>4633</v>
      </c>
      <c r="K592" s="28" t="s">
        <v>1748</v>
      </c>
    </row>
    <row r="593" spans="1:11">
      <c r="A593" s="27">
        <v>591</v>
      </c>
      <c r="B593" s="28" t="s">
        <v>1749</v>
      </c>
      <c r="C593" s="29" t="s">
        <v>3561</v>
      </c>
      <c r="D593" s="29" t="s">
        <v>59</v>
      </c>
      <c r="E593" s="32">
        <v>31503</v>
      </c>
      <c r="F593" s="74">
        <v>46083</v>
      </c>
      <c r="G593" s="30" t="s">
        <v>179</v>
      </c>
      <c r="H593" s="28" t="s">
        <v>36</v>
      </c>
      <c r="I593" s="28" t="s">
        <v>56</v>
      </c>
      <c r="J593" s="28" t="s">
        <v>5366</v>
      </c>
      <c r="K593" s="28" t="s">
        <v>5839</v>
      </c>
    </row>
    <row r="594" spans="1:11">
      <c r="A594" s="27">
        <v>592</v>
      </c>
      <c r="B594" s="28" t="s">
        <v>1751</v>
      </c>
      <c r="C594" s="29" t="s">
        <v>3498</v>
      </c>
      <c r="D594" s="29" t="s">
        <v>59</v>
      </c>
      <c r="E594" s="32">
        <v>36926</v>
      </c>
      <c r="F594" s="74">
        <v>46083</v>
      </c>
      <c r="G594" s="30" t="s">
        <v>179</v>
      </c>
      <c r="H594" s="28" t="s">
        <v>36</v>
      </c>
      <c r="I594" s="28" t="s">
        <v>14</v>
      </c>
      <c r="J594" s="28" t="s">
        <v>4532</v>
      </c>
      <c r="K594" s="28" t="s">
        <v>5856</v>
      </c>
    </row>
    <row r="595" spans="1:11">
      <c r="A595" s="27">
        <v>593</v>
      </c>
      <c r="B595" s="28" t="s">
        <v>1754</v>
      </c>
      <c r="C595" s="29" t="s">
        <v>3250</v>
      </c>
      <c r="D595" s="29" t="s">
        <v>59</v>
      </c>
      <c r="E595" s="32">
        <v>32680</v>
      </c>
      <c r="F595" s="74">
        <v>46083</v>
      </c>
      <c r="G595" s="30" t="s">
        <v>179</v>
      </c>
      <c r="H595" s="28" t="s">
        <v>36</v>
      </c>
      <c r="I595" s="28" t="s">
        <v>56</v>
      </c>
      <c r="J595" s="28" t="s">
        <v>4928</v>
      </c>
      <c r="K595" s="28" t="s">
        <v>1756</v>
      </c>
    </row>
    <row r="596" spans="1:11">
      <c r="A596" s="27">
        <v>594</v>
      </c>
      <c r="B596" s="28" t="s">
        <v>1757</v>
      </c>
      <c r="C596" s="29" t="s">
        <v>4247</v>
      </c>
      <c r="D596" s="29" t="s">
        <v>17</v>
      </c>
      <c r="E596" s="32">
        <v>35008</v>
      </c>
      <c r="F596" s="74">
        <v>46083</v>
      </c>
      <c r="G596" s="30" t="s">
        <v>179</v>
      </c>
      <c r="H596" s="28" t="s">
        <v>36</v>
      </c>
      <c r="I596" s="28" t="s">
        <v>56</v>
      </c>
      <c r="J596" s="28" t="s">
        <v>5175</v>
      </c>
      <c r="K596" s="28" t="s">
        <v>5911</v>
      </c>
    </row>
    <row r="597" spans="1:11">
      <c r="A597" s="27">
        <v>595</v>
      </c>
      <c r="B597" s="28" t="s">
        <v>1760</v>
      </c>
      <c r="C597" s="29" t="s">
        <v>4248</v>
      </c>
      <c r="D597" s="29" t="s">
        <v>59</v>
      </c>
      <c r="E597" s="32">
        <v>33277</v>
      </c>
      <c r="F597" s="74">
        <v>46083</v>
      </c>
      <c r="G597" s="30" t="s">
        <v>179</v>
      </c>
      <c r="H597" s="28" t="s">
        <v>36</v>
      </c>
      <c r="I597" s="28" t="s">
        <v>42</v>
      </c>
      <c r="J597" s="28" t="s">
        <v>4819</v>
      </c>
      <c r="K597" s="28" t="s">
        <v>5928</v>
      </c>
    </row>
    <row r="598" spans="1:11">
      <c r="A598" s="27">
        <v>596</v>
      </c>
      <c r="B598" s="28" t="s">
        <v>1763</v>
      </c>
      <c r="C598" s="29" t="s">
        <v>4249</v>
      </c>
      <c r="D598" s="29" t="s">
        <v>59</v>
      </c>
      <c r="E598" s="32">
        <v>37513</v>
      </c>
      <c r="F598" s="74">
        <v>46083</v>
      </c>
      <c r="G598" s="30" t="s">
        <v>179</v>
      </c>
      <c r="H598" s="28" t="s">
        <v>36</v>
      </c>
      <c r="I598" s="28" t="s">
        <v>56</v>
      </c>
      <c r="J598" s="28" t="s">
        <v>4629</v>
      </c>
      <c r="K598" s="28" t="s">
        <v>1765</v>
      </c>
    </row>
    <row r="599" spans="1:11">
      <c r="A599" s="27">
        <v>597</v>
      </c>
      <c r="B599" s="28" t="s">
        <v>1766</v>
      </c>
      <c r="C599" s="29" t="s">
        <v>3307</v>
      </c>
      <c r="D599" s="29" t="s">
        <v>59</v>
      </c>
      <c r="E599" s="32">
        <v>34630</v>
      </c>
      <c r="F599" s="74">
        <v>46083</v>
      </c>
      <c r="G599" s="30" t="s">
        <v>179</v>
      </c>
      <c r="H599" s="28" t="s">
        <v>36</v>
      </c>
      <c r="I599" s="28" t="s">
        <v>14</v>
      </c>
      <c r="J599" s="28" t="s">
        <v>5259</v>
      </c>
      <c r="K599" s="28" t="s">
        <v>1768</v>
      </c>
    </row>
    <row r="600" spans="1:11">
      <c r="A600" s="27">
        <v>598</v>
      </c>
      <c r="B600" s="28" t="s">
        <v>1769</v>
      </c>
      <c r="C600" s="29" t="s">
        <v>4250</v>
      </c>
      <c r="D600" s="29" t="s">
        <v>59</v>
      </c>
      <c r="E600" s="32">
        <v>34735</v>
      </c>
      <c r="F600" s="74">
        <v>46083</v>
      </c>
      <c r="G600" s="30" t="s">
        <v>179</v>
      </c>
      <c r="H600" s="28" t="s">
        <v>36</v>
      </c>
      <c r="I600" s="28" t="s">
        <v>14</v>
      </c>
      <c r="J600" s="28" t="s">
        <v>5394</v>
      </c>
      <c r="K600" s="28" t="s">
        <v>1771</v>
      </c>
    </row>
    <row r="601" spans="1:11">
      <c r="A601" s="27">
        <v>599</v>
      </c>
      <c r="B601" s="28" t="s">
        <v>1772</v>
      </c>
      <c r="C601" s="29" t="s">
        <v>4251</v>
      </c>
      <c r="D601" s="29" t="s">
        <v>59</v>
      </c>
      <c r="E601" s="32">
        <v>34837</v>
      </c>
      <c r="F601" s="74">
        <v>46083</v>
      </c>
      <c r="G601" s="30" t="s">
        <v>179</v>
      </c>
      <c r="H601" s="28" t="s">
        <v>36</v>
      </c>
      <c r="I601" s="28" t="s">
        <v>14</v>
      </c>
      <c r="J601" s="28" t="s">
        <v>4716</v>
      </c>
      <c r="K601" s="28" t="s">
        <v>1774</v>
      </c>
    </row>
    <row r="602" spans="1:11">
      <c r="A602" s="27">
        <v>600</v>
      </c>
      <c r="B602" s="28" t="s">
        <v>1775</v>
      </c>
      <c r="C602" s="29" t="s">
        <v>4252</v>
      </c>
      <c r="D602" s="29" t="s">
        <v>59</v>
      </c>
      <c r="E602" s="32">
        <v>34151</v>
      </c>
      <c r="F602" s="74">
        <v>46083</v>
      </c>
      <c r="G602" s="30" t="s">
        <v>24</v>
      </c>
      <c r="H602" s="28" t="s">
        <v>25</v>
      </c>
      <c r="I602" s="28" t="s">
        <v>14</v>
      </c>
      <c r="J602" s="28" t="s">
        <v>5126</v>
      </c>
      <c r="K602" s="28" t="s">
        <v>1777</v>
      </c>
    </row>
    <row r="603" spans="1:11">
      <c r="A603" s="27">
        <v>601</v>
      </c>
      <c r="B603" s="28" t="s">
        <v>1778</v>
      </c>
      <c r="C603" s="29" t="s">
        <v>4253</v>
      </c>
      <c r="D603" s="29" t="s">
        <v>59</v>
      </c>
      <c r="E603" s="32">
        <v>35770</v>
      </c>
      <c r="F603" s="74">
        <v>46083</v>
      </c>
      <c r="G603" s="30" t="s">
        <v>179</v>
      </c>
      <c r="H603" s="28" t="s">
        <v>36</v>
      </c>
      <c r="I603" s="28" t="s">
        <v>14</v>
      </c>
      <c r="J603" s="28" t="s">
        <v>5344</v>
      </c>
      <c r="K603" s="28" t="s">
        <v>1780</v>
      </c>
    </row>
    <row r="604" spans="1:11">
      <c r="A604" s="27">
        <v>602</v>
      </c>
      <c r="B604" s="28" t="s">
        <v>3952</v>
      </c>
      <c r="C604" s="29" t="s">
        <v>4254</v>
      </c>
      <c r="D604" s="29" t="s">
        <v>17</v>
      </c>
      <c r="E604" s="32">
        <v>31567</v>
      </c>
      <c r="F604" s="74">
        <v>46083</v>
      </c>
      <c r="G604" s="30" t="s">
        <v>179</v>
      </c>
      <c r="H604" s="28" t="s">
        <v>36</v>
      </c>
      <c r="I604" s="28" t="s">
        <v>56</v>
      </c>
      <c r="J604" s="28" t="s">
        <v>4838</v>
      </c>
      <c r="K604" s="28" t="s">
        <v>1782</v>
      </c>
    </row>
    <row r="605" spans="1:11">
      <c r="A605" s="27">
        <v>603</v>
      </c>
      <c r="B605" s="28" t="s">
        <v>1783</v>
      </c>
      <c r="C605" s="29" t="s">
        <v>4255</v>
      </c>
      <c r="D605" s="29" t="s">
        <v>59</v>
      </c>
      <c r="E605" s="32">
        <v>35766</v>
      </c>
      <c r="F605" s="74">
        <v>46083</v>
      </c>
      <c r="G605" s="30" t="s">
        <v>24</v>
      </c>
      <c r="H605" s="28" t="s">
        <v>25</v>
      </c>
      <c r="I605" s="28" t="s">
        <v>42</v>
      </c>
      <c r="J605" s="28" t="s">
        <v>4722</v>
      </c>
      <c r="K605" s="28" t="s">
        <v>1785</v>
      </c>
    </row>
    <row r="606" spans="1:11">
      <c r="A606" s="27">
        <v>604</v>
      </c>
      <c r="B606" s="28" t="s">
        <v>1786</v>
      </c>
      <c r="C606" s="29" t="s">
        <v>3499</v>
      </c>
      <c r="D606" s="29" t="s">
        <v>59</v>
      </c>
      <c r="E606" s="32">
        <v>35471</v>
      </c>
      <c r="F606" s="74">
        <v>46083</v>
      </c>
      <c r="G606" s="30" t="s">
        <v>179</v>
      </c>
      <c r="H606" s="28" t="s">
        <v>36</v>
      </c>
      <c r="I606" s="28" t="s">
        <v>56</v>
      </c>
      <c r="J606" s="28" t="s">
        <v>4900</v>
      </c>
      <c r="K606" s="28" t="s">
        <v>1788</v>
      </c>
    </row>
    <row r="607" spans="1:11">
      <c r="A607" s="27">
        <v>605</v>
      </c>
      <c r="B607" s="28" t="s">
        <v>1789</v>
      </c>
      <c r="C607" s="29" t="s">
        <v>4256</v>
      </c>
      <c r="D607" s="29" t="s">
        <v>59</v>
      </c>
      <c r="E607" s="32">
        <v>36175</v>
      </c>
      <c r="F607" s="74">
        <v>46083</v>
      </c>
      <c r="G607" s="30" t="s">
        <v>24</v>
      </c>
      <c r="H607" s="28" t="s">
        <v>25</v>
      </c>
      <c r="I607" s="28" t="s">
        <v>14</v>
      </c>
      <c r="J607" s="28" t="s">
        <v>4603</v>
      </c>
      <c r="K607" s="28" t="s">
        <v>1791</v>
      </c>
    </row>
    <row r="608" spans="1:11">
      <c r="A608" s="27">
        <v>606</v>
      </c>
      <c r="B608" s="28" t="s">
        <v>1792</v>
      </c>
      <c r="C608" s="29" t="s">
        <v>3251</v>
      </c>
      <c r="D608" s="29" t="s">
        <v>59</v>
      </c>
      <c r="E608" s="32">
        <v>36206</v>
      </c>
      <c r="F608" s="74">
        <v>46083</v>
      </c>
      <c r="G608" s="30" t="s">
        <v>179</v>
      </c>
      <c r="H608" s="28" t="s">
        <v>36</v>
      </c>
      <c r="I608" s="28" t="s">
        <v>14</v>
      </c>
      <c r="J608" s="28" t="s">
        <v>5265</v>
      </c>
      <c r="K608" s="28" t="s">
        <v>1794</v>
      </c>
    </row>
    <row r="609" spans="1:11">
      <c r="A609" s="27">
        <v>607</v>
      </c>
      <c r="B609" s="28" t="s">
        <v>1795</v>
      </c>
      <c r="C609" s="29" t="s">
        <v>3252</v>
      </c>
      <c r="D609" s="29" t="s">
        <v>59</v>
      </c>
      <c r="E609" s="32">
        <v>31580</v>
      </c>
      <c r="F609" s="74">
        <v>46083</v>
      </c>
      <c r="G609" s="30" t="s">
        <v>179</v>
      </c>
      <c r="H609" s="28" t="s">
        <v>36</v>
      </c>
      <c r="I609" s="28" t="s">
        <v>42</v>
      </c>
      <c r="J609" s="28" t="s">
        <v>4825</v>
      </c>
      <c r="K609" s="28" t="s">
        <v>1796</v>
      </c>
    </row>
    <row r="610" spans="1:11">
      <c r="A610" s="27">
        <v>608</v>
      </c>
      <c r="B610" s="28" t="s">
        <v>1797</v>
      </c>
      <c r="C610" s="29" t="s">
        <v>3392</v>
      </c>
      <c r="D610" s="29" t="s">
        <v>17</v>
      </c>
      <c r="E610" s="32">
        <v>32984</v>
      </c>
      <c r="F610" s="74">
        <v>46083</v>
      </c>
      <c r="G610" s="30" t="s">
        <v>179</v>
      </c>
      <c r="H610" s="28" t="s">
        <v>36</v>
      </c>
      <c r="I610" s="28" t="s">
        <v>56</v>
      </c>
      <c r="J610" s="28" t="s">
        <v>4579</v>
      </c>
      <c r="K610" s="28" t="s">
        <v>1799</v>
      </c>
    </row>
    <row r="611" spans="1:11">
      <c r="A611" s="27">
        <v>609</v>
      </c>
      <c r="B611" s="28" t="s">
        <v>1800</v>
      </c>
      <c r="C611" s="29" t="s">
        <v>3562</v>
      </c>
      <c r="D611" s="29" t="s">
        <v>59</v>
      </c>
      <c r="E611" s="32">
        <v>33521</v>
      </c>
      <c r="F611" s="74">
        <v>46083</v>
      </c>
      <c r="G611" s="30" t="s">
        <v>179</v>
      </c>
      <c r="H611" s="28" t="s">
        <v>36</v>
      </c>
      <c r="I611" s="28" t="s">
        <v>42</v>
      </c>
      <c r="J611" s="28" t="s">
        <v>4857</v>
      </c>
      <c r="K611" s="28" t="s">
        <v>1801</v>
      </c>
    </row>
    <row r="612" spans="1:11">
      <c r="A612" s="27">
        <v>610</v>
      </c>
      <c r="B612" s="28" t="s">
        <v>1802</v>
      </c>
      <c r="C612" s="29" t="s">
        <v>3253</v>
      </c>
      <c r="D612" s="29" t="s">
        <v>59</v>
      </c>
      <c r="E612" s="32">
        <v>33687</v>
      </c>
      <c r="F612" s="74">
        <v>46083</v>
      </c>
      <c r="G612" s="30" t="s">
        <v>179</v>
      </c>
      <c r="H612" s="28" t="s">
        <v>36</v>
      </c>
      <c r="I612" s="28" t="s">
        <v>56</v>
      </c>
      <c r="J612" s="28" t="s">
        <v>5273</v>
      </c>
      <c r="K612" s="28" t="s">
        <v>1804</v>
      </c>
    </row>
    <row r="613" spans="1:11">
      <c r="A613" s="27">
        <v>611</v>
      </c>
      <c r="B613" s="28" t="s">
        <v>1805</v>
      </c>
      <c r="C613" s="29" t="s">
        <v>4257</v>
      </c>
      <c r="D613" s="29" t="s">
        <v>17</v>
      </c>
      <c r="E613" s="32">
        <v>33259</v>
      </c>
      <c r="F613" s="74">
        <v>46083</v>
      </c>
      <c r="G613" s="30" t="s">
        <v>179</v>
      </c>
      <c r="H613" s="28" t="s">
        <v>36</v>
      </c>
      <c r="I613" s="28" t="s">
        <v>14</v>
      </c>
      <c r="J613" s="28" t="s">
        <v>4576</v>
      </c>
      <c r="K613" s="28" t="s">
        <v>5846</v>
      </c>
    </row>
    <row r="614" spans="1:11">
      <c r="A614" s="27">
        <v>612</v>
      </c>
      <c r="B614" s="28" t="s">
        <v>1807</v>
      </c>
      <c r="C614" s="29" t="s">
        <v>4258</v>
      </c>
      <c r="D614" s="29" t="s">
        <v>17</v>
      </c>
      <c r="E614" s="32">
        <v>33741</v>
      </c>
      <c r="F614" s="74">
        <v>46083</v>
      </c>
      <c r="G614" s="30" t="s">
        <v>85</v>
      </c>
      <c r="H614" s="28" t="s">
        <v>120</v>
      </c>
      <c r="I614" s="28" t="s">
        <v>42</v>
      </c>
      <c r="J614" s="28" t="s">
        <v>4776</v>
      </c>
      <c r="K614" s="28" t="s">
        <v>5897</v>
      </c>
    </row>
    <row r="615" spans="1:11">
      <c r="A615" s="27">
        <v>613</v>
      </c>
      <c r="B615" s="28" t="s">
        <v>1810</v>
      </c>
      <c r="C615" s="29" t="s">
        <v>4259</v>
      </c>
      <c r="D615" s="29" t="s">
        <v>17</v>
      </c>
      <c r="E615" s="32">
        <v>36206</v>
      </c>
      <c r="F615" s="74">
        <v>46083</v>
      </c>
      <c r="G615" s="30" t="s">
        <v>40</v>
      </c>
      <c r="H615" s="28" t="s">
        <v>71</v>
      </c>
      <c r="I615" s="28" t="s">
        <v>42</v>
      </c>
      <c r="J615" s="28" t="s">
        <v>5378</v>
      </c>
      <c r="K615" s="28" t="s">
        <v>1811</v>
      </c>
    </row>
    <row r="616" spans="1:11">
      <c r="A616" s="27">
        <v>614</v>
      </c>
      <c r="B616" s="28" t="s">
        <v>1812</v>
      </c>
      <c r="C616" s="29" t="s">
        <v>4260</v>
      </c>
      <c r="D616" s="29" t="s">
        <v>17</v>
      </c>
      <c r="E616" s="32">
        <v>32679</v>
      </c>
      <c r="F616" s="74">
        <v>46083</v>
      </c>
      <c r="G616" s="30" t="s">
        <v>85</v>
      </c>
      <c r="H616" s="28" t="s">
        <v>120</v>
      </c>
      <c r="I616" s="28" t="s">
        <v>56</v>
      </c>
      <c r="J616" s="28" t="s">
        <v>4978</v>
      </c>
      <c r="K616" s="28" t="s">
        <v>5841</v>
      </c>
    </row>
    <row r="617" spans="1:11">
      <c r="A617" s="27">
        <v>615</v>
      </c>
      <c r="B617" s="28" t="s">
        <v>1814</v>
      </c>
      <c r="C617" s="29" t="s">
        <v>4261</v>
      </c>
      <c r="D617" s="29" t="s">
        <v>17</v>
      </c>
      <c r="E617" s="32">
        <v>32357</v>
      </c>
      <c r="F617" s="74">
        <v>46083</v>
      </c>
      <c r="G617" s="30" t="s">
        <v>85</v>
      </c>
      <c r="H617" s="28" t="s">
        <v>120</v>
      </c>
      <c r="I617" s="28" t="s">
        <v>14</v>
      </c>
      <c r="J617" s="28" t="s">
        <v>5018</v>
      </c>
      <c r="K617" s="28" t="s">
        <v>1816</v>
      </c>
    </row>
    <row r="618" spans="1:11">
      <c r="A618" s="27">
        <v>616</v>
      </c>
      <c r="B618" s="28" t="s">
        <v>1817</v>
      </c>
      <c r="C618" s="29" t="s">
        <v>4262</v>
      </c>
      <c r="D618" s="29" t="s">
        <v>59</v>
      </c>
      <c r="E618" s="32">
        <v>32203</v>
      </c>
      <c r="F618" s="74">
        <v>46083</v>
      </c>
      <c r="G618" s="30" t="s">
        <v>24</v>
      </c>
      <c r="H618" s="28" t="s">
        <v>25</v>
      </c>
      <c r="I618" s="28" t="s">
        <v>42</v>
      </c>
      <c r="J618" s="28" t="s">
        <v>5453</v>
      </c>
      <c r="K618" s="28" t="s">
        <v>1819</v>
      </c>
    </row>
    <row r="619" spans="1:11">
      <c r="A619" s="27">
        <v>617</v>
      </c>
      <c r="B619" s="28" t="s">
        <v>1820</v>
      </c>
      <c r="C619" s="29" t="s">
        <v>4263</v>
      </c>
      <c r="D619" s="29" t="s">
        <v>17</v>
      </c>
      <c r="E619" s="32">
        <v>33897</v>
      </c>
      <c r="F619" s="74">
        <v>46083</v>
      </c>
      <c r="G619" s="30" t="s">
        <v>40</v>
      </c>
      <c r="H619" s="28" t="s">
        <v>71</v>
      </c>
      <c r="I619" s="28" t="s">
        <v>42</v>
      </c>
      <c r="J619" s="28" t="s">
        <v>4848</v>
      </c>
      <c r="K619" s="28" t="s">
        <v>1822</v>
      </c>
    </row>
    <row r="620" spans="1:11">
      <c r="A620" s="27">
        <v>618</v>
      </c>
      <c r="B620" s="28" t="s">
        <v>1823</v>
      </c>
      <c r="C620" s="29" t="s">
        <v>3563</v>
      </c>
      <c r="D620" s="29" t="s">
        <v>59</v>
      </c>
      <c r="E620" s="32">
        <v>36858</v>
      </c>
      <c r="F620" s="74">
        <v>46083</v>
      </c>
      <c r="G620" s="30" t="s">
        <v>179</v>
      </c>
      <c r="H620" s="28" t="s">
        <v>36</v>
      </c>
      <c r="I620" s="28" t="s">
        <v>42</v>
      </c>
      <c r="J620" s="28" t="s">
        <v>4952</v>
      </c>
      <c r="K620" s="28" t="s">
        <v>1825</v>
      </c>
    </row>
    <row r="621" spans="1:11">
      <c r="A621" s="27">
        <v>619</v>
      </c>
      <c r="B621" s="28" t="s">
        <v>1826</v>
      </c>
      <c r="C621" s="29" t="s">
        <v>3564</v>
      </c>
      <c r="D621" s="29" t="s">
        <v>59</v>
      </c>
      <c r="E621" s="32">
        <v>37217</v>
      </c>
      <c r="F621" s="74">
        <v>46083</v>
      </c>
      <c r="G621" s="30" t="s">
        <v>179</v>
      </c>
      <c r="H621" s="28" t="s">
        <v>36</v>
      </c>
      <c r="I621" s="28" t="s">
        <v>14</v>
      </c>
      <c r="J621" s="28" t="s">
        <v>5297</v>
      </c>
      <c r="K621" s="28" t="s">
        <v>1828</v>
      </c>
    </row>
    <row r="622" spans="1:11">
      <c r="A622" s="27">
        <v>620</v>
      </c>
      <c r="B622" s="28" t="s">
        <v>1829</v>
      </c>
      <c r="C622" s="29" t="s">
        <v>3308</v>
      </c>
      <c r="D622" s="29" t="s">
        <v>59</v>
      </c>
      <c r="E622" s="32">
        <v>32996</v>
      </c>
      <c r="F622" s="74">
        <v>46083</v>
      </c>
      <c r="G622" s="30" t="s">
        <v>179</v>
      </c>
      <c r="H622" s="28" t="s">
        <v>36</v>
      </c>
      <c r="I622" s="28" t="s">
        <v>42</v>
      </c>
      <c r="J622" s="28" t="s">
        <v>4908</v>
      </c>
      <c r="K622" s="28" t="s">
        <v>1831</v>
      </c>
    </row>
    <row r="623" spans="1:11">
      <c r="A623" s="27">
        <v>621</v>
      </c>
      <c r="B623" s="28" t="s">
        <v>1832</v>
      </c>
      <c r="C623" s="29" t="s">
        <v>3393</v>
      </c>
      <c r="D623" s="29" t="s">
        <v>17</v>
      </c>
      <c r="E623" s="32">
        <v>31718</v>
      </c>
      <c r="F623" s="74">
        <v>46083</v>
      </c>
      <c r="G623" s="30" t="s">
        <v>179</v>
      </c>
      <c r="H623" s="28" t="s">
        <v>36</v>
      </c>
      <c r="I623" s="28" t="s">
        <v>56</v>
      </c>
      <c r="J623" s="28" t="s">
        <v>4580</v>
      </c>
      <c r="K623" s="28" t="s">
        <v>5787</v>
      </c>
    </row>
    <row r="624" spans="1:11">
      <c r="A624" s="27">
        <v>622</v>
      </c>
      <c r="B624" s="28" t="s">
        <v>1834</v>
      </c>
      <c r="C624" s="29" t="s">
        <v>3500</v>
      </c>
      <c r="D624" s="29" t="s">
        <v>59</v>
      </c>
      <c r="E624" s="32">
        <v>34576</v>
      </c>
      <c r="F624" s="74">
        <v>46083</v>
      </c>
      <c r="G624" s="30" t="s">
        <v>179</v>
      </c>
      <c r="H624" s="28" t="s">
        <v>36</v>
      </c>
      <c r="I624" s="28" t="s">
        <v>56</v>
      </c>
      <c r="J624" s="28" t="s">
        <v>4567</v>
      </c>
      <c r="K624" s="28" t="s">
        <v>1836</v>
      </c>
    </row>
    <row r="625" spans="1:11">
      <c r="A625" s="27">
        <v>623</v>
      </c>
      <c r="B625" s="28" t="s">
        <v>3953</v>
      </c>
      <c r="C625" s="29" t="s">
        <v>4264</v>
      </c>
      <c r="D625" s="29" t="s">
        <v>59</v>
      </c>
      <c r="E625" s="32">
        <v>34567</v>
      </c>
      <c r="F625" s="74">
        <v>46083</v>
      </c>
      <c r="G625" s="30" t="s">
        <v>179</v>
      </c>
      <c r="H625" s="28" t="s">
        <v>36</v>
      </c>
      <c r="I625" s="28" t="s">
        <v>14</v>
      </c>
      <c r="J625" s="28" t="s">
        <v>4901</v>
      </c>
      <c r="K625" s="28" t="s">
        <v>1837</v>
      </c>
    </row>
    <row r="626" spans="1:11">
      <c r="A626" s="27">
        <v>624</v>
      </c>
      <c r="B626" s="28" t="s">
        <v>1838</v>
      </c>
      <c r="C626" s="29" t="s">
        <v>3309</v>
      </c>
      <c r="D626" s="29" t="s">
        <v>59</v>
      </c>
      <c r="E626" s="32">
        <v>35432</v>
      </c>
      <c r="F626" s="74">
        <v>46083</v>
      </c>
      <c r="G626" s="30" t="s">
        <v>179</v>
      </c>
      <c r="H626" s="28" t="s">
        <v>36</v>
      </c>
      <c r="I626" s="28" t="s">
        <v>42</v>
      </c>
      <c r="J626" s="28" t="s">
        <v>5305</v>
      </c>
      <c r="K626" s="28" t="s">
        <v>5786</v>
      </c>
    </row>
    <row r="627" spans="1:11">
      <c r="A627" s="27">
        <v>625</v>
      </c>
      <c r="B627" s="28" t="s">
        <v>1840</v>
      </c>
      <c r="C627" s="29" t="s">
        <v>4265</v>
      </c>
      <c r="D627" s="29" t="s">
        <v>59</v>
      </c>
      <c r="E627" s="32">
        <v>33838</v>
      </c>
      <c r="F627" s="74">
        <v>46083</v>
      </c>
      <c r="G627" s="30" t="s">
        <v>179</v>
      </c>
      <c r="H627" s="28" t="s">
        <v>36</v>
      </c>
      <c r="I627" s="28" t="s">
        <v>14</v>
      </c>
      <c r="J627" s="28" t="s">
        <v>5411</v>
      </c>
      <c r="K627" s="28" t="s">
        <v>1842</v>
      </c>
    </row>
    <row r="628" spans="1:11">
      <c r="A628" s="27">
        <v>626</v>
      </c>
      <c r="B628" s="28" t="s">
        <v>1843</v>
      </c>
      <c r="C628" s="29" t="s">
        <v>3501</v>
      </c>
      <c r="D628" s="29" t="s">
        <v>59</v>
      </c>
      <c r="E628" s="32">
        <v>32776</v>
      </c>
      <c r="F628" s="74">
        <v>46083</v>
      </c>
      <c r="G628" s="30" t="s">
        <v>179</v>
      </c>
      <c r="H628" s="28" t="s">
        <v>36</v>
      </c>
      <c r="I628" s="28" t="s">
        <v>14</v>
      </c>
      <c r="J628" s="28" t="s">
        <v>4871</v>
      </c>
      <c r="K628" s="28" t="s">
        <v>1845</v>
      </c>
    </row>
    <row r="629" spans="1:11">
      <c r="A629" s="27">
        <v>627</v>
      </c>
      <c r="B629" s="28" t="s">
        <v>1846</v>
      </c>
      <c r="C629" s="29" t="s">
        <v>4266</v>
      </c>
      <c r="D629" s="29" t="s">
        <v>17</v>
      </c>
      <c r="E629" s="32">
        <v>33562</v>
      </c>
      <c r="F629" s="74">
        <v>46083</v>
      </c>
      <c r="G629" s="30" t="s">
        <v>179</v>
      </c>
      <c r="H629" s="28" t="s">
        <v>36</v>
      </c>
      <c r="I629" s="28" t="s">
        <v>56</v>
      </c>
      <c r="J629" s="28" t="s">
        <v>5209</v>
      </c>
      <c r="K629" s="28" t="s">
        <v>1848</v>
      </c>
    </row>
    <row r="630" spans="1:11">
      <c r="A630" s="27">
        <v>628</v>
      </c>
      <c r="B630" s="28" t="s">
        <v>1849</v>
      </c>
      <c r="C630" s="29" t="s">
        <v>4267</v>
      </c>
      <c r="D630" s="29" t="s">
        <v>17</v>
      </c>
      <c r="E630" s="32">
        <v>31903</v>
      </c>
      <c r="F630" s="74">
        <v>46083</v>
      </c>
      <c r="G630" s="30" t="s">
        <v>40</v>
      </c>
      <c r="H630" s="28" t="s">
        <v>71</v>
      </c>
      <c r="I630" s="28" t="s">
        <v>42</v>
      </c>
      <c r="J630" s="28" t="s">
        <v>4577</v>
      </c>
      <c r="K630" s="28" t="s">
        <v>1850</v>
      </c>
    </row>
    <row r="631" spans="1:11">
      <c r="A631" s="27">
        <v>629</v>
      </c>
      <c r="B631" s="28" t="s">
        <v>1851</v>
      </c>
      <c r="C631" s="29" t="s">
        <v>4268</v>
      </c>
      <c r="D631" s="29" t="s">
        <v>59</v>
      </c>
      <c r="E631" s="32">
        <v>35796</v>
      </c>
      <c r="F631" s="74">
        <v>46083</v>
      </c>
      <c r="G631" s="30" t="s">
        <v>179</v>
      </c>
      <c r="H631" s="28" t="s">
        <v>36</v>
      </c>
      <c r="I631" s="28" t="s">
        <v>14</v>
      </c>
      <c r="J631" s="28" t="s">
        <v>4595</v>
      </c>
      <c r="K631" s="28" t="s">
        <v>1853</v>
      </c>
    </row>
    <row r="632" spans="1:11">
      <c r="A632" s="27">
        <v>630</v>
      </c>
      <c r="B632" s="28" t="s">
        <v>1854</v>
      </c>
      <c r="C632" s="29" t="s">
        <v>3565</v>
      </c>
      <c r="D632" s="29" t="s">
        <v>59</v>
      </c>
      <c r="E632" s="32">
        <v>32788</v>
      </c>
      <c r="F632" s="74">
        <v>46083</v>
      </c>
      <c r="G632" s="30" t="s">
        <v>179</v>
      </c>
      <c r="H632" s="28" t="s">
        <v>36</v>
      </c>
      <c r="I632" s="28" t="s">
        <v>14</v>
      </c>
      <c r="J632" s="28" t="s">
        <v>4539</v>
      </c>
      <c r="K632" s="28" t="s">
        <v>5785</v>
      </c>
    </row>
    <row r="633" spans="1:11">
      <c r="A633" s="27">
        <v>631</v>
      </c>
      <c r="B633" s="28" t="s">
        <v>1856</v>
      </c>
      <c r="C633" s="29" t="s">
        <v>3254</v>
      </c>
      <c r="D633" s="29" t="s">
        <v>59</v>
      </c>
      <c r="E633" s="32">
        <v>34843</v>
      </c>
      <c r="F633" s="74">
        <v>46083</v>
      </c>
      <c r="G633" s="30" t="s">
        <v>179</v>
      </c>
      <c r="H633" s="28" t="s">
        <v>36</v>
      </c>
      <c r="I633" s="28" t="s">
        <v>14</v>
      </c>
      <c r="J633" s="28" t="s">
        <v>4480</v>
      </c>
      <c r="K633" s="28" t="s">
        <v>1858</v>
      </c>
    </row>
    <row r="634" spans="1:11">
      <c r="A634" s="27">
        <v>632</v>
      </c>
      <c r="B634" s="28" t="s">
        <v>1859</v>
      </c>
      <c r="C634" s="29" t="s">
        <v>4269</v>
      </c>
      <c r="D634" s="29" t="s">
        <v>59</v>
      </c>
      <c r="E634" s="32">
        <v>37895</v>
      </c>
      <c r="F634" s="74">
        <v>46083</v>
      </c>
      <c r="G634" s="30" t="s">
        <v>24</v>
      </c>
      <c r="H634" s="28" t="s">
        <v>25</v>
      </c>
      <c r="I634" s="28" t="s">
        <v>14</v>
      </c>
      <c r="J634" s="28" t="s">
        <v>5053</v>
      </c>
      <c r="K634" s="28" t="s">
        <v>1861</v>
      </c>
    </row>
    <row r="635" spans="1:11">
      <c r="A635" s="27">
        <v>633</v>
      </c>
      <c r="B635" s="28" t="s">
        <v>1862</v>
      </c>
      <c r="C635" s="29" t="s">
        <v>4270</v>
      </c>
      <c r="D635" s="29" t="s">
        <v>59</v>
      </c>
      <c r="E635" s="32">
        <v>32455</v>
      </c>
      <c r="F635" s="74">
        <v>46083</v>
      </c>
      <c r="G635" s="30" t="s">
        <v>179</v>
      </c>
      <c r="H635" s="28" t="s">
        <v>36</v>
      </c>
      <c r="I635" s="28" t="s">
        <v>14</v>
      </c>
      <c r="J635" s="28" t="s">
        <v>4903</v>
      </c>
      <c r="K635" s="28" t="s">
        <v>1864</v>
      </c>
    </row>
    <row r="636" spans="1:11">
      <c r="A636" s="27">
        <v>634</v>
      </c>
      <c r="B636" s="28" t="s">
        <v>1865</v>
      </c>
      <c r="C636" s="29" t="s">
        <v>4271</v>
      </c>
      <c r="D636" s="29" t="s">
        <v>59</v>
      </c>
      <c r="E636" s="32">
        <v>34369</v>
      </c>
      <c r="F636" s="74">
        <v>46083</v>
      </c>
      <c r="G636" s="30" t="s">
        <v>179</v>
      </c>
      <c r="H636" s="28" t="s">
        <v>36</v>
      </c>
      <c r="I636" s="28" t="s">
        <v>14</v>
      </c>
      <c r="J636" s="28" t="s">
        <v>4748</v>
      </c>
      <c r="K636" s="28" t="s">
        <v>5830</v>
      </c>
    </row>
    <row r="637" spans="1:11">
      <c r="A637" s="27">
        <v>635</v>
      </c>
      <c r="B637" s="28" t="s">
        <v>1867</v>
      </c>
      <c r="C637" s="29" t="s">
        <v>4272</v>
      </c>
      <c r="D637" s="29" t="s">
        <v>17</v>
      </c>
      <c r="E637" s="32">
        <v>37443</v>
      </c>
      <c r="F637" s="74">
        <v>46083</v>
      </c>
      <c r="G637" s="30" t="s">
        <v>179</v>
      </c>
      <c r="H637" s="28" t="s">
        <v>36</v>
      </c>
      <c r="I637" s="28" t="s">
        <v>42</v>
      </c>
      <c r="J637" s="28" t="s">
        <v>4519</v>
      </c>
      <c r="K637" s="28" t="s">
        <v>1869</v>
      </c>
    </row>
    <row r="638" spans="1:11">
      <c r="A638" s="27">
        <v>636</v>
      </c>
      <c r="B638" s="28" t="s">
        <v>1870</v>
      </c>
      <c r="C638" s="29" t="s">
        <v>4273</v>
      </c>
      <c r="D638" s="29" t="s">
        <v>59</v>
      </c>
      <c r="E638" s="32">
        <v>33877</v>
      </c>
      <c r="F638" s="74">
        <v>46083</v>
      </c>
      <c r="G638" s="30" t="s">
        <v>179</v>
      </c>
      <c r="H638" s="28" t="s">
        <v>36</v>
      </c>
      <c r="I638" s="28" t="s">
        <v>14</v>
      </c>
      <c r="J638" s="28" t="s">
        <v>5034</v>
      </c>
      <c r="K638" s="28" t="s">
        <v>1872</v>
      </c>
    </row>
    <row r="639" spans="1:11">
      <c r="A639" s="27">
        <v>637</v>
      </c>
      <c r="B639" s="28" t="s">
        <v>1873</v>
      </c>
      <c r="C639" s="29" t="s">
        <v>4274</v>
      </c>
      <c r="D639" s="29" t="s">
        <v>59</v>
      </c>
      <c r="E639" s="32">
        <v>32633</v>
      </c>
      <c r="F639" s="74">
        <v>46083</v>
      </c>
      <c r="G639" s="30" t="s">
        <v>179</v>
      </c>
      <c r="H639" s="28" t="s">
        <v>36</v>
      </c>
      <c r="I639" s="28" t="s">
        <v>14</v>
      </c>
      <c r="J639" s="28" t="s">
        <v>4739</v>
      </c>
      <c r="K639" s="28" t="s">
        <v>1875</v>
      </c>
    </row>
    <row r="640" spans="1:11">
      <c r="A640" s="27">
        <v>638</v>
      </c>
      <c r="B640" s="28" t="s">
        <v>1876</v>
      </c>
      <c r="C640" s="29" t="s">
        <v>4275</v>
      </c>
      <c r="D640" s="29" t="s">
        <v>59</v>
      </c>
      <c r="E640" s="32">
        <v>32529</v>
      </c>
      <c r="F640" s="74">
        <v>46083</v>
      </c>
      <c r="G640" s="30" t="s">
        <v>179</v>
      </c>
      <c r="H640" s="28" t="s">
        <v>36</v>
      </c>
      <c r="I640" s="28" t="s">
        <v>56</v>
      </c>
      <c r="J640" s="28" t="s">
        <v>4864</v>
      </c>
      <c r="K640" s="28" t="s">
        <v>1878</v>
      </c>
    </row>
    <row r="641" spans="1:11">
      <c r="A641" s="27">
        <v>639</v>
      </c>
      <c r="B641" s="28" t="s">
        <v>1879</v>
      </c>
      <c r="C641" s="29" t="s">
        <v>3630</v>
      </c>
      <c r="D641" s="29" t="s">
        <v>59</v>
      </c>
      <c r="E641" s="32">
        <v>35714</v>
      </c>
      <c r="F641" s="74">
        <v>46083</v>
      </c>
      <c r="G641" s="30" t="s">
        <v>179</v>
      </c>
      <c r="H641" s="28" t="s">
        <v>36</v>
      </c>
      <c r="I641" s="28" t="s">
        <v>14</v>
      </c>
      <c r="J641" s="28" t="s">
        <v>4752</v>
      </c>
      <c r="K641" s="28" t="s">
        <v>1881</v>
      </c>
    </row>
    <row r="642" spans="1:11">
      <c r="A642" s="27">
        <v>640</v>
      </c>
      <c r="B642" s="28" t="s">
        <v>1882</v>
      </c>
      <c r="C642" s="29" t="s">
        <v>3394</v>
      </c>
      <c r="D642" s="29" t="s">
        <v>17</v>
      </c>
      <c r="E642" s="32">
        <v>35249</v>
      </c>
      <c r="F642" s="74">
        <v>46083</v>
      </c>
      <c r="G642" s="30" t="s">
        <v>179</v>
      </c>
      <c r="H642" s="28" t="s">
        <v>36</v>
      </c>
      <c r="I642" s="28" t="s">
        <v>56</v>
      </c>
      <c r="J642" s="28" t="s">
        <v>4858</v>
      </c>
      <c r="K642" s="28" t="s">
        <v>1884</v>
      </c>
    </row>
    <row r="643" spans="1:11">
      <c r="A643" s="27">
        <v>641</v>
      </c>
      <c r="B643" s="28" t="s">
        <v>1885</v>
      </c>
      <c r="C643" s="29" t="s">
        <v>4276</v>
      </c>
      <c r="D643" s="29" t="s">
        <v>59</v>
      </c>
      <c r="E643" s="32">
        <v>31564</v>
      </c>
      <c r="F643" s="74">
        <v>46083</v>
      </c>
      <c r="G643" s="30" t="s">
        <v>179</v>
      </c>
      <c r="H643" s="28" t="s">
        <v>36</v>
      </c>
      <c r="I643" s="28" t="s">
        <v>56</v>
      </c>
      <c r="J643" s="28" t="s">
        <v>5147</v>
      </c>
      <c r="K643" s="28" t="s">
        <v>1887</v>
      </c>
    </row>
    <row r="644" spans="1:11">
      <c r="A644" s="27">
        <v>642</v>
      </c>
      <c r="B644" s="28" t="s">
        <v>1888</v>
      </c>
      <c r="C644" s="29" t="s">
        <v>4277</v>
      </c>
      <c r="D644" s="29" t="s">
        <v>17</v>
      </c>
      <c r="E644" s="32">
        <v>37320</v>
      </c>
      <c r="F644" s="74">
        <v>46083</v>
      </c>
      <c r="G644" s="30" t="s">
        <v>40</v>
      </c>
      <c r="H644" s="28" t="s">
        <v>71</v>
      </c>
      <c r="I644" s="28" t="s">
        <v>14</v>
      </c>
      <c r="J644" s="28" t="s">
        <v>4578</v>
      </c>
      <c r="K644" s="28" t="s">
        <v>1890</v>
      </c>
    </row>
    <row r="645" spans="1:11">
      <c r="A645" s="27">
        <v>643</v>
      </c>
      <c r="B645" s="28" t="s">
        <v>1891</v>
      </c>
      <c r="C645" s="29" t="s">
        <v>4278</v>
      </c>
      <c r="D645" s="29" t="s">
        <v>59</v>
      </c>
      <c r="E645" s="32">
        <v>36998</v>
      </c>
      <c r="F645" s="74">
        <v>46083</v>
      </c>
      <c r="G645" s="30" t="s">
        <v>179</v>
      </c>
      <c r="H645" s="28" t="s">
        <v>36</v>
      </c>
      <c r="I645" s="28" t="s">
        <v>14</v>
      </c>
      <c r="J645" s="28" t="s">
        <v>4678</v>
      </c>
      <c r="K645" s="28" t="s">
        <v>1893</v>
      </c>
    </row>
    <row r="646" spans="1:11">
      <c r="A646" s="27">
        <v>644</v>
      </c>
      <c r="B646" s="28" t="s">
        <v>3954</v>
      </c>
      <c r="C646" s="29" t="s">
        <v>3566</v>
      </c>
      <c r="D646" s="29" t="s">
        <v>59</v>
      </c>
      <c r="E646" s="32">
        <v>36737</v>
      </c>
      <c r="F646" s="74">
        <v>46083</v>
      </c>
      <c r="G646" s="30" t="s">
        <v>179</v>
      </c>
      <c r="H646" s="28" t="s">
        <v>36</v>
      </c>
      <c r="I646" s="28" t="s">
        <v>56</v>
      </c>
      <c r="J646" s="28" t="s">
        <v>5042</v>
      </c>
      <c r="K646" s="28" t="s">
        <v>1895</v>
      </c>
    </row>
    <row r="647" spans="1:11">
      <c r="A647" s="27">
        <v>645</v>
      </c>
      <c r="B647" s="28" t="s">
        <v>1896</v>
      </c>
      <c r="C647" s="29" t="s">
        <v>3502</v>
      </c>
      <c r="D647" s="29" t="s">
        <v>59</v>
      </c>
      <c r="E647" s="32">
        <v>31499</v>
      </c>
      <c r="F647" s="74">
        <v>46083</v>
      </c>
      <c r="G647" s="30" t="s">
        <v>179</v>
      </c>
      <c r="H647" s="28" t="s">
        <v>36</v>
      </c>
      <c r="I647" s="28" t="s">
        <v>42</v>
      </c>
      <c r="J647" s="28" t="s">
        <v>4640</v>
      </c>
      <c r="K647" s="28" t="s">
        <v>1898</v>
      </c>
    </row>
    <row r="648" spans="1:11">
      <c r="A648" s="27">
        <v>646</v>
      </c>
      <c r="B648" s="28" t="s">
        <v>1899</v>
      </c>
      <c r="C648" s="29" t="s">
        <v>3503</v>
      </c>
      <c r="D648" s="29" t="s">
        <v>59</v>
      </c>
      <c r="E648" s="32">
        <v>34059</v>
      </c>
      <c r="F648" s="74">
        <v>46083</v>
      </c>
      <c r="G648" s="30" t="s">
        <v>179</v>
      </c>
      <c r="H648" s="28" t="s">
        <v>36</v>
      </c>
      <c r="I648" s="28" t="s">
        <v>14</v>
      </c>
      <c r="J648" s="28" t="s">
        <v>4619</v>
      </c>
      <c r="K648" s="28" t="s">
        <v>1901</v>
      </c>
    </row>
    <row r="649" spans="1:11">
      <c r="A649" s="27">
        <v>647</v>
      </c>
      <c r="B649" s="28" t="s">
        <v>1902</v>
      </c>
      <c r="C649" s="29" t="s">
        <v>3504</v>
      </c>
      <c r="D649" s="29" t="s">
        <v>59</v>
      </c>
      <c r="E649" s="32">
        <v>32872</v>
      </c>
      <c r="F649" s="74">
        <v>46083</v>
      </c>
      <c r="G649" s="30" t="s">
        <v>179</v>
      </c>
      <c r="H649" s="28" t="s">
        <v>36</v>
      </c>
      <c r="I649" s="28" t="s">
        <v>56</v>
      </c>
      <c r="J649" s="28" t="s">
        <v>5262</v>
      </c>
      <c r="K649" s="28" t="s">
        <v>1904</v>
      </c>
    </row>
    <row r="650" spans="1:11">
      <c r="A650" s="27">
        <v>648</v>
      </c>
      <c r="B650" s="28" t="s">
        <v>1905</v>
      </c>
      <c r="C650" s="29" t="s">
        <v>4279</v>
      </c>
      <c r="D650" s="29" t="s">
        <v>17</v>
      </c>
      <c r="E650" s="32">
        <v>31261</v>
      </c>
      <c r="F650" s="74">
        <v>46083</v>
      </c>
      <c r="G650" s="30" t="s">
        <v>85</v>
      </c>
      <c r="H650" s="28" t="s">
        <v>120</v>
      </c>
      <c r="I650" s="28" t="s">
        <v>14</v>
      </c>
      <c r="J650" s="28" t="s">
        <v>5190</v>
      </c>
      <c r="K650" s="28" t="s">
        <v>1907</v>
      </c>
    </row>
    <row r="651" spans="1:11">
      <c r="A651" s="27">
        <v>649</v>
      </c>
      <c r="B651" s="28" t="s">
        <v>1908</v>
      </c>
      <c r="C651" s="29" t="s">
        <v>4280</v>
      </c>
      <c r="D651" s="29" t="s">
        <v>59</v>
      </c>
      <c r="E651" s="32">
        <v>33469</v>
      </c>
      <c r="F651" s="74">
        <v>46083</v>
      </c>
      <c r="G651" s="30" t="s">
        <v>179</v>
      </c>
      <c r="H651" s="28" t="s">
        <v>36</v>
      </c>
      <c r="I651" s="28" t="s">
        <v>14</v>
      </c>
      <c r="J651" s="28" t="s">
        <v>4662</v>
      </c>
      <c r="K651" s="28" t="s">
        <v>1910</v>
      </c>
    </row>
    <row r="652" spans="1:11">
      <c r="A652" s="27">
        <v>650</v>
      </c>
      <c r="B652" s="28" t="s">
        <v>1911</v>
      </c>
      <c r="C652" s="29" t="s">
        <v>4281</v>
      </c>
      <c r="D652" s="29" t="s">
        <v>59</v>
      </c>
      <c r="E652" s="32">
        <v>33832</v>
      </c>
      <c r="F652" s="74">
        <v>46083</v>
      </c>
      <c r="G652" s="30" t="s">
        <v>179</v>
      </c>
      <c r="H652" s="28" t="s">
        <v>36</v>
      </c>
      <c r="I652" s="28" t="s">
        <v>56</v>
      </c>
      <c r="J652" s="28" t="s">
        <v>4560</v>
      </c>
      <c r="K652" s="28" t="s">
        <v>1913</v>
      </c>
    </row>
    <row r="653" spans="1:11">
      <c r="A653" s="27">
        <v>651</v>
      </c>
      <c r="B653" s="28" t="s">
        <v>1914</v>
      </c>
      <c r="C653" s="29" t="s">
        <v>3255</v>
      </c>
      <c r="D653" s="29" t="s">
        <v>59</v>
      </c>
      <c r="E653" s="32">
        <v>35036</v>
      </c>
      <c r="F653" s="74">
        <v>46083</v>
      </c>
      <c r="G653" s="30" t="s">
        <v>179</v>
      </c>
      <c r="H653" s="28" t="s">
        <v>36</v>
      </c>
      <c r="I653" s="28" t="s">
        <v>42</v>
      </c>
      <c r="J653" s="28" t="s">
        <v>5067</v>
      </c>
      <c r="K653" s="28" t="s">
        <v>1916</v>
      </c>
    </row>
    <row r="654" spans="1:11">
      <c r="A654" s="27">
        <v>652</v>
      </c>
      <c r="B654" s="28" t="s">
        <v>1917</v>
      </c>
      <c r="C654" s="29" t="s">
        <v>4282</v>
      </c>
      <c r="D654" s="29" t="s">
        <v>17</v>
      </c>
      <c r="E654" s="32">
        <v>35866</v>
      </c>
      <c r="F654" s="74">
        <v>46083</v>
      </c>
      <c r="G654" s="30" t="s">
        <v>40</v>
      </c>
      <c r="H654" s="28" t="s">
        <v>71</v>
      </c>
      <c r="I654" s="28" t="s">
        <v>14</v>
      </c>
      <c r="J654" s="28" t="s">
        <v>4867</v>
      </c>
      <c r="K654" s="28" t="s">
        <v>1919</v>
      </c>
    </row>
    <row r="655" spans="1:11">
      <c r="A655" s="27">
        <v>653</v>
      </c>
      <c r="B655" s="28" t="s">
        <v>1920</v>
      </c>
      <c r="C655" s="29" t="s">
        <v>4283</v>
      </c>
      <c r="D655" s="29" t="s">
        <v>17</v>
      </c>
      <c r="E655" s="32">
        <v>33354</v>
      </c>
      <c r="F655" s="74">
        <v>46083</v>
      </c>
      <c r="G655" s="30" t="s">
        <v>179</v>
      </c>
      <c r="H655" s="28" t="s">
        <v>36</v>
      </c>
      <c r="I655" s="28" t="s">
        <v>14</v>
      </c>
      <c r="J655" s="28" t="s">
        <v>5395</v>
      </c>
      <c r="K655" s="28" t="s">
        <v>1922</v>
      </c>
    </row>
    <row r="656" spans="1:11">
      <c r="A656" s="27">
        <v>654</v>
      </c>
      <c r="B656" s="28" t="s">
        <v>3955</v>
      </c>
      <c r="C656" s="29" t="s">
        <v>4284</v>
      </c>
      <c r="D656" s="29" t="s">
        <v>59</v>
      </c>
      <c r="E656" s="32">
        <v>35037</v>
      </c>
      <c r="F656" s="74">
        <v>46083</v>
      </c>
      <c r="G656" s="30" t="s">
        <v>24</v>
      </c>
      <c r="H656" s="28" t="s">
        <v>25</v>
      </c>
      <c r="I656" s="28" t="s">
        <v>56</v>
      </c>
      <c r="J656" s="28" t="s">
        <v>4904</v>
      </c>
      <c r="K656" s="28" t="s">
        <v>5784</v>
      </c>
    </row>
    <row r="657" spans="1:11">
      <c r="A657" s="27">
        <v>655</v>
      </c>
      <c r="B657" s="28" t="s">
        <v>1924</v>
      </c>
      <c r="C657" s="29" t="s">
        <v>4285</v>
      </c>
      <c r="D657" s="29" t="s">
        <v>17</v>
      </c>
      <c r="E657" s="32">
        <v>33033</v>
      </c>
      <c r="F657" s="74">
        <v>46083</v>
      </c>
      <c r="G657" s="30" t="s">
        <v>40</v>
      </c>
      <c r="H657" s="28" t="s">
        <v>71</v>
      </c>
      <c r="I657" s="28" t="s">
        <v>14</v>
      </c>
      <c r="J657" s="28" t="s">
        <v>4615</v>
      </c>
      <c r="K657" s="28" t="s">
        <v>1926</v>
      </c>
    </row>
    <row r="658" spans="1:11">
      <c r="A658" s="27">
        <v>656</v>
      </c>
      <c r="B658" s="28" t="s">
        <v>1927</v>
      </c>
      <c r="C658" s="29" t="s">
        <v>3505</v>
      </c>
      <c r="D658" s="29" t="s">
        <v>59</v>
      </c>
      <c r="E658" s="32">
        <v>34620</v>
      </c>
      <c r="F658" s="74">
        <v>46083</v>
      </c>
      <c r="G658" s="30" t="s">
        <v>179</v>
      </c>
      <c r="H658" s="28" t="s">
        <v>36</v>
      </c>
      <c r="I658" s="28" t="s">
        <v>56</v>
      </c>
      <c r="J658" s="28" t="s">
        <v>4765</v>
      </c>
      <c r="K658" s="28" t="s">
        <v>1929</v>
      </c>
    </row>
    <row r="659" spans="1:11">
      <c r="A659" s="27">
        <v>657</v>
      </c>
      <c r="B659" s="28" t="s">
        <v>1930</v>
      </c>
      <c r="C659" s="29" t="s">
        <v>3631</v>
      </c>
      <c r="D659" s="29" t="s">
        <v>59</v>
      </c>
      <c r="E659" s="32">
        <v>31654</v>
      </c>
      <c r="F659" s="74">
        <v>46083</v>
      </c>
      <c r="G659" s="30" t="s">
        <v>179</v>
      </c>
      <c r="H659" s="28" t="s">
        <v>36</v>
      </c>
      <c r="I659" s="28" t="s">
        <v>14</v>
      </c>
      <c r="J659" s="28" t="s">
        <v>4914</v>
      </c>
      <c r="K659" s="28" t="s">
        <v>1932</v>
      </c>
    </row>
    <row r="660" spans="1:11">
      <c r="A660" s="27">
        <v>658</v>
      </c>
      <c r="B660" s="28" t="s">
        <v>1933</v>
      </c>
      <c r="C660" s="29" t="s">
        <v>4286</v>
      </c>
      <c r="D660" s="29" t="s">
        <v>17</v>
      </c>
      <c r="E660" s="32">
        <v>36441</v>
      </c>
      <c r="F660" s="74">
        <v>46083</v>
      </c>
      <c r="G660" s="30" t="s">
        <v>40</v>
      </c>
      <c r="H660" s="28" t="s">
        <v>71</v>
      </c>
      <c r="I660" s="28" t="s">
        <v>14</v>
      </c>
      <c r="J660" s="28" t="s">
        <v>5381</v>
      </c>
      <c r="K660" s="28" t="s">
        <v>5858</v>
      </c>
    </row>
    <row r="661" spans="1:11">
      <c r="A661" s="27">
        <v>659</v>
      </c>
      <c r="B661" s="28" t="s">
        <v>1936</v>
      </c>
      <c r="C661" s="29" t="s">
        <v>3506</v>
      </c>
      <c r="D661" s="29" t="s">
        <v>59</v>
      </c>
      <c r="E661" s="32">
        <v>36616</v>
      </c>
      <c r="F661" s="74">
        <v>46083</v>
      </c>
      <c r="G661" s="30" t="s">
        <v>179</v>
      </c>
      <c r="H661" s="28" t="s">
        <v>36</v>
      </c>
      <c r="I661" s="28" t="s">
        <v>14</v>
      </c>
      <c r="J661" s="28" t="s">
        <v>5375</v>
      </c>
      <c r="K661" s="28" t="s">
        <v>1938</v>
      </c>
    </row>
    <row r="662" spans="1:11">
      <c r="A662" s="27">
        <v>660</v>
      </c>
      <c r="B662" s="28" t="s">
        <v>1939</v>
      </c>
      <c r="C662" s="29" t="s">
        <v>4287</v>
      </c>
      <c r="D662" s="29" t="s">
        <v>59</v>
      </c>
      <c r="E662" s="32">
        <v>37001</v>
      </c>
      <c r="F662" s="74">
        <v>46083</v>
      </c>
      <c r="G662" s="30" t="s">
        <v>24</v>
      </c>
      <c r="H662" s="28" t="s">
        <v>25</v>
      </c>
      <c r="I662" s="28" t="s">
        <v>56</v>
      </c>
      <c r="J662" s="28" t="s">
        <v>4934</v>
      </c>
      <c r="K662" s="28" t="s">
        <v>1941</v>
      </c>
    </row>
    <row r="663" spans="1:11">
      <c r="A663" s="27">
        <v>661</v>
      </c>
      <c r="B663" s="28" t="s">
        <v>1942</v>
      </c>
      <c r="C663" s="29" t="s">
        <v>4288</v>
      </c>
      <c r="D663" s="29" t="s">
        <v>17</v>
      </c>
      <c r="E663" s="32">
        <v>33520</v>
      </c>
      <c r="F663" s="74">
        <v>46083</v>
      </c>
      <c r="G663" s="30" t="s">
        <v>40</v>
      </c>
      <c r="H663" s="28" t="s">
        <v>71</v>
      </c>
      <c r="I663" s="28" t="s">
        <v>42</v>
      </c>
      <c r="J663" s="28" t="s">
        <v>5004</v>
      </c>
      <c r="K663" s="28" t="s">
        <v>5848</v>
      </c>
    </row>
    <row r="664" spans="1:11">
      <c r="A664" s="27">
        <v>662</v>
      </c>
      <c r="B664" s="28" t="s">
        <v>1945</v>
      </c>
      <c r="C664" s="29" t="s">
        <v>4289</v>
      </c>
      <c r="D664" s="29" t="s">
        <v>17</v>
      </c>
      <c r="E664" s="32">
        <v>32232</v>
      </c>
      <c r="F664" s="74">
        <v>46083</v>
      </c>
      <c r="G664" s="30" t="s">
        <v>85</v>
      </c>
      <c r="H664" s="28" t="s">
        <v>120</v>
      </c>
      <c r="I664" s="28" t="s">
        <v>56</v>
      </c>
      <c r="J664" s="28" t="s">
        <v>4681</v>
      </c>
      <c r="K664" s="28" t="s">
        <v>1947</v>
      </c>
    </row>
    <row r="665" spans="1:11">
      <c r="A665" s="27">
        <v>663</v>
      </c>
      <c r="B665" s="28" t="s">
        <v>1948</v>
      </c>
      <c r="C665" s="29" t="s">
        <v>4290</v>
      </c>
      <c r="D665" s="29" t="s">
        <v>59</v>
      </c>
      <c r="E665" s="32">
        <v>33183</v>
      </c>
      <c r="F665" s="74">
        <v>46083</v>
      </c>
      <c r="G665" s="30" t="s">
        <v>24</v>
      </c>
      <c r="H665" s="28" t="s">
        <v>25</v>
      </c>
      <c r="I665" s="28" t="s">
        <v>42</v>
      </c>
      <c r="J665" s="28" t="s">
        <v>5198</v>
      </c>
      <c r="K665" s="28" t="s">
        <v>1950</v>
      </c>
    </row>
    <row r="666" spans="1:11">
      <c r="A666" s="27">
        <v>664</v>
      </c>
      <c r="B666" s="28" t="s">
        <v>1951</v>
      </c>
      <c r="C666" s="29" t="s">
        <v>4291</v>
      </c>
      <c r="D666" s="29" t="s">
        <v>17</v>
      </c>
      <c r="E666" s="32">
        <v>34295</v>
      </c>
      <c r="F666" s="74">
        <v>46083</v>
      </c>
      <c r="G666" s="30" t="s">
        <v>85</v>
      </c>
      <c r="H666" s="28" t="s">
        <v>120</v>
      </c>
      <c r="I666" s="28" t="s">
        <v>56</v>
      </c>
      <c r="J666" s="28" t="s">
        <v>4944</v>
      </c>
      <c r="K666" s="28" t="s">
        <v>1953</v>
      </c>
    </row>
    <row r="667" spans="1:11">
      <c r="A667" s="27">
        <v>665</v>
      </c>
      <c r="B667" s="28" t="s">
        <v>1954</v>
      </c>
      <c r="C667" s="29" t="s">
        <v>4292</v>
      </c>
      <c r="D667" s="29" t="s">
        <v>17</v>
      </c>
      <c r="E667" s="32">
        <v>37291</v>
      </c>
      <c r="F667" s="74">
        <v>46083</v>
      </c>
      <c r="G667" s="30" t="s">
        <v>179</v>
      </c>
      <c r="H667" s="28" t="s">
        <v>36</v>
      </c>
      <c r="I667" s="28" t="s">
        <v>56</v>
      </c>
      <c r="J667" s="28" t="s">
        <v>5435</v>
      </c>
      <c r="K667" s="28" t="s">
        <v>1956</v>
      </c>
    </row>
    <row r="668" spans="1:11">
      <c r="A668" s="27">
        <v>666</v>
      </c>
      <c r="B668" s="28" t="s">
        <v>1957</v>
      </c>
      <c r="C668" s="29" t="s">
        <v>3567</v>
      </c>
      <c r="D668" s="29" t="s">
        <v>59</v>
      </c>
      <c r="E668" s="32">
        <v>35120</v>
      </c>
      <c r="F668" s="74">
        <v>46083</v>
      </c>
      <c r="G668" s="30" t="s">
        <v>179</v>
      </c>
      <c r="H668" s="28" t="s">
        <v>36</v>
      </c>
      <c r="I668" s="28" t="s">
        <v>14</v>
      </c>
      <c r="J668" s="28" t="s">
        <v>5047</v>
      </c>
      <c r="K668" s="28" t="s">
        <v>1959</v>
      </c>
    </row>
    <row r="669" spans="1:11">
      <c r="A669" s="27">
        <v>667</v>
      </c>
      <c r="B669" s="28" t="s">
        <v>1960</v>
      </c>
      <c r="C669" s="29" t="s">
        <v>4293</v>
      </c>
      <c r="D669" s="29" t="s">
        <v>59</v>
      </c>
      <c r="E669" s="32">
        <v>36146</v>
      </c>
      <c r="F669" s="74">
        <v>46083</v>
      </c>
      <c r="G669" s="30" t="s">
        <v>179</v>
      </c>
      <c r="H669" s="28" t="s">
        <v>36</v>
      </c>
      <c r="I669" s="28" t="s">
        <v>42</v>
      </c>
      <c r="J669" s="28" t="s">
        <v>4538</v>
      </c>
      <c r="K669" s="28" t="s">
        <v>1962</v>
      </c>
    </row>
    <row r="670" spans="1:11">
      <c r="A670" s="27">
        <v>668</v>
      </c>
      <c r="B670" s="28" t="s">
        <v>1963</v>
      </c>
      <c r="C670" s="29" t="s">
        <v>4294</v>
      </c>
      <c r="D670" s="29" t="s">
        <v>17</v>
      </c>
      <c r="E670" s="32">
        <v>32947</v>
      </c>
      <c r="F670" s="74">
        <v>46083</v>
      </c>
      <c r="G670" s="30" t="s">
        <v>85</v>
      </c>
      <c r="H670" s="28" t="s">
        <v>120</v>
      </c>
      <c r="I670" s="28" t="s">
        <v>56</v>
      </c>
      <c r="J670" s="28" t="s">
        <v>4794</v>
      </c>
      <c r="K670" s="28" t="s">
        <v>1964</v>
      </c>
    </row>
    <row r="671" spans="1:11">
      <c r="A671" s="27">
        <v>669</v>
      </c>
      <c r="B671" s="28" t="s">
        <v>1965</v>
      </c>
      <c r="C671" s="29" t="s">
        <v>3310</v>
      </c>
      <c r="D671" s="29" t="s">
        <v>59</v>
      </c>
      <c r="E671" s="32">
        <v>33131</v>
      </c>
      <c r="F671" s="74">
        <v>46083</v>
      </c>
      <c r="G671" s="30" t="s">
        <v>179</v>
      </c>
      <c r="H671" s="28" t="s">
        <v>36</v>
      </c>
      <c r="I671" s="28" t="s">
        <v>42</v>
      </c>
      <c r="J671" s="28" t="s">
        <v>5269</v>
      </c>
      <c r="K671" s="28" t="s">
        <v>1967</v>
      </c>
    </row>
    <row r="672" spans="1:11">
      <c r="A672" s="27">
        <v>670</v>
      </c>
      <c r="B672" s="28" t="s">
        <v>1968</v>
      </c>
      <c r="C672" s="29" t="s">
        <v>3507</v>
      </c>
      <c r="D672" s="29" t="s">
        <v>59</v>
      </c>
      <c r="E672" s="32">
        <v>33713</v>
      </c>
      <c r="F672" s="74">
        <v>46083</v>
      </c>
      <c r="G672" s="30" t="s">
        <v>179</v>
      </c>
      <c r="H672" s="28" t="s">
        <v>36</v>
      </c>
      <c r="I672" s="28" t="s">
        <v>42</v>
      </c>
      <c r="J672" s="28" t="s">
        <v>4591</v>
      </c>
      <c r="K672" s="28" t="s">
        <v>1970</v>
      </c>
    </row>
    <row r="673" spans="1:11">
      <c r="A673" s="27">
        <v>671</v>
      </c>
      <c r="B673" s="28" t="s">
        <v>1971</v>
      </c>
      <c r="C673" s="29" t="s">
        <v>3311</v>
      </c>
      <c r="D673" s="29" t="s">
        <v>59</v>
      </c>
      <c r="E673" s="32">
        <v>36692</v>
      </c>
      <c r="F673" s="74">
        <v>46083</v>
      </c>
      <c r="G673" s="30" t="s">
        <v>179</v>
      </c>
      <c r="H673" s="28" t="s">
        <v>36</v>
      </c>
      <c r="I673" s="28" t="s">
        <v>42</v>
      </c>
      <c r="J673" s="28" t="s">
        <v>5219</v>
      </c>
      <c r="K673" s="28" t="s">
        <v>1973</v>
      </c>
    </row>
    <row r="674" spans="1:11">
      <c r="A674" s="27">
        <v>672</v>
      </c>
      <c r="B674" s="28" t="s">
        <v>1974</v>
      </c>
      <c r="C674" s="29" t="s">
        <v>3568</v>
      </c>
      <c r="D674" s="29" t="s">
        <v>59</v>
      </c>
      <c r="E674" s="32">
        <v>34198</v>
      </c>
      <c r="F674" s="74">
        <v>46083</v>
      </c>
      <c r="G674" s="30" t="s">
        <v>179</v>
      </c>
      <c r="H674" s="28" t="s">
        <v>36</v>
      </c>
      <c r="I674" s="28" t="s">
        <v>14</v>
      </c>
      <c r="J674" s="28" t="s">
        <v>5156</v>
      </c>
      <c r="K674" s="28" t="s">
        <v>1976</v>
      </c>
    </row>
    <row r="675" spans="1:11">
      <c r="A675" s="27">
        <v>673</v>
      </c>
      <c r="B675" s="28" t="s">
        <v>1977</v>
      </c>
      <c r="C675" s="29" t="s">
        <v>4295</v>
      </c>
      <c r="D675" s="29" t="s">
        <v>17</v>
      </c>
      <c r="E675" s="32">
        <v>34625</v>
      </c>
      <c r="F675" s="74">
        <v>46083</v>
      </c>
      <c r="G675" s="30" t="s">
        <v>40</v>
      </c>
      <c r="H675" s="28" t="s">
        <v>71</v>
      </c>
      <c r="I675" s="28" t="s">
        <v>14</v>
      </c>
      <c r="J675" s="28" t="s">
        <v>5403</v>
      </c>
      <c r="K675" s="28" t="s">
        <v>1979</v>
      </c>
    </row>
    <row r="676" spans="1:11">
      <c r="A676" s="27">
        <v>674</v>
      </c>
      <c r="B676" s="28" t="s">
        <v>3956</v>
      </c>
      <c r="C676" s="29" t="s">
        <v>4296</v>
      </c>
      <c r="D676" s="29" t="s">
        <v>59</v>
      </c>
      <c r="E676" s="32">
        <v>37055</v>
      </c>
      <c r="F676" s="74">
        <v>46083</v>
      </c>
      <c r="G676" s="30" t="s">
        <v>24</v>
      </c>
      <c r="H676" s="28" t="s">
        <v>25</v>
      </c>
      <c r="I676" s="28" t="s">
        <v>56</v>
      </c>
      <c r="J676" s="28" t="s">
        <v>5077</v>
      </c>
      <c r="K676" s="28" t="s">
        <v>1981</v>
      </c>
    </row>
    <row r="677" spans="1:11">
      <c r="A677" s="27">
        <v>675</v>
      </c>
      <c r="B677" s="28" t="s">
        <v>1982</v>
      </c>
      <c r="C677" s="29" t="s">
        <v>3395</v>
      </c>
      <c r="D677" s="29" t="s">
        <v>17</v>
      </c>
      <c r="E677" s="32">
        <v>34989</v>
      </c>
      <c r="F677" s="74">
        <v>46083</v>
      </c>
      <c r="G677" s="30" t="s">
        <v>216</v>
      </c>
      <c r="H677" s="28" t="s">
        <v>217</v>
      </c>
      <c r="I677" s="28" t="s">
        <v>42</v>
      </c>
      <c r="J677" s="28" t="s">
        <v>4963</v>
      </c>
      <c r="K677" s="28" t="s">
        <v>1984</v>
      </c>
    </row>
    <row r="678" spans="1:11">
      <c r="A678" s="27">
        <v>676</v>
      </c>
      <c r="B678" s="28" t="s">
        <v>1985</v>
      </c>
      <c r="C678" s="29" t="s">
        <v>3396</v>
      </c>
      <c r="D678" s="29" t="s">
        <v>17</v>
      </c>
      <c r="E678" s="32">
        <v>32131</v>
      </c>
      <c r="F678" s="74">
        <v>46083</v>
      </c>
      <c r="G678" s="30" t="s">
        <v>216</v>
      </c>
      <c r="H678" s="28" t="s">
        <v>217</v>
      </c>
      <c r="I678" s="28" t="s">
        <v>42</v>
      </c>
      <c r="J678" s="28" t="s">
        <v>4634</v>
      </c>
      <c r="K678" s="28" t="s">
        <v>1987</v>
      </c>
    </row>
    <row r="679" spans="1:11">
      <c r="A679" s="27">
        <v>677</v>
      </c>
      <c r="B679" s="28" t="s">
        <v>1988</v>
      </c>
      <c r="C679" s="29" t="s">
        <v>3256</v>
      </c>
      <c r="D679" s="29" t="s">
        <v>59</v>
      </c>
      <c r="E679" s="32">
        <v>35541</v>
      </c>
      <c r="F679" s="74">
        <v>46083</v>
      </c>
      <c r="G679" s="30" t="s">
        <v>179</v>
      </c>
      <c r="H679" s="28" t="s">
        <v>36</v>
      </c>
      <c r="I679" s="28" t="s">
        <v>14</v>
      </c>
      <c r="J679" s="28" t="s">
        <v>4856</v>
      </c>
      <c r="K679" s="28" t="s">
        <v>1990</v>
      </c>
    </row>
    <row r="680" spans="1:11">
      <c r="A680" s="27">
        <v>678</v>
      </c>
      <c r="B680" s="28" t="s">
        <v>1991</v>
      </c>
      <c r="C680" s="29" t="s">
        <v>3312</v>
      </c>
      <c r="D680" s="29" t="s">
        <v>59</v>
      </c>
      <c r="E680" s="32">
        <v>36074</v>
      </c>
      <c r="F680" s="74">
        <v>46083</v>
      </c>
      <c r="G680" s="30" t="s">
        <v>179</v>
      </c>
      <c r="H680" s="28" t="s">
        <v>36</v>
      </c>
      <c r="I680" s="28" t="s">
        <v>14</v>
      </c>
      <c r="J680" s="28" t="s">
        <v>4772</v>
      </c>
      <c r="K680" s="28" t="s">
        <v>1993</v>
      </c>
    </row>
    <row r="681" spans="1:11">
      <c r="A681" s="27">
        <v>679</v>
      </c>
      <c r="B681" s="28" t="s">
        <v>3957</v>
      </c>
      <c r="C681" s="29" t="s">
        <v>3632</v>
      </c>
      <c r="D681" s="29" t="s">
        <v>59</v>
      </c>
      <c r="E681" s="32">
        <v>36253</v>
      </c>
      <c r="F681" s="74">
        <v>46083</v>
      </c>
      <c r="G681" s="30" t="s">
        <v>179</v>
      </c>
      <c r="H681" s="28" t="s">
        <v>36</v>
      </c>
      <c r="I681" s="28" t="s">
        <v>14</v>
      </c>
      <c r="J681" s="28" t="s">
        <v>4555</v>
      </c>
      <c r="K681" s="28" t="s">
        <v>1996</v>
      </c>
    </row>
    <row r="682" spans="1:11">
      <c r="A682" s="27">
        <v>680</v>
      </c>
      <c r="B682" s="28" t="s">
        <v>1997</v>
      </c>
      <c r="C682" s="29" t="s">
        <v>4297</v>
      </c>
      <c r="D682" s="29" t="s">
        <v>59</v>
      </c>
      <c r="E682" s="32">
        <v>33982</v>
      </c>
      <c r="F682" s="74">
        <v>46083</v>
      </c>
      <c r="G682" s="30" t="s">
        <v>24</v>
      </c>
      <c r="H682" s="28" t="s">
        <v>25</v>
      </c>
      <c r="I682" s="28" t="s">
        <v>42</v>
      </c>
      <c r="J682" s="28" t="s">
        <v>4741</v>
      </c>
      <c r="K682" s="28" t="s">
        <v>1999</v>
      </c>
    </row>
    <row r="683" spans="1:11">
      <c r="A683" s="27">
        <v>681</v>
      </c>
      <c r="B683" s="28" t="s">
        <v>2000</v>
      </c>
      <c r="C683" s="29" t="s">
        <v>3257</v>
      </c>
      <c r="D683" s="29" t="s">
        <v>59</v>
      </c>
      <c r="E683" s="32">
        <v>35761</v>
      </c>
      <c r="F683" s="74">
        <v>46083</v>
      </c>
      <c r="G683" s="30" t="s">
        <v>179</v>
      </c>
      <c r="H683" s="28" t="s">
        <v>36</v>
      </c>
      <c r="I683" s="28" t="s">
        <v>42</v>
      </c>
      <c r="J683" s="28" t="s">
        <v>4602</v>
      </c>
      <c r="K683" s="28" t="s">
        <v>2002</v>
      </c>
    </row>
    <row r="684" spans="1:11">
      <c r="A684" s="27">
        <v>682</v>
      </c>
      <c r="B684" s="28" t="s">
        <v>2003</v>
      </c>
      <c r="C684" s="29" t="s">
        <v>4298</v>
      </c>
      <c r="D684" s="29" t="s">
        <v>17</v>
      </c>
      <c r="E684" s="32">
        <v>36733</v>
      </c>
      <c r="F684" s="74">
        <v>46083</v>
      </c>
      <c r="G684" s="30" t="s">
        <v>85</v>
      </c>
      <c r="H684" s="28" t="s">
        <v>120</v>
      </c>
      <c r="I684" s="28" t="s">
        <v>14</v>
      </c>
      <c r="J684" s="28" t="s">
        <v>4945</v>
      </c>
      <c r="K684" s="28" t="s">
        <v>2004</v>
      </c>
    </row>
    <row r="685" spans="1:11">
      <c r="A685" s="27">
        <v>683</v>
      </c>
      <c r="B685" s="28" t="s">
        <v>2005</v>
      </c>
      <c r="C685" s="29" t="s">
        <v>4299</v>
      </c>
      <c r="D685" s="29" t="s">
        <v>17</v>
      </c>
      <c r="E685" s="32">
        <v>36414</v>
      </c>
      <c r="F685" s="74">
        <v>46083</v>
      </c>
      <c r="G685" s="30" t="s">
        <v>85</v>
      </c>
      <c r="H685" s="28" t="s">
        <v>120</v>
      </c>
      <c r="I685" s="28" t="s">
        <v>14</v>
      </c>
      <c r="J685" s="28" t="s">
        <v>4610</v>
      </c>
      <c r="K685" s="28" t="s">
        <v>2007</v>
      </c>
    </row>
    <row r="686" spans="1:11">
      <c r="A686" s="27">
        <v>684</v>
      </c>
      <c r="B686" s="28" t="s">
        <v>2008</v>
      </c>
      <c r="C686" s="29" t="s">
        <v>3397</v>
      </c>
      <c r="D686" s="29" t="s">
        <v>17</v>
      </c>
      <c r="E686" s="32">
        <v>36626</v>
      </c>
      <c r="F686" s="74">
        <v>46083</v>
      </c>
      <c r="G686" s="30" t="s">
        <v>179</v>
      </c>
      <c r="H686" s="28" t="s">
        <v>36</v>
      </c>
      <c r="I686" s="28" t="s">
        <v>14</v>
      </c>
      <c r="J686" s="28" t="s">
        <v>5318</v>
      </c>
      <c r="K686" s="28" t="s">
        <v>2010</v>
      </c>
    </row>
    <row r="687" spans="1:11">
      <c r="A687" s="27">
        <v>685</v>
      </c>
      <c r="B687" s="28" t="s">
        <v>2011</v>
      </c>
      <c r="C687" s="29" t="s">
        <v>4300</v>
      </c>
      <c r="D687" s="29" t="s">
        <v>17</v>
      </c>
      <c r="E687" s="32">
        <v>37820</v>
      </c>
      <c r="F687" s="74">
        <v>46083</v>
      </c>
      <c r="G687" s="30" t="s">
        <v>40</v>
      </c>
      <c r="H687" s="28" t="s">
        <v>71</v>
      </c>
      <c r="I687" s="28" t="s">
        <v>14</v>
      </c>
      <c r="J687" s="28" t="s">
        <v>5010</v>
      </c>
      <c r="K687" s="28" t="s">
        <v>2013</v>
      </c>
    </row>
    <row r="688" spans="1:11">
      <c r="A688" s="27">
        <v>686</v>
      </c>
      <c r="B688" s="28" t="s">
        <v>2014</v>
      </c>
      <c r="C688" s="29" t="s">
        <v>3398</v>
      </c>
      <c r="D688" s="29" t="s">
        <v>17</v>
      </c>
      <c r="E688" s="32">
        <v>32472</v>
      </c>
      <c r="F688" s="74">
        <v>46083</v>
      </c>
      <c r="G688" s="30" t="s">
        <v>179</v>
      </c>
      <c r="H688" s="28" t="s">
        <v>36</v>
      </c>
      <c r="I688" s="28" t="s">
        <v>14</v>
      </c>
      <c r="J688" s="28" t="s">
        <v>4986</v>
      </c>
      <c r="K688" s="28" t="s">
        <v>5869</v>
      </c>
    </row>
    <row r="689" spans="1:11">
      <c r="A689" s="27">
        <v>687</v>
      </c>
      <c r="B689" s="28" t="s">
        <v>2017</v>
      </c>
      <c r="C689" s="29" t="s">
        <v>4301</v>
      </c>
      <c r="D689" s="29" t="s">
        <v>17</v>
      </c>
      <c r="E689" s="32">
        <v>35933</v>
      </c>
      <c r="F689" s="74">
        <v>46083</v>
      </c>
      <c r="G689" s="30" t="s">
        <v>40</v>
      </c>
      <c r="H689" s="28" t="s">
        <v>71</v>
      </c>
      <c r="I689" s="28" t="s">
        <v>14</v>
      </c>
      <c r="J689" s="28" t="s">
        <v>4958</v>
      </c>
      <c r="K689" s="28" t="s">
        <v>2019</v>
      </c>
    </row>
    <row r="690" spans="1:11">
      <c r="A690" s="27">
        <v>688</v>
      </c>
      <c r="B690" s="28" t="s">
        <v>2020</v>
      </c>
      <c r="C690" s="29" t="s">
        <v>4302</v>
      </c>
      <c r="D690" s="29" t="s">
        <v>17</v>
      </c>
      <c r="E690" s="32">
        <v>37001</v>
      </c>
      <c r="F690" s="74">
        <v>46083</v>
      </c>
      <c r="G690" s="30" t="s">
        <v>85</v>
      </c>
      <c r="H690" s="28" t="s">
        <v>120</v>
      </c>
      <c r="I690" s="28" t="s">
        <v>42</v>
      </c>
      <c r="J690" s="28" t="s">
        <v>5224</v>
      </c>
      <c r="K690" s="28" t="s">
        <v>5945</v>
      </c>
    </row>
    <row r="691" spans="1:11">
      <c r="A691" s="27">
        <v>689</v>
      </c>
      <c r="B691" s="28" t="s">
        <v>2023</v>
      </c>
      <c r="C691" s="29" t="s">
        <v>3399</v>
      </c>
      <c r="D691" s="29" t="s">
        <v>17</v>
      </c>
      <c r="E691" s="32">
        <v>31695</v>
      </c>
      <c r="F691" s="74">
        <v>46083</v>
      </c>
      <c r="G691" s="30" t="s">
        <v>216</v>
      </c>
      <c r="H691" s="28" t="s">
        <v>217</v>
      </c>
      <c r="I691" s="28" t="s">
        <v>42</v>
      </c>
      <c r="J691" s="28" t="s">
        <v>4738</v>
      </c>
      <c r="K691" s="28" t="s">
        <v>2024</v>
      </c>
    </row>
    <row r="692" spans="1:11">
      <c r="A692" s="27">
        <v>690</v>
      </c>
      <c r="B692" s="28" t="s">
        <v>2025</v>
      </c>
      <c r="C692" s="29" t="s">
        <v>3400</v>
      </c>
      <c r="D692" s="29" t="s">
        <v>17</v>
      </c>
      <c r="E692" s="32">
        <v>37582</v>
      </c>
      <c r="F692" s="74">
        <v>46083</v>
      </c>
      <c r="G692" s="30" t="s">
        <v>179</v>
      </c>
      <c r="H692" s="28" t="s">
        <v>36</v>
      </c>
      <c r="I692" s="28" t="s">
        <v>14</v>
      </c>
      <c r="J692" s="28" t="s">
        <v>4976</v>
      </c>
      <c r="K692" s="28" t="s">
        <v>5910</v>
      </c>
    </row>
    <row r="693" spans="1:11">
      <c r="A693" s="27">
        <v>691</v>
      </c>
      <c r="B693" s="28" t="s">
        <v>2028</v>
      </c>
      <c r="C693" s="29" t="s">
        <v>4303</v>
      </c>
      <c r="D693" s="29" t="s">
        <v>17</v>
      </c>
      <c r="E693" s="32">
        <v>34353</v>
      </c>
      <c r="F693" s="74">
        <v>46083</v>
      </c>
      <c r="G693" s="30" t="s">
        <v>40</v>
      </c>
      <c r="H693" s="28" t="s">
        <v>71</v>
      </c>
      <c r="I693" s="28" t="s">
        <v>14</v>
      </c>
      <c r="J693" s="28" t="s">
        <v>4957</v>
      </c>
      <c r="K693" s="28" t="s">
        <v>2030</v>
      </c>
    </row>
    <row r="694" spans="1:11">
      <c r="A694" s="27">
        <v>692</v>
      </c>
      <c r="B694" s="28" t="s">
        <v>2031</v>
      </c>
      <c r="C694" s="29" t="s">
        <v>4304</v>
      </c>
      <c r="D694" s="29" t="s">
        <v>59</v>
      </c>
      <c r="E694" s="32">
        <v>37875</v>
      </c>
      <c r="F694" s="74">
        <v>46083</v>
      </c>
      <c r="G694" s="30" t="s">
        <v>24</v>
      </c>
      <c r="H694" s="28" t="s">
        <v>25</v>
      </c>
      <c r="I694" s="28" t="s">
        <v>42</v>
      </c>
      <c r="J694" s="28" t="s">
        <v>5388</v>
      </c>
      <c r="K694" s="28" t="s">
        <v>2033</v>
      </c>
    </row>
    <row r="695" spans="1:11">
      <c r="A695" s="27">
        <v>693</v>
      </c>
      <c r="B695" s="28" t="s">
        <v>2034</v>
      </c>
      <c r="C695" s="29" t="s">
        <v>4305</v>
      </c>
      <c r="D695" s="29" t="s">
        <v>59</v>
      </c>
      <c r="E695" s="32">
        <v>32890</v>
      </c>
      <c r="F695" s="74">
        <v>46083</v>
      </c>
      <c r="G695" s="30" t="s">
        <v>24</v>
      </c>
      <c r="H695" s="28" t="s">
        <v>25</v>
      </c>
      <c r="I695" s="28" t="s">
        <v>14</v>
      </c>
      <c r="J695" s="28" t="s">
        <v>5031</v>
      </c>
      <c r="K695" s="28" t="s">
        <v>5930</v>
      </c>
    </row>
    <row r="696" spans="1:11">
      <c r="A696" s="27">
        <v>694</v>
      </c>
      <c r="B696" s="28" t="s">
        <v>2037</v>
      </c>
      <c r="C696" s="29" t="s">
        <v>4306</v>
      </c>
      <c r="D696" s="29" t="s">
        <v>17</v>
      </c>
      <c r="E696" s="32">
        <v>33033</v>
      </c>
      <c r="F696" s="74">
        <v>46083</v>
      </c>
      <c r="G696" s="30" t="s">
        <v>85</v>
      </c>
      <c r="H696" s="28" t="s">
        <v>120</v>
      </c>
      <c r="I696" s="28" t="s">
        <v>56</v>
      </c>
      <c r="J696" s="28" t="s">
        <v>4699</v>
      </c>
      <c r="K696" s="28" t="s">
        <v>5857</v>
      </c>
    </row>
    <row r="697" spans="1:11">
      <c r="A697" s="27">
        <v>695</v>
      </c>
      <c r="B697" s="28" t="s">
        <v>2040</v>
      </c>
      <c r="C697" s="29" t="s">
        <v>4307</v>
      </c>
      <c r="D697" s="29" t="s">
        <v>59</v>
      </c>
      <c r="E697" s="32">
        <v>31100</v>
      </c>
      <c r="F697" s="74">
        <v>46083</v>
      </c>
      <c r="G697" s="30" t="s">
        <v>179</v>
      </c>
      <c r="H697" s="28" t="s">
        <v>36</v>
      </c>
      <c r="I697" s="28" t="s">
        <v>14</v>
      </c>
      <c r="J697" s="28" t="s">
        <v>4732</v>
      </c>
      <c r="K697" s="28" t="s">
        <v>2042</v>
      </c>
    </row>
    <row r="698" spans="1:11">
      <c r="A698" s="27">
        <v>696</v>
      </c>
      <c r="B698" s="28" t="s">
        <v>2043</v>
      </c>
      <c r="C698" s="29" t="s">
        <v>4308</v>
      </c>
      <c r="D698" s="29" t="s">
        <v>59</v>
      </c>
      <c r="E698" s="32">
        <v>31181</v>
      </c>
      <c r="F698" s="74">
        <v>46083</v>
      </c>
      <c r="G698" s="30" t="s">
        <v>179</v>
      </c>
      <c r="H698" s="28" t="s">
        <v>36</v>
      </c>
      <c r="I698" s="28" t="s">
        <v>56</v>
      </c>
      <c r="J698" s="28" t="s">
        <v>4593</v>
      </c>
      <c r="K698" s="28" t="s">
        <v>2045</v>
      </c>
    </row>
    <row r="699" spans="1:11">
      <c r="A699" s="27">
        <v>697</v>
      </c>
      <c r="B699" s="28" t="s">
        <v>2046</v>
      </c>
      <c r="C699" s="29" t="s">
        <v>4309</v>
      </c>
      <c r="D699" s="29" t="s">
        <v>59</v>
      </c>
      <c r="E699" s="32">
        <v>33798</v>
      </c>
      <c r="F699" s="74">
        <v>46083</v>
      </c>
      <c r="G699" s="30" t="s">
        <v>179</v>
      </c>
      <c r="H699" s="28" t="s">
        <v>36</v>
      </c>
      <c r="I699" s="28" t="s">
        <v>56</v>
      </c>
      <c r="J699" s="28" t="s">
        <v>5186</v>
      </c>
      <c r="K699" s="28" t="s">
        <v>2047</v>
      </c>
    </row>
    <row r="700" spans="1:11">
      <c r="A700" s="27">
        <v>698</v>
      </c>
      <c r="B700" s="28" t="s">
        <v>2048</v>
      </c>
      <c r="C700" s="29" t="s">
        <v>3401</v>
      </c>
      <c r="D700" s="29" t="s">
        <v>17</v>
      </c>
      <c r="E700" s="32">
        <v>34359</v>
      </c>
      <c r="F700" s="74">
        <v>46083</v>
      </c>
      <c r="G700" s="30" t="s">
        <v>179</v>
      </c>
      <c r="H700" s="28" t="s">
        <v>36</v>
      </c>
      <c r="I700" s="28" t="s">
        <v>14</v>
      </c>
      <c r="J700" s="28" t="s">
        <v>4974</v>
      </c>
      <c r="K700" s="28" t="s">
        <v>2050</v>
      </c>
    </row>
    <row r="701" spans="1:11">
      <c r="A701" s="27">
        <v>699</v>
      </c>
      <c r="B701" s="28" t="s">
        <v>2051</v>
      </c>
      <c r="C701" s="29" t="s">
        <v>4310</v>
      </c>
      <c r="D701" s="29" t="s">
        <v>59</v>
      </c>
      <c r="E701" s="32">
        <v>31254</v>
      </c>
      <c r="F701" s="74">
        <v>46083</v>
      </c>
      <c r="G701" s="30" t="s">
        <v>179</v>
      </c>
      <c r="H701" s="28" t="s">
        <v>36</v>
      </c>
      <c r="I701" s="28" t="s">
        <v>14</v>
      </c>
      <c r="J701" s="28" t="s">
        <v>5159</v>
      </c>
      <c r="K701" s="28" t="s">
        <v>2053</v>
      </c>
    </row>
    <row r="702" spans="1:11">
      <c r="A702" s="27">
        <v>700</v>
      </c>
      <c r="B702" s="28" t="s">
        <v>2054</v>
      </c>
      <c r="C702" s="29" t="s">
        <v>4311</v>
      </c>
      <c r="D702" s="29" t="s">
        <v>17</v>
      </c>
      <c r="E702" s="32">
        <v>36915</v>
      </c>
      <c r="F702" s="74">
        <v>46083</v>
      </c>
      <c r="G702" s="30" t="s">
        <v>40</v>
      </c>
      <c r="H702" s="28" t="s">
        <v>71</v>
      </c>
      <c r="I702" s="28" t="s">
        <v>42</v>
      </c>
      <c r="J702" s="28" t="s">
        <v>5021</v>
      </c>
      <c r="K702" s="28" t="s">
        <v>2055</v>
      </c>
    </row>
    <row r="703" spans="1:11">
      <c r="A703" s="27">
        <v>701</v>
      </c>
      <c r="B703" s="28" t="s">
        <v>2056</v>
      </c>
      <c r="C703" s="29" t="s">
        <v>4312</v>
      </c>
      <c r="D703" s="29" t="s">
        <v>17</v>
      </c>
      <c r="E703" s="32">
        <v>34336</v>
      </c>
      <c r="F703" s="74">
        <v>46083</v>
      </c>
      <c r="G703" s="30" t="s">
        <v>40</v>
      </c>
      <c r="H703" s="28" t="s">
        <v>71</v>
      </c>
      <c r="I703" s="28" t="s">
        <v>42</v>
      </c>
      <c r="J703" s="28" t="s">
        <v>4961</v>
      </c>
      <c r="K703" s="28" t="s">
        <v>2058</v>
      </c>
    </row>
    <row r="704" spans="1:11">
      <c r="A704" s="27">
        <v>702</v>
      </c>
      <c r="B704" s="28" t="s">
        <v>2059</v>
      </c>
      <c r="C704" s="29" t="s">
        <v>3633</v>
      </c>
      <c r="D704" s="29" t="s">
        <v>59</v>
      </c>
      <c r="E704" s="32">
        <v>35766</v>
      </c>
      <c r="F704" s="74">
        <v>46083</v>
      </c>
      <c r="G704" s="30" t="s">
        <v>179</v>
      </c>
      <c r="H704" s="28" t="s">
        <v>36</v>
      </c>
      <c r="I704" s="28" t="s">
        <v>42</v>
      </c>
      <c r="J704" s="28" t="s">
        <v>5211</v>
      </c>
      <c r="K704" s="28" t="s">
        <v>2060</v>
      </c>
    </row>
    <row r="705" spans="1:11">
      <c r="A705" s="27">
        <v>703</v>
      </c>
      <c r="B705" s="28" t="s">
        <v>2061</v>
      </c>
      <c r="C705" s="29" t="s">
        <v>4313</v>
      </c>
      <c r="D705" s="29" t="s">
        <v>59</v>
      </c>
      <c r="E705" s="32">
        <v>34356</v>
      </c>
      <c r="F705" s="74">
        <v>46083</v>
      </c>
      <c r="G705" s="30" t="s">
        <v>179</v>
      </c>
      <c r="H705" s="28" t="s">
        <v>36</v>
      </c>
      <c r="I705" s="28" t="s">
        <v>56</v>
      </c>
      <c r="J705" s="28" t="s">
        <v>5345</v>
      </c>
      <c r="K705" s="28" t="s">
        <v>2063</v>
      </c>
    </row>
    <row r="706" spans="1:11">
      <c r="A706" s="27">
        <v>704</v>
      </c>
      <c r="B706" s="28" t="s">
        <v>2064</v>
      </c>
      <c r="C706" s="29" t="s">
        <v>3402</v>
      </c>
      <c r="D706" s="29" t="s">
        <v>17</v>
      </c>
      <c r="E706" s="32">
        <v>35376</v>
      </c>
      <c r="F706" s="74">
        <v>46083</v>
      </c>
      <c r="G706" s="30" t="s">
        <v>216</v>
      </c>
      <c r="H706" s="28" t="s">
        <v>217</v>
      </c>
      <c r="I706" s="28" t="s">
        <v>42</v>
      </c>
      <c r="J706" s="28" t="s">
        <v>5006</v>
      </c>
      <c r="K706" s="28" t="s">
        <v>2066</v>
      </c>
    </row>
    <row r="707" spans="1:11">
      <c r="A707" s="27">
        <v>705</v>
      </c>
      <c r="B707" s="28" t="s">
        <v>2067</v>
      </c>
      <c r="C707" s="29" t="s">
        <v>4314</v>
      </c>
      <c r="D707" s="29" t="s">
        <v>17</v>
      </c>
      <c r="E707" s="32">
        <v>36574</v>
      </c>
      <c r="F707" s="74">
        <v>46083</v>
      </c>
      <c r="G707" s="30" t="s">
        <v>179</v>
      </c>
      <c r="H707" s="28" t="s">
        <v>36</v>
      </c>
      <c r="I707" s="28" t="s">
        <v>14</v>
      </c>
      <c r="J707" s="28" t="s">
        <v>4546</v>
      </c>
      <c r="K707" s="28" t="s">
        <v>2069</v>
      </c>
    </row>
    <row r="708" spans="1:11">
      <c r="A708" s="27">
        <v>706</v>
      </c>
      <c r="B708" s="28" t="s">
        <v>2070</v>
      </c>
      <c r="C708" s="29" t="s">
        <v>4315</v>
      </c>
      <c r="D708" s="29" t="s">
        <v>59</v>
      </c>
      <c r="E708" s="32">
        <v>33792</v>
      </c>
      <c r="F708" s="74">
        <v>46083</v>
      </c>
      <c r="G708" s="30" t="s">
        <v>179</v>
      </c>
      <c r="H708" s="28" t="s">
        <v>36</v>
      </c>
      <c r="I708" s="28" t="s">
        <v>42</v>
      </c>
      <c r="J708" s="28" t="s">
        <v>5330</v>
      </c>
      <c r="K708" s="28" t="s">
        <v>2072</v>
      </c>
    </row>
    <row r="709" spans="1:11">
      <c r="A709" s="27">
        <v>707</v>
      </c>
      <c r="B709" s="28" t="s">
        <v>2073</v>
      </c>
      <c r="C709" s="29" t="s">
        <v>3569</v>
      </c>
      <c r="D709" s="29" t="s">
        <v>59</v>
      </c>
      <c r="E709" s="32">
        <v>32990</v>
      </c>
      <c r="F709" s="74">
        <v>46083</v>
      </c>
      <c r="G709" s="30" t="s">
        <v>179</v>
      </c>
      <c r="H709" s="28" t="s">
        <v>36</v>
      </c>
      <c r="I709" s="28" t="s">
        <v>56</v>
      </c>
      <c r="J709" s="28" t="s">
        <v>5267</v>
      </c>
      <c r="K709" s="28" t="s">
        <v>5783</v>
      </c>
    </row>
    <row r="710" spans="1:11">
      <c r="A710" s="27">
        <v>708</v>
      </c>
      <c r="B710" s="28" t="s">
        <v>2075</v>
      </c>
      <c r="C710" s="29" t="s">
        <v>4316</v>
      </c>
      <c r="D710" s="29" t="s">
        <v>59</v>
      </c>
      <c r="E710" s="32">
        <v>36228</v>
      </c>
      <c r="F710" s="74">
        <v>46083</v>
      </c>
      <c r="G710" s="30" t="s">
        <v>179</v>
      </c>
      <c r="H710" s="28" t="s">
        <v>36</v>
      </c>
      <c r="I710" s="28" t="s">
        <v>14</v>
      </c>
      <c r="J710" s="28" t="s">
        <v>5181</v>
      </c>
      <c r="K710" s="28" t="s">
        <v>5914</v>
      </c>
    </row>
    <row r="711" spans="1:11">
      <c r="A711" s="27">
        <v>709</v>
      </c>
      <c r="B711" s="28" t="s">
        <v>2078</v>
      </c>
      <c r="C711" s="29" t="s">
        <v>3634</v>
      </c>
      <c r="D711" s="29" t="s">
        <v>59</v>
      </c>
      <c r="E711" s="32">
        <v>35128</v>
      </c>
      <c r="F711" s="74">
        <v>46083</v>
      </c>
      <c r="G711" s="30" t="s">
        <v>179</v>
      </c>
      <c r="H711" s="28" t="s">
        <v>36</v>
      </c>
      <c r="I711" s="28" t="s">
        <v>14</v>
      </c>
      <c r="J711" s="28" t="s">
        <v>5332</v>
      </c>
      <c r="K711" s="28" t="s">
        <v>2080</v>
      </c>
    </row>
    <row r="712" spans="1:11">
      <c r="A712" s="27">
        <v>710</v>
      </c>
      <c r="B712" s="28" t="s">
        <v>2081</v>
      </c>
      <c r="C712" s="29" t="s">
        <v>4317</v>
      </c>
      <c r="D712" s="29" t="s">
        <v>59</v>
      </c>
      <c r="E712" s="32">
        <v>37210</v>
      </c>
      <c r="F712" s="74">
        <v>46083</v>
      </c>
      <c r="G712" s="30" t="s">
        <v>179</v>
      </c>
      <c r="H712" s="28" t="s">
        <v>36</v>
      </c>
      <c r="I712" s="28" t="s">
        <v>14</v>
      </c>
      <c r="J712" s="28" t="s">
        <v>4735</v>
      </c>
      <c r="K712" s="28" t="s">
        <v>2083</v>
      </c>
    </row>
    <row r="713" spans="1:11">
      <c r="A713" s="27">
        <v>711</v>
      </c>
      <c r="B713" s="28" t="s">
        <v>2084</v>
      </c>
      <c r="C713" s="29" t="s">
        <v>3313</v>
      </c>
      <c r="D713" s="29" t="s">
        <v>17</v>
      </c>
      <c r="E713" s="32">
        <v>31448</v>
      </c>
      <c r="F713" s="74">
        <v>46083</v>
      </c>
      <c r="G713" s="30" t="s">
        <v>179</v>
      </c>
      <c r="H713" s="28" t="s">
        <v>36</v>
      </c>
      <c r="I713" s="28" t="s">
        <v>14</v>
      </c>
      <c r="J713" s="28" t="s">
        <v>4725</v>
      </c>
      <c r="K713" s="28" t="s">
        <v>2086</v>
      </c>
    </row>
    <row r="714" spans="1:11">
      <c r="A714" s="27">
        <v>712</v>
      </c>
      <c r="B714" s="28" t="s">
        <v>2087</v>
      </c>
      <c r="C714" s="29" t="s">
        <v>4318</v>
      </c>
      <c r="D714" s="29" t="s">
        <v>17</v>
      </c>
      <c r="E714" s="32">
        <v>37005</v>
      </c>
      <c r="F714" s="74">
        <v>46083</v>
      </c>
      <c r="G714" s="30" t="s">
        <v>24</v>
      </c>
      <c r="H714" s="28" t="s">
        <v>25</v>
      </c>
      <c r="I714" s="28" t="s">
        <v>56</v>
      </c>
      <c r="J714" s="28" t="s">
        <v>4553</v>
      </c>
      <c r="K714" s="28" t="s">
        <v>2089</v>
      </c>
    </row>
    <row r="715" spans="1:11">
      <c r="A715" s="27">
        <v>713</v>
      </c>
      <c r="B715" s="28" t="s">
        <v>3958</v>
      </c>
      <c r="C715" s="29" t="s">
        <v>3258</v>
      </c>
      <c r="D715" s="29" t="s">
        <v>59</v>
      </c>
      <c r="E715" s="32">
        <v>36834</v>
      </c>
      <c r="F715" s="74">
        <v>46083</v>
      </c>
      <c r="G715" s="30" t="s">
        <v>179</v>
      </c>
      <c r="H715" s="28" t="s">
        <v>36</v>
      </c>
      <c r="I715" s="28" t="s">
        <v>56</v>
      </c>
      <c r="J715" s="28" t="s">
        <v>4766</v>
      </c>
      <c r="K715" s="28" t="s">
        <v>5901</v>
      </c>
    </row>
    <row r="716" spans="1:11">
      <c r="A716" s="27">
        <v>714</v>
      </c>
      <c r="B716" s="28" t="s">
        <v>2092</v>
      </c>
      <c r="C716" s="29" t="s">
        <v>3635</v>
      </c>
      <c r="D716" s="29" t="s">
        <v>59</v>
      </c>
      <c r="E716" s="32">
        <v>32655</v>
      </c>
      <c r="F716" s="74">
        <v>46083</v>
      </c>
      <c r="G716" s="30" t="s">
        <v>179</v>
      </c>
      <c r="H716" s="28" t="s">
        <v>36</v>
      </c>
      <c r="I716" s="28" t="s">
        <v>56</v>
      </c>
      <c r="J716" s="28" t="s">
        <v>5220</v>
      </c>
      <c r="K716" s="28" t="s">
        <v>5920</v>
      </c>
    </row>
    <row r="717" spans="1:11">
      <c r="A717" s="27">
        <v>715</v>
      </c>
      <c r="B717" s="28" t="s">
        <v>2095</v>
      </c>
      <c r="C717" s="29" t="s">
        <v>4319</v>
      </c>
      <c r="D717" s="29" t="s">
        <v>59</v>
      </c>
      <c r="E717" s="32">
        <v>37823</v>
      </c>
      <c r="F717" s="74">
        <v>46083</v>
      </c>
      <c r="G717" s="30" t="s">
        <v>207</v>
      </c>
      <c r="H717" s="28" t="s">
        <v>31</v>
      </c>
      <c r="I717" s="28" t="s">
        <v>56</v>
      </c>
      <c r="J717" s="28" t="s">
        <v>4597</v>
      </c>
      <c r="K717" s="28" t="s">
        <v>2097</v>
      </c>
    </row>
    <row r="718" spans="1:11">
      <c r="A718" s="27">
        <v>716</v>
      </c>
      <c r="B718" s="28" t="s">
        <v>2098</v>
      </c>
      <c r="C718" s="29" t="s">
        <v>3998</v>
      </c>
      <c r="D718" s="29" t="s">
        <v>17</v>
      </c>
      <c r="E718" s="32">
        <v>37222</v>
      </c>
      <c r="F718" s="74">
        <v>46083</v>
      </c>
      <c r="G718" s="30" t="s">
        <v>179</v>
      </c>
      <c r="H718" s="28" t="s">
        <v>36</v>
      </c>
      <c r="I718" s="28" t="s">
        <v>56</v>
      </c>
      <c r="J718" s="28" t="s">
        <v>5088</v>
      </c>
      <c r="K718" s="28" t="s">
        <v>5876</v>
      </c>
    </row>
    <row r="719" spans="1:11">
      <c r="A719" s="27">
        <v>717</v>
      </c>
      <c r="B719" s="28" t="s">
        <v>2101</v>
      </c>
      <c r="C719" s="29" t="s">
        <v>4320</v>
      </c>
      <c r="D719" s="29" t="s">
        <v>17</v>
      </c>
      <c r="E719" s="32">
        <v>35428</v>
      </c>
      <c r="F719" s="74">
        <v>46083</v>
      </c>
      <c r="G719" s="30" t="s">
        <v>179</v>
      </c>
      <c r="H719" s="28" t="s">
        <v>36</v>
      </c>
      <c r="I719" s="28" t="s">
        <v>56</v>
      </c>
      <c r="J719" s="28" t="s">
        <v>5454</v>
      </c>
      <c r="K719" s="28" t="s">
        <v>2103</v>
      </c>
    </row>
    <row r="720" spans="1:11">
      <c r="A720" s="27">
        <v>718</v>
      </c>
      <c r="B720" s="28" t="s">
        <v>2104</v>
      </c>
      <c r="C720" s="29" t="s">
        <v>4321</v>
      </c>
      <c r="D720" s="29" t="s">
        <v>59</v>
      </c>
      <c r="E720" s="32">
        <v>31691</v>
      </c>
      <c r="F720" s="74">
        <v>46083</v>
      </c>
      <c r="G720" s="30" t="s">
        <v>179</v>
      </c>
      <c r="H720" s="28" t="s">
        <v>36</v>
      </c>
      <c r="I720" s="28" t="s">
        <v>42</v>
      </c>
      <c r="J720" s="28" t="s">
        <v>4784</v>
      </c>
      <c r="K720" s="28" t="s">
        <v>2106</v>
      </c>
    </row>
    <row r="721" spans="1:11">
      <c r="A721" s="27">
        <v>719</v>
      </c>
      <c r="B721" s="28" t="s">
        <v>2107</v>
      </c>
      <c r="C721" s="29" t="s">
        <v>4322</v>
      </c>
      <c r="D721" s="29" t="s">
        <v>59</v>
      </c>
      <c r="E721" s="32">
        <v>33515</v>
      </c>
      <c r="F721" s="74">
        <v>46083</v>
      </c>
      <c r="G721" s="30" t="s">
        <v>24</v>
      </c>
      <c r="H721" s="28" t="s">
        <v>25</v>
      </c>
      <c r="I721" s="28" t="s">
        <v>14</v>
      </c>
      <c r="J721" s="28" t="s">
        <v>4906</v>
      </c>
      <c r="K721" s="28" t="s">
        <v>2109</v>
      </c>
    </row>
    <row r="722" spans="1:11">
      <c r="A722" s="27">
        <v>720</v>
      </c>
      <c r="B722" s="28" t="s">
        <v>2110</v>
      </c>
      <c r="C722" s="29" t="s">
        <v>3508</v>
      </c>
      <c r="D722" s="29" t="s">
        <v>59</v>
      </c>
      <c r="E722" s="32">
        <v>37572</v>
      </c>
      <c r="F722" s="74">
        <v>46083</v>
      </c>
      <c r="G722" s="30" t="s">
        <v>179</v>
      </c>
      <c r="H722" s="28" t="s">
        <v>36</v>
      </c>
      <c r="I722" s="28" t="s">
        <v>42</v>
      </c>
      <c r="J722" s="28" t="s">
        <v>5272</v>
      </c>
      <c r="K722" s="28" t="s">
        <v>2112</v>
      </c>
    </row>
    <row r="723" spans="1:11">
      <c r="A723" s="27">
        <v>721</v>
      </c>
      <c r="B723" s="28" t="s">
        <v>2113</v>
      </c>
      <c r="C723" s="29" t="s">
        <v>4323</v>
      </c>
      <c r="D723" s="29" t="s">
        <v>17</v>
      </c>
      <c r="E723" s="32">
        <v>36185</v>
      </c>
      <c r="F723" s="74">
        <v>46083</v>
      </c>
      <c r="G723" s="30" t="s">
        <v>40</v>
      </c>
      <c r="H723" s="28" t="s">
        <v>71</v>
      </c>
      <c r="I723" s="28" t="s">
        <v>14</v>
      </c>
      <c r="J723" s="28" t="s">
        <v>4549</v>
      </c>
      <c r="K723" s="28" t="s">
        <v>2114</v>
      </c>
    </row>
    <row r="724" spans="1:11">
      <c r="A724" s="27">
        <v>722</v>
      </c>
      <c r="B724" s="28" t="s">
        <v>2115</v>
      </c>
      <c r="C724" s="29" t="s">
        <v>3314</v>
      </c>
      <c r="D724" s="29" t="s">
        <v>59</v>
      </c>
      <c r="E724" s="32">
        <v>34197</v>
      </c>
      <c r="F724" s="74">
        <v>46083</v>
      </c>
      <c r="G724" s="30" t="s">
        <v>179</v>
      </c>
      <c r="H724" s="28" t="s">
        <v>36</v>
      </c>
      <c r="I724" s="28" t="s">
        <v>14</v>
      </c>
      <c r="J724" s="28" t="s">
        <v>4909</v>
      </c>
      <c r="K724" s="28" t="s">
        <v>2116</v>
      </c>
    </row>
    <row r="725" spans="1:11">
      <c r="A725" s="27">
        <v>723</v>
      </c>
      <c r="B725" s="28" t="s">
        <v>2117</v>
      </c>
      <c r="C725" s="29" t="s">
        <v>4324</v>
      </c>
      <c r="D725" s="29" t="s">
        <v>17</v>
      </c>
      <c r="E725" s="32">
        <v>33256</v>
      </c>
      <c r="F725" s="74">
        <v>46083</v>
      </c>
      <c r="G725" s="30" t="s">
        <v>40</v>
      </c>
      <c r="H725" s="28" t="s">
        <v>71</v>
      </c>
      <c r="I725" s="28" t="s">
        <v>42</v>
      </c>
      <c r="J725" s="28" t="s">
        <v>4691</v>
      </c>
      <c r="K725" s="28" t="s">
        <v>2120</v>
      </c>
    </row>
    <row r="726" spans="1:11">
      <c r="A726" s="27">
        <v>724</v>
      </c>
      <c r="B726" s="28" t="s">
        <v>2121</v>
      </c>
      <c r="C726" s="29" t="s">
        <v>3259</v>
      </c>
      <c r="D726" s="29" t="s">
        <v>59</v>
      </c>
      <c r="E726" s="32">
        <v>35902</v>
      </c>
      <c r="F726" s="74">
        <v>46083</v>
      </c>
      <c r="G726" s="30" t="s">
        <v>179</v>
      </c>
      <c r="H726" s="28" t="s">
        <v>36</v>
      </c>
      <c r="I726" s="28" t="s">
        <v>42</v>
      </c>
      <c r="J726" s="28" t="s">
        <v>4822</v>
      </c>
      <c r="K726" s="28" t="s">
        <v>5936</v>
      </c>
    </row>
    <row r="727" spans="1:11">
      <c r="A727" s="27">
        <v>725</v>
      </c>
      <c r="B727" s="28" t="s">
        <v>2124</v>
      </c>
      <c r="C727" s="29" t="s">
        <v>4325</v>
      </c>
      <c r="D727" s="29" t="s">
        <v>17</v>
      </c>
      <c r="E727" s="32">
        <v>33045</v>
      </c>
      <c r="F727" s="74">
        <v>46083</v>
      </c>
      <c r="G727" s="30" t="s">
        <v>40</v>
      </c>
      <c r="H727" s="28" t="s">
        <v>71</v>
      </c>
      <c r="I727" s="28" t="s">
        <v>42</v>
      </c>
      <c r="J727" s="28" t="s">
        <v>4746</v>
      </c>
      <c r="K727" s="28" t="s">
        <v>2126</v>
      </c>
    </row>
    <row r="728" spans="1:11">
      <c r="A728" s="27">
        <v>726</v>
      </c>
      <c r="B728" s="28" t="s">
        <v>2127</v>
      </c>
      <c r="C728" s="29" t="s">
        <v>4326</v>
      </c>
      <c r="D728" s="29" t="s">
        <v>59</v>
      </c>
      <c r="E728" s="32">
        <v>32547</v>
      </c>
      <c r="F728" s="74">
        <v>46083</v>
      </c>
      <c r="G728" s="30" t="s">
        <v>179</v>
      </c>
      <c r="H728" s="28" t="s">
        <v>36</v>
      </c>
      <c r="I728" s="28" t="s">
        <v>14</v>
      </c>
      <c r="J728" s="28" t="s">
        <v>4852</v>
      </c>
      <c r="K728" s="28" t="s">
        <v>2129</v>
      </c>
    </row>
    <row r="729" spans="1:11">
      <c r="A729" s="27">
        <v>727</v>
      </c>
      <c r="B729" s="28" t="s">
        <v>2130</v>
      </c>
      <c r="C729" s="29" t="s">
        <v>4327</v>
      </c>
      <c r="D729" s="29" t="s">
        <v>17</v>
      </c>
      <c r="E729" s="32">
        <v>32175</v>
      </c>
      <c r="F729" s="74">
        <v>46083</v>
      </c>
      <c r="G729" s="30" t="s">
        <v>85</v>
      </c>
      <c r="H729" s="28" t="s">
        <v>120</v>
      </c>
      <c r="I729" s="28" t="s">
        <v>14</v>
      </c>
      <c r="J729" s="28" t="s">
        <v>4737</v>
      </c>
      <c r="K729" s="28" t="s">
        <v>2132</v>
      </c>
    </row>
    <row r="730" spans="1:11">
      <c r="A730" s="27">
        <v>728</v>
      </c>
      <c r="B730" s="28" t="s">
        <v>2133</v>
      </c>
      <c r="C730" s="29" t="s">
        <v>3636</v>
      </c>
      <c r="D730" s="29" t="s">
        <v>59</v>
      </c>
      <c r="E730" s="32">
        <v>33969</v>
      </c>
      <c r="F730" s="74">
        <v>46083</v>
      </c>
      <c r="G730" s="30" t="s">
        <v>179</v>
      </c>
      <c r="H730" s="28" t="s">
        <v>36</v>
      </c>
      <c r="I730" s="28" t="s">
        <v>56</v>
      </c>
      <c r="J730" s="28" t="s">
        <v>5218</v>
      </c>
      <c r="K730" s="28" t="s">
        <v>2135</v>
      </c>
    </row>
    <row r="731" spans="1:11">
      <c r="A731" s="27">
        <v>729</v>
      </c>
      <c r="B731" s="28" t="s">
        <v>2136</v>
      </c>
      <c r="C731" s="29" t="s">
        <v>4328</v>
      </c>
      <c r="D731" s="29" t="s">
        <v>17</v>
      </c>
      <c r="E731" s="32">
        <v>33892</v>
      </c>
      <c r="F731" s="74">
        <v>46118</v>
      </c>
      <c r="G731" s="30" t="s">
        <v>85</v>
      </c>
      <c r="H731" s="28" t="s">
        <v>120</v>
      </c>
      <c r="I731" s="28" t="s">
        <v>56</v>
      </c>
      <c r="J731" s="28" t="s">
        <v>4981</v>
      </c>
      <c r="K731" s="28" t="s">
        <v>2138</v>
      </c>
    </row>
    <row r="732" spans="1:11">
      <c r="A732" s="27">
        <v>730</v>
      </c>
      <c r="B732" s="28" t="s">
        <v>2139</v>
      </c>
      <c r="C732" s="29" t="s">
        <v>4329</v>
      </c>
      <c r="D732" s="29" t="s">
        <v>17</v>
      </c>
      <c r="E732" s="32">
        <v>31729</v>
      </c>
      <c r="F732" s="74">
        <v>46118</v>
      </c>
      <c r="G732" s="30" t="s">
        <v>179</v>
      </c>
      <c r="H732" s="28" t="s">
        <v>36</v>
      </c>
      <c r="I732" s="28" t="s">
        <v>14</v>
      </c>
      <c r="J732" s="28" t="s">
        <v>5187</v>
      </c>
      <c r="K732" s="28" t="s">
        <v>2141</v>
      </c>
    </row>
    <row r="733" spans="1:11">
      <c r="A733" s="27">
        <v>731</v>
      </c>
      <c r="B733" s="28" t="s">
        <v>2142</v>
      </c>
      <c r="C733" s="29" t="s">
        <v>3260</v>
      </c>
      <c r="D733" s="29" t="s">
        <v>59</v>
      </c>
      <c r="E733" s="32">
        <v>31925</v>
      </c>
      <c r="F733" s="74">
        <v>46118</v>
      </c>
      <c r="G733" s="30" t="s">
        <v>179</v>
      </c>
      <c r="H733" s="28" t="s">
        <v>36</v>
      </c>
      <c r="I733" s="28" t="s">
        <v>42</v>
      </c>
      <c r="J733" s="28" t="s">
        <v>5125</v>
      </c>
      <c r="K733" s="28" t="s">
        <v>2144</v>
      </c>
    </row>
    <row r="734" spans="1:11">
      <c r="A734" s="27">
        <v>732</v>
      </c>
      <c r="B734" s="28" t="s">
        <v>2145</v>
      </c>
      <c r="C734" s="29" t="s">
        <v>3570</v>
      </c>
      <c r="D734" s="29" t="s">
        <v>59</v>
      </c>
      <c r="E734" s="32">
        <v>35625</v>
      </c>
      <c r="F734" s="74">
        <v>46118</v>
      </c>
      <c r="G734" s="30" t="s">
        <v>179</v>
      </c>
      <c r="H734" s="28" t="s">
        <v>36</v>
      </c>
      <c r="I734" s="28" t="s">
        <v>14</v>
      </c>
      <c r="J734" s="28" t="s">
        <v>4804</v>
      </c>
      <c r="K734" s="28" t="s">
        <v>2146</v>
      </c>
    </row>
    <row r="735" spans="1:11">
      <c r="A735" s="27">
        <v>733</v>
      </c>
      <c r="B735" s="28" t="s">
        <v>2147</v>
      </c>
      <c r="C735" s="29" t="s">
        <v>3509</v>
      </c>
      <c r="D735" s="29" t="s">
        <v>59</v>
      </c>
      <c r="E735" s="32">
        <v>37574</v>
      </c>
      <c r="F735" s="74">
        <v>46118</v>
      </c>
      <c r="G735" s="30" t="s">
        <v>179</v>
      </c>
      <c r="H735" s="28" t="s">
        <v>36</v>
      </c>
      <c r="I735" s="28" t="s">
        <v>14</v>
      </c>
      <c r="J735" s="28" t="s">
        <v>4710</v>
      </c>
      <c r="K735" s="28" t="s">
        <v>5919</v>
      </c>
    </row>
    <row r="736" spans="1:11">
      <c r="A736" s="27">
        <v>734</v>
      </c>
      <c r="B736" s="28" t="s">
        <v>2150</v>
      </c>
      <c r="C736" s="29" t="s">
        <v>3510</v>
      </c>
      <c r="D736" s="29" t="s">
        <v>59</v>
      </c>
      <c r="E736" s="32">
        <v>33047</v>
      </c>
      <c r="F736" s="74">
        <v>46118</v>
      </c>
      <c r="G736" s="30" t="s">
        <v>179</v>
      </c>
      <c r="H736" s="28" t="s">
        <v>36</v>
      </c>
      <c r="I736" s="28" t="s">
        <v>56</v>
      </c>
      <c r="J736" s="28" t="s">
        <v>5317</v>
      </c>
      <c r="K736" s="28" t="s">
        <v>2152</v>
      </c>
    </row>
    <row r="737" spans="1:11">
      <c r="A737" s="27">
        <v>735</v>
      </c>
      <c r="B737" s="28" t="s">
        <v>2153</v>
      </c>
      <c r="C737" s="29" t="s">
        <v>4330</v>
      </c>
      <c r="D737" s="29" t="s">
        <v>59</v>
      </c>
      <c r="E737" s="32">
        <v>32539</v>
      </c>
      <c r="F737" s="74">
        <v>46118</v>
      </c>
      <c r="G737" s="30" t="s">
        <v>207</v>
      </c>
      <c r="H737" s="28" t="s">
        <v>31</v>
      </c>
      <c r="I737" s="28" t="s">
        <v>56</v>
      </c>
      <c r="J737" s="28" t="s">
        <v>4938</v>
      </c>
      <c r="K737" s="28" t="s">
        <v>5893</v>
      </c>
    </row>
    <row r="738" spans="1:11">
      <c r="A738" s="27">
        <v>736</v>
      </c>
      <c r="B738" s="28" t="s">
        <v>2156</v>
      </c>
      <c r="C738" s="29" t="s">
        <v>4331</v>
      </c>
      <c r="D738" s="29" t="s">
        <v>59</v>
      </c>
      <c r="E738" s="32">
        <v>31301</v>
      </c>
      <c r="F738" s="74">
        <v>46118</v>
      </c>
      <c r="G738" s="30" t="s">
        <v>179</v>
      </c>
      <c r="H738" s="28" t="s">
        <v>36</v>
      </c>
      <c r="I738" s="28" t="s">
        <v>56</v>
      </c>
      <c r="J738" s="28" t="s">
        <v>4573</v>
      </c>
      <c r="K738" s="28" t="s">
        <v>2158</v>
      </c>
    </row>
    <row r="739" spans="1:11">
      <c r="A739" s="27">
        <v>737</v>
      </c>
      <c r="B739" s="28" t="s">
        <v>2159</v>
      </c>
      <c r="C739" s="29" t="s">
        <v>3403</v>
      </c>
      <c r="D739" s="29" t="s">
        <v>17</v>
      </c>
      <c r="E739" s="32">
        <v>36909</v>
      </c>
      <c r="F739" s="74">
        <v>46118</v>
      </c>
      <c r="G739" s="30" t="s">
        <v>216</v>
      </c>
      <c r="H739" s="28" t="s">
        <v>217</v>
      </c>
      <c r="I739" s="28" t="s">
        <v>42</v>
      </c>
      <c r="J739" s="28" t="s">
        <v>5009</v>
      </c>
      <c r="K739" s="28" t="s">
        <v>2161</v>
      </c>
    </row>
    <row r="740" spans="1:11">
      <c r="A740" s="27">
        <v>738</v>
      </c>
      <c r="B740" s="28" t="s">
        <v>2162</v>
      </c>
      <c r="C740" s="29" t="s">
        <v>3404</v>
      </c>
      <c r="D740" s="29" t="s">
        <v>17</v>
      </c>
      <c r="E740" s="32">
        <v>34305</v>
      </c>
      <c r="F740" s="74">
        <v>46118</v>
      </c>
      <c r="G740" s="30" t="s">
        <v>179</v>
      </c>
      <c r="H740" s="28" t="s">
        <v>36</v>
      </c>
      <c r="I740" s="28" t="s">
        <v>56</v>
      </c>
      <c r="J740" s="28" t="s">
        <v>4850</v>
      </c>
      <c r="K740" s="28" t="s">
        <v>5836</v>
      </c>
    </row>
    <row r="741" spans="1:11">
      <c r="A741" s="27">
        <v>739</v>
      </c>
      <c r="B741" s="28" t="s">
        <v>2164</v>
      </c>
      <c r="C741" s="29" t="s">
        <v>4332</v>
      </c>
      <c r="D741" s="29" t="s">
        <v>17</v>
      </c>
      <c r="E741" s="32">
        <v>36916</v>
      </c>
      <c r="F741" s="74">
        <v>46118</v>
      </c>
      <c r="G741" s="30" t="s">
        <v>40</v>
      </c>
      <c r="H741" s="28" t="s">
        <v>71</v>
      </c>
      <c r="I741" s="28" t="s">
        <v>14</v>
      </c>
      <c r="J741" s="28" t="s">
        <v>4554</v>
      </c>
      <c r="K741" s="28" t="s">
        <v>5947</v>
      </c>
    </row>
    <row r="742" spans="1:11">
      <c r="A742" s="27">
        <v>740</v>
      </c>
      <c r="B742" s="28" t="s">
        <v>2167</v>
      </c>
      <c r="C742" s="29" t="s">
        <v>4333</v>
      </c>
      <c r="D742" s="29" t="s">
        <v>59</v>
      </c>
      <c r="E742" s="32">
        <v>32605</v>
      </c>
      <c r="F742" s="74">
        <v>46118</v>
      </c>
      <c r="G742" s="30" t="s">
        <v>179</v>
      </c>
      <c r="H742" s="28" t="s">
        <v>36</v>
      </c>
      <c r="I742" s="28" t="s">
        <v>56</v>
      </c>
      <c r="J742" s="28" t="s">
        <v>5329</v>
      </c>
      <c r="K742" s="28" t="s">
        <v>2169</v>
      </c>
    </row>
    <row r="743" spans="1:11">
      <c r="A743" s="27">
        <v>741</v>
      </c>
      <c r="B743" s="28" t="s">
        <v>2170</v>
      </c>
      <c r="C743" s="29" t="s">
        <v>4334</v>
      </c>
      <c r="D743" s="29" t="s">
        <v>17</v>
      </c>
      <c r="E743" s="32">
        <v>36225</v>
      </c>
      <c r="F743" s="74">
        <v>46118</v>
      </c>
      <c r="G743" s="30" t="s">
        <v>85</v>
      </c>
      <c r="H743" s="28" t="s">
        <v>120</v>
      </c>
      <c r="I743" s="28" t="s">
        <v>14</v>
      </c>
      <c r="J743" s="28" t="s">
        <v>5313</v>
      </c>
      <c r="K743" s="28" t="s">
        <v>5892</v>
      </c>
    </row>
    <row r="744" spans="1:11">
      <c r="A744" s="27">
        <v>742</v>
      </c>
      <c r="B744" s="28" t="s">
        <v>2173</v>
      </c>
      <c r="C744" s="29" t="s">
        <v>4335</v>
      </c>
      <c r="D744" s="29" t="s">
        <v>17</v>
      </c>
      <c r="E744" s="32">
        <v>37547</v>
      </c>
      <c r="F744" s="74">
        <v>46118</v>
      </c>
      <c r="G744" s="30" t="s">
        <v>40</v>
      </c>
      <c r="H744" s="28" t="s">
        <v>71</v>
      </c>
      <c r="I744" s="28" t="s">
        <v>14</v>
      </c>
      <c r="J744" s="28" t="s">
        <v>4521</v>
      </c>
      <c r="K744" s="28" t="s">
        <v>2175</v>
      </c>
    </row>
    <row r="745" spans="1:11">
      <c r="A745" s="27">
        <v>743</v>
      </c>
      <c r="B745" s="28" t="s">
        <v>2176</v>
      </c>
      <c r="C745" s="29" t="s">
        <v>3405</v>
      </c>
      <c r="D745" s="29" t="s">
        <v>17</v>
      </c>
      <c r="E745" s="32">
        <v>34374</v>
      </c>
      <c r="F745" s="74">
        <v>46118</v>
      </c>
      <c r="G745" s="30" t="s">
        <v>179</v>
      </c>
      <c r="H745" s="28" t="s">
        <v>36</v>
      </c>
      <c r="I745" s="28" t="s">
        <v>14</v>
      </c>
      <c r="J745" s="28" t="s">
        <v>4868</v>
      </c>
      <c r="K745" s="28" t="s">
        <v>2178</v>
      </c>
    </row>
    <row r="746" spans="1:11">
      <c r="A746" s="27">
        <v>744</v>
      </c>
      <c r="B746" s="28" t="s">
        <v>2179</v>
      </c>
      <c r="C746" s="29" t="s">
        <v>4336</v>
      </c>
      <c r="D746" s="29" t="s">
        <v>17</v>
      </c>
      <c r="E746" s="32">
        <v>36795</v>
      </c>
      <c r="F746" s="74">
        <v>46118</v>
      </c>
      <c r="G746" s="30" t="s">
        <v>85</v>
      </c>
      <c r="H746" s="28" t="s">
        <v>120</v>
      </c>
      <c r="I746" s="28" t="s">
        <v>14</v>
      </c>
      <c r="J746" s="28" t="s">
        <v>5325</v>
      </c>
      <c r="K746" s="28" t="s">
        <v>2181</v>
      </c>
    </row>
    <row r="747" spans="1:11">
      <c r="A747" s="27">
        <v>745</v>
      </c>
      <c r="B747" s="28" t="s">
        <v>2182</v>
      </c>
      <c r="C747" s="29" t="s">
        <v>3406</v>
      </c>
      <c r="D747" s="29" t="s">
        <v>17</v>
      </c>
      <c r="E747" s="32">
        <v>36953</v>
      </c>
      <c r="F747" s="74">
        <v>46118</v>
      </c>
      <c r="G747" s="30" t="s">
        <v>216</v>
      </c>
      <c r="H747" s="28" t="s">
        <v>217</v>
      </c>
      <c r="I747" s="28" t="s">
        <v>42</v>
      </c>
      <c r="J747" s="28" t="s">
        <v>4472</v>
      </c>
      <c r="K747" s="28" t="s">
        <v>2184</v>
      </c>
    </row>
    <row r="748" spans="1:11">
      <c r="A748" s="27">
        <v>746</v>
      </c>
      <c r="B748" s="28" t="s">
        <v>2185</v>
      </c>
      <c r="C748" s="29" t="s">
        <v>4337</v>
      </c>
      <c r="D748" s="29" t="s">
        <v>17</v>
      </c>
      <c r="E748" s="32">
        <v>32489</v>
      </c>
      <c r="F748" s="74">
        <v>46118</v>
      </c>
      <c r="G748" s="30" t="s">
        <v>40</v>
      </c>
      <c r="H748" s="28" t="s">
        <v>71</v>
      </c>
      <c r="I748" s="28" t="s">
        <v>42</v>
      </c>
      <c r="J748" s="28" t="s">
        <v>4649</v>
      </c>
      <c r="K748" s="28" t="s">
        <v>2186</v>
      </c>
    </row>
    <row r="749" spans="1:11">
      <c r="A749" s="27">
        <v>747</v>
      </c>
      <c r="B749" s="28" t="s">
        <v>2187</v>
      </c>
      <c r="C749" s="29" t="s">
        <v>4338</v>
      </c>
      <c r="D749" s="29" t="s">
        <v>59</v>
      </c>
      <c r="E749" s="32">
        <v>34381</v>
      </c>
      <c r="F749" s="74">
        <v>46118</v>
      </c>
      <c r="G749" s="30" t="s">
        <v>179</v>
      </c>
      <c r="H749" s="28" t="s">
        <v>36</v>
      </c>
      <c r="I749" s="28" t="s">
        <v>14</v>
      </c>
      <c r="J749" s="28" t="s">
        <v>5227</v>
      </c>
      <c r="K749" s="28" t="s">
        <v>2189</v>
      </c>
    </row>
    <row r="750" spans="1:11">
      <c r="A750" s="27">
        <v>748</v>
      </c>
      <c r="B750" s="28" t="s">
        <v>2190</v>
      </c>
      <c r="C750" s="29" t="s">
        <v>4339</v>
      </c>
      <c r="D750" s="29" t="s">
        <v>17</v>
      </c>
      <c r="E750" s="32">
        <v>35819</v>
      </c>
      <c r="F750" s="74">
        <v>46118</v>
      </c>
      <c r="G750" s="30" t="s">
        <v>179</v>
      </c>
      <c r="H750" s="28" t="s">
        <v>36</v>
      </c>
      <c r="I750" s="28" t="s">
        <v>56</v>
      </c>
      <c r="J750" s="28" t="s">
        <v>5368</v>
      </c>
      <c r="K750" s="28" t="s">
        <v>2192</v>
      </c>
    </row>
    <row r="751" spans="1:11">
      <c r="A751" s="27">
        <v>749</v>
      </c>
      <c r="B751" s="28" t="s">
        <v>2193</v>
      </c>
      <c r="C751" s="29" t="s">
        <v>4340</v>
      </c>
      <c r="D751" s="29" t="s">
        <v>59</v>
      </c>
      <c r="E751" s="32">
        <v>35296</v>
      </c>
      <c r="F751" s="74">
        <v>46118</v>
      </c>
      <c r="G751" s="30" t="s">
        <v>179</v>
      </c>
      <c r="H751" s="28" t="s">
        <v>36</v>
      </c>
      <c r="I751" s="28" t="s">
        <v>14</v>
      </c>
      <c r="J751" s="28" t="s">
        <v>4833</v>
      </c>
      <c r="K751" s="28" t="s">
        <v>2195</v>
      </c>
    </row>
    <row r="752" spans="1:11">
      <c r="A752" s="27">
        <v>750</v>
      </c>
      <c r="B752" s="28" t="s">
        <v>3959</v>
      </c>
      <c r="C752" s="29" t="s">
        <v>4341</v>
      </c>
      <c r="D752" s="29" t="s">
        <v>17</v>
      </c>
      <c r="E752" s="32">
        <v>31557</v>
      </c>
      <c r="F752" s="74">
        <v>46118</v>
      </c>
      <c r="G752" s="30" t="s">
        <v>85</v>
      </c>
      <c r="H752" s="28" t="s">
        <v>120</v>
      </c>
      <c r="I752" s="28" t="s">
        <v>42</v>
      </c>
      <c r="J752" s="28" t="s">
        <v>4861</v>
      </c>
      <c r="K752" s="28" t="s">
        <v>5814</v>
      </c>
    </row>
    <row r="753" spans="1:11">
      <c r="A753" s="27">
        <v>751</v>
      </c>
      <c r="B753" s="28" t="s">
        <v>2197</v>
      </c>
      <c r="C753" s="29" t="s">
        <v>3637</v>
      </c>
      <c r="D753" s="29" t="s">
        <v>59</v>
      </c>
      <c r="E753" s="32">
        <v>37044</v>
      </c>
      <c r="F753" s="74">
        <v>46118</v>
      </c>
      <c r="G753" s="30" t="s">
        <v>179</v>
      </c>
      <c r="H753" s="28" t="s">
        <v>36</v>
      </c>
      <c r="I753" s="28" t="s">
        <v>56</v>
      </c>
      <c r="J753" s="28" t="s">
        <v>5283</v>
      </c>
      <c r="K753" s="28" t="s">
        <v>2199</v>
      </c>
    </row>
    <row r="754" spans="1:11">
      <c r="A754" s="27">
        <v>752</v>
      </c>
      <c r="B754" s="28" t="s">
        <v>2200</v>
      </c>
      <c r="C754" s="29" t="s">
        <v>3571</v>
      </c>
      <c r="D754" s="29" t="s">
        <v>59</v>
      </c>
      <c r="E754" s="32">
        <v>31389</v>
      </c>
      <c r="F754" s="74">
        <v>46118</v>
      </c>
      <c r="G754" s="30" t="s">
        <v>179</v>
      </c>
      <c r="H754" s="28" t="s">
        <v>36</v>
      </c>
      <c r="I754" s="28" t="s">
        <v>42</v>
      </c>
      <c r="J754" s="28" t="s">
        <v>4622</v>
      </c>
      <c r="K754" s="28" t="s">
        <v>2202</v>
      </c>
    </row>
    <row r="755" spans="1:11">
      <c r="A755" s="27">
        <v>753</v>
      </c>
      <c r="B755" s="28" t="s">
        <v>2203</v>
      </c>
      <c r="C755" s="29" t="s">
        <v>4342</v>
      </c>
      <c r="D755" s="29" t="s">
        <v>17</v>
      </c>
      <c r="E755" s="32">
        <v>37090</v>
      </c>
      <c r="F755" s="74">
        <v>46118</v>
      </c>
      <c r="G755" s="30" t="s">
        <v>85</v>
      </c>
      <c r="H755" s="28" t="s">
        <v>120</v>
      </c>
      <c r="I755" s="28" t="s">
        <v>14</v>
      </c>
      <c r="J755" s="28" t="s">
        <v>4809</v>
      </c>
      <c r="K755" s="28" t="s">
        <v>2205</v>
      </c>
    </row>
    <row r="756" spans="1:11">
      <c r="A756" s="27">
        <v>754</v>
      </c>
      <c r="B756" s="28" t="s">
        <v>2206</v>
      </c>
      <c r="C756" s="29" t="s">
        <v>3261</v>
      </c>
      <c r="D756" s="29" t="s">
        <v>59</v>
      </c>
      <c r="E756" s="32">
        <v>35404</v>
      </c>
      <c r="F756" s="74">
        <v>46118</v>
      </c>
      <c r="G756" s="30" t="s">
        <v>179</v>
      </c>
      <c r="H756" s="28" t="s">
        <v>36</v>
      </c>
      <c r="I756" s="28" t="s">
        <v>42</v>
      </c>
      <c r="J756" s="28" t="s">
        <v>5242</v>
      </c>
      <c r="K756" s="28" t="s">
        <v>2208</v>
      </c>
    </row>
    <row r="757" spans="1:11">
      <c r="A757" s="27">
        <v>755</v>
      </c>
      <c r="B757" s="28" t="s">
        <v>2209</v>
      </c>
      <c r="C757" s="29" t="s">
        <v>4343</v>
      </c>
      <c r="D757" s="29" t="s">
        <v>59</v>
      </c>
      <c r="E757" s="32">
        <v>32679</v>
      </c>
      <c r="F757" s="74">
        <v>46118</v>
      </c>
      <c r="G757" s="30" t="s">
        <v>179</v>
      </c>
      <c r="H757" s="28" t="s">
        <v>36</v>
      </c>
      <c r="I757" s="28" t="s">
        <v>14</v>
      </c>
      <c r="J757" s="28" t="s">
        <v>5327</v>
      </c>
      <c r="K757" s="28" t="s">
        <v>2210</v>
      </c>
    </row>
    <row r="758" spans="1:11">
      <c r="A758" s="27">
        <v>756</v>
      </c>
      <c r="B758" s="28" t="s">
        <v>2211</v>
      </c>
      <c r="C758" s="29" t="s">
        <v>4344</v>
      </c>
      <c r="D758" s="29" t="s">
        <v>59</v>
      </c>
      <c r="E758" s="32">
        <v>31713</v>
      </c>
      <c r="F758" s="74">
        <v>46118</v>
      </c>
      <c r="G758" s="30" t="s">
        <v>24</v>
      </c>
      <c r="H758" s="28" t="s">
        <v>25</v>
      </c>
      <c r="I758" s="28" t="s">
        <v>56</v>
      </c>
      <c r="J758" s="28" t="s">
        <v>4793</v>
      </c>
      <c r="K758" s="28" t="s">
        <v>2213</v>
      </c>
    </row>
    <row r="759" spans="1:11">
      <c r="A759" s="27">
        <v>757</v>
      </c>
      <c r="B759" s="28" t="s">
        <v>2214</v>
      </c>
      <c r="C759" s="29" t="s">
        <v>3315</v>
      </c>
      <c r="D759" s="29" t="s">
        <v>59</v>
      </c>
      <c r="E759" s="32">
        <v>31665</v>
      </c>
      <c r="F759" s="74">
        <v>46118</v>
      </c>
      <c r="G759" s="30" t="s">
        <v>179</v>
      </c>
      <c r="H759" s="28" t="s">
        <v>36</v>
      </c>
      <c r="I759" s="28" t="s">
        <v>14</v>
      </c>
      <c r="J759" s="28" t="s">
        <v>4840</v>
      </c>
      <c r="K759" s="28" t="s">
        <v>5782</v>
      </c>
    </row>
    <row r="760" spans="1:11">
      <c r="A760" s="27">
        <v>758</v>
      </c>
      <c r="B760" s="28" t="s">
        <v>2216</v>
      </c>
      <c r="C760" s="29" t="s">
        <v>3407</v>
      </c>
      <c r="D760" s="29" t="s">
        <v>17</v>
      </c>
      <c r="E760" s="32">
        <v>31152</v>
      </c>
      <c r="F760" s="74">
        <v>46118</v>
      </c>
      <c r="G760" s="30" t="s">
        <v>216</v>
      </c>
      <c r="H760" s="28" t="s">
        <v>217</v>
      </c>
      <c r="I760" s="28" t="s">
        <v>42</v>
      </c>
      <c r="J760" s="28" t="s">
        <v>4999</v>
      </c>
      <c r="K760" s="28" t="s">
        <v>2218</v>
      </c>
    </row>
    <row r="761" spans="1:11">
      <c r="A761" s="27">
        <v>759</v>
      </c>
      <c r="B761" s="28" t="s">
        <v>2219</v>
      </c>
      <c r="C761" s="29" t="s">
        <v>3511</v>
      </c>
      <c r="D761" s="29" t="s">
        <v>59</v>
      </c>
      <c r="E761" s="32">
        <v>37610</v>
      </c>
      <c r="F761" s="74">
        <v>46118</v>
      </c>
      <c r="G761" s="30" t="s">
        <v>179</v>
      </c>
      <c r="H761" s="28" t="s">
        <v>36</v>
      </c>
      <c r="I761" s="28" t="s">
        <v>42</v>
      </c>
      <c r="J761" s="28" t="s">
        <v>4736</v>
      </c>
      <c r="K761" s="28" t="s">
        <v>2221</v>
      </c>
    </row>
    <row r="762" spans="1:11">
      <c r="A762" s="27">
        <v>760</v>
      </c>
      <c r="B762" s="28" t="s">
        <v>2222</v>
      </c>
      <c r="C762" s="29" t="s">
        <v>4345</v>
      </c>
      <c r="D762" s="29" t="s">
        <v>59</v>
      </c>
      <c r="E762" s="32">
        <v>33793</v>
      </c>
      <c r="F762" s="74">
        <v>46118</v>
      </c>
      <c r="G762" s="30" t="s">
        <v>179</v>
      </c>
      <c r="H762" s="28" t="s">
        <v>36</v>
      </c>
      <c r="I762" s="28" t="s">
        <v>14</v>
      </c>
      <c r="J762" s="28" t="s">
        <v>4653</v>
      </c>
      <c r="K762" s="28" t="s">
        <v>2224</v>
      </c>
    </row>
    <row r="763" spans="1:11">
      <c r="A763" s="27">
        <v>761</v>
      </c>
      <c r="B763" s="28" t="s">
        <v>2225</v>
      </c>
      <c r="C763" s="29" t="s">
        <v>3638</v>
      </c>
      <c r="D763" s="29" t="s">
        <v>59</v>
      </c>
      <c r="E763" s="32">
        <v>34521</v>
      </c>
      <c r="F763" s="74">
        <v>46118</v>
      </c>
      <c r="G763" s="30" t="s">
        <v>179</v>
      </c>
      <c r="H763" s="28" t="s">
        <v>36</v>
      </c>
      <c r="I763" s="28" t="s">
        <v>14</v>
      </c>
      <c r="J763" s="28" t="s">
        <v>5361</v>
      </c>
      <c r="K763" s="28" t="s">
        <v>5828</v>
      </c>
    </row>
    <row r="764" spans="1:11">
      <c r="A764" s="27">
        <v>762</v>
      </c>
      <c r="B764" s="28" t="s">
        <v>2227</v>
      </c>
      <c r="C764" s="29" t="s">
        <v>4346</v>
      </c>
      <c r="D764" s="29" t="s">
        <v>59</v>
      </c>
      <c r="E764" s="32">
        <v>37622</v>
      </c>
      <c r="F764" s="74">
        <v>46118</v>
      </c>
      <c r="G764" s="30" t="s">
        <v>207</v>
      </c>
      <c r="H764" s="28" t="s">
        <v>31</v>
      </c>
      <c r="I764" s="28" t="s">
        <v>56</v>
      </c>
      <c r="J764" s="28" t="s">
        <v>5026</v>
      </c>
      <c r="K764" s="28" t="s">
        <v>2229</v>
      </c>
    </row>
    <row r="765" spans="1:11">
      <c r="A765" s="27">
        <v>763</v>
      </c>
      <c r="B765" s="28" t="s">
        <v>2230</v>
      </c>
      <c r="C765" s="29" t="s">
        <v>4347</v>
      </c>
      <c r="D765" s="29" t="s">
        <v>17</v>
      </c>
      <c r="E765" s="32">
        <v>32241</v>
      </c>
      <c r="F765" s="74">
        <v>46118</v>
      </c>
      <c r="G765" s="30" t="s">
        <v>40</v>
      </c>
      <c r="H765" s="28" t="s">
        <v>71</v>
      </c>
      <c r="I765" s="28" t="s">
        <v>42</v>
      </c>
      <c r="J765" s="28" t="s">
        <v>4642</v>
      </c>
      <c r="K765" s="28" t="s">
        <v>2232</v>
      </c>
    </row>
    <row r="766" spans="1:11">
      <c r="A766" s="27">
        <v>764</v>
      </c>
      <c r="B766" s="28" t="s">
        <v>2233</v>
      </c>
      <c r="C766" s="29" t="s">
        <v>3408</v>
      </c>
      <c r="D766" s="29" t="s">
        <v>17</v>
      </c>
      <c r="E766" s="32">
        <v>37246</v>
      </c>
      <c r="F766" s="74">
        <v>46118</v>
      </c>
      <c r="G766" s="30" t="s">
        <v>179</v>
      </c>
      <c r="H766" s="28" t="s">
        <v>36</v>
      </c>
      <c r="I766" s="28" t="s">
        <v>14</v>
      </c>
      <c r="J766" s="28" t="s">
        <v>4507</v>
      </c>
      <c r="K766" s="28" t="s">
        <v>2235</v>
      </c>
    </row>
    <row r="767" spans="1:11">
      <c r="A767" s="27">
        <v>765</v>
      </c>
      <c r="B767" s="28" t="s">
        <v>2236</v>
      </c>
      <c r="C767" s="29" t="s">
        <v>3409</v>
      </c>
      <c r="D767" s="29" t="s">
        <v>17</v>
      </c>
      <c r="E767" s="32">
        <v>35515</v>
      </c>
      <c r="F767" s="74">
        <v>46118</v>
      </c>
      <c r="G767" s="30" t="s">
        <v>179</v>
      </c>
      <c r="H767" s="28" t="s">
        <v>36</v>
      </c>
      <c r="I767" s="28" t="s">
        <v>14</v>
      </c>
      <c r="J767" s="28" t="s">
        <v>5012</v>
      </c>
      <c r="K767" s="28" t="s">
        <v>2237</v>
      </c>
    </row>
    <row r="768" spans="1:11">
      <c r="A768" s="27">
        <v>766</v>
      </c>
      <c r="B768" s="28" t="s">
        <v>2238</v>
      </c>
      <c r="C768" s="29" t="s">
        <v>4348</v>
      </c>
      <c r="D768" s="29" t="s">
        <v>59</v>
      </c>
      <c r="E768" s="32">
        <v>33234</v>
      </c>
      <c r="F768" s="74">
        <v>46118</v>
      </c>
      <c r="G768" s="30" t="s">
        <v>179</v>
      </c>
      <c r="H768" s="28" t="s">
        <v>36</v>
      </c>
      <c r="I768" s="28" t="s">
        <v>14</v>
      </c>
      <c r="J768" s="28" t="s">
        <v>4584</v>
      </c>
      <c r="K768" s="28" t="s">
        <v>2240</v>
      </c>
    </row>
    <row r="769" spans="1:11">
      <c r="A769" s="27">
        <v>767</v>
      </c>
      <c r="B769" s="28" t="s">
        <v>2241</v>
      </c>
      <c r="C769" s="29" t="s">
        <v>3512</v>
      </c>
      <c r="D769" s="29" t="s">
        <v>59</v>
      </c>
      <c r="E769" s="32">
        <v>35323</v>
      </c>
      <c r="F769" s="74">
        <v>46118</v>
      </c>
      <c r="G769" s="30" t="s">
        <v>179</v>
      </c>
      <c r="H769" s="28" t="s">
        <v>36</v>
      </c>
      <c r="I769" s="28" t="s">
        <v>14</v>
      </c>
      <c r="J769" s="28" t="s">
        <v>4694</v>
      </c>
      <c r="K769" s="28" t="s">
        <v>2243</v>
      </c>
    </row>
    <row r="770" spans="1:11">
      <c r="A770" s="27">
        <v>768</v>
      </c>
      <c r="B770" s="28" t="s">
        <v>2244</v>
      </c>
      <c r="C770" s="29" t="s">
        <v>4349</v>
      </c>
      <c r="D770" s="29" t="s">
        <v>17</v>
      </c>
      <c r="E770" s="32">
        <v>32332</v>
      </c>
      <c r="F770" s="74">
        <v>46118</v>
      </c>
      <c r="G770" s="30" t="s">
        <v>179</v>
      </c>
      <c r="H770" s="28" t="s">
        <v>36</v>
      </c>
      <c r="I770" s="28" t="s">
        <v>14</v>
      </c>
      <c r="J770" s="28" t="s">
        <v>4916</v>
      </c>
      <c r="K770" s="28" t="s">
        <v>2246</v>
      </c>
    </row>
    <row r="771" spans="1:11">
      <c r="A771" s="27">
        <v>769</v>
      </c>
      <c r="B771" s="28" t="s">
        <v>2247</v>
      </c>
      <c r="C771" s="29" t="s">
        <v>3513</v>
      </c>
      <c r="D771" s="29" t="s">
        <v>59</v>
      </c>
      <c r="E771" s="32">
        <v>33732</v>
      </c>
      <c r="F771" s="74">
        <v>46118</v>
      </c>
      <c r="G771" s="30" t="s">
        <v>179</v>
      </c>
      <c r="H771" s="28" t="s">
        <v>36</v>
      </c>
      <c r="I771" s="28" t="s">
        <v>56</v>
      </c>
      <c r="J771" s="28" t="s">
        <v>4927</v>
      </c>
      <c r="K771" s="28" t="s">
        <v>2249</v>
      </c>
    </row>
    <row r="772" spans="1:11">
      <c r="A772" s="27">
        <v>770</v>
      </c>
      <c r="B772" s="28" t="s">
        <v>2250</v>
      </c>
      <c r="C772" s="29" t="s">
        <v>3639</v>
      </c>
      <c r="D772" s="29" t="s">
        <v>59</v>
      </c>
      <c r="E772" s="32">
        <v>33942</v>
      </c>
      <c r="F772" s="74">
        <v>46118</v>
      </c>
      <c r="G772" s="30" t="s">
        <v>179</v>
      </c>
      <c r="H772" s="28" t="s">
        <v>36</v>
      </c>
      <c r="I772" s="28" t="s">
        <v>14</v>
      </c>
      <c r="J772" s="28" t="s">
        <v>5117</v>
      </c>
      <c r="K772" s="28" t="s">
        <v>2252</v>
      </c>
    </row>
    <row r="773" spans="1:11">
      <c r="A773" s="27">
        <v>771</v>
      </c>
      <c r="B773" s="28" t="s">
        <v>2253</v>
      </c>
      <c r="C773" s="29" t="s">
        <v>3514</v>
      </c>
      <c r="D773" s="29" t="s">
        <v>59</v>
      </c>
      <c r="E773" s="32">
        <v>31407</v>
      </c>
      <c r="F773" s="74">
        <v>46118</v>
      </c>
      <c r="G773" s="30" t="s">
        <v>179</v>
      </c>
      <c r="H773" s="28" t="s">
        <v>36</v>
      </c>
      <c r="I773" s="28" t="s">
        <v>14</v>
      </c>
      <c r="J773" s="28" t="s">
        <v>5376</v>
      </c>
      <c r="K773" s="28" t="s">
        <v>2254</v>
      </c>
    </row>
    <row r="774" spans="1:11">
      <c r="A774" s="27">
        <v>772</v>
      </c>
      <c r="B774" s="28" t="s">
        <v>2255</v>
      </c>
      <c r="C774" s="29" t="s">
        <v>3515</v>
      </c>
      <c r="D774" s="29" t="s">
        <v>59</v>
      </c>
      <c r="E774" s="32">
        <v>33390</v>
      </c>
      <c r="F774" s="74">
        <v>46118</v>
      </c>
      <c r="G774" s="30" t="s">
        <v>179</v>
      </c>
      <c r="H774" s="28" t="s">
        <v>36</v>
      </c>
      <c r="I774" s="28" t="s">
        <v>14</v>
      </c>
      <c r="J774" s="28" t="s">
        <v>4902</v>
      </c>
      <c r="K774" s="28" t="s">
        <v>5781</v>
      </c>
    </row>
    <row r="775" spans="1:11">
      <c r="A775" s="27">
        <v>773</v>
      </c>
      <c r="B775" s="28" t="s">
        <v>2257</v>
      </c>
      <c r="C775" s="29" t="s">
        <v>4350</v>
      </c>
      <c r="D775" s="29" t="s">
        <v>17</v>
      </c>
      <c r="E775" s="32">
        <v>37480</v>
      </c>
      <c r="F775" s="74">
        <v>46118</v>
      </c>
      <c r="G775" s="30" t="s">
        <v>40</v>
      </c>
      <c r="H775" s="28" t="s">
        <v>71</v>
      </c>
      <c r="I775" s="28" t="s">
        <v>14</v>
      </c>
      <c r="J775" s="28" t="s">
        <v>5405</v>
      </c>
      <c r="K775" s="28" t="s">
        <v>5890</v>
      </c>
    </row>
    <row r="776" spans="1:11">
      <c r="A776" s="27">
        <v>774</v>
      </c>
      <c r="B776" s="28" t="s">
        <v>2259</v>
      </c>
      <c r="C776" s="29" t="s">
        <v>3516</v>
      </c>
      <c r="D776" s="29" t="s">
        <v>59</v>
      </c>
      <c r="E776" s="32">
        <v>31285</v>
      </c>
      <c r="F776" s="74">
        <v>46118</v>
      </c>
      <c r="G776" s="30" t="s">
        <v>179</v>
      </c>
      <c r="H776" s="28" t="s">
        <v>36</v>
      </c>
      <c r="I776" s="28" t="s">
        <v>14</v>
      </c>
      <c r="J776" s="28" t="s">
        <v>4799</v>
      </c>
      <c r="K776" s="28" t="s">
        <v>2261</v>
      </c>
    </row>
    <row r="777" spans="1:11">
      <c r="A777" s="27">
        <v>775</v>
      </c>
      <c r="B777" s="28" t="s">
        <v>2262</v>
      </c>
      <c r="C777" s="29" t="s">
        <v>3517</v>
      </c>
      <c r="D777" s="29" t="s">
        <v>59</v>
      </c>
      <c r="E777" s="32">
        <v>37619</v>
      </c>
      <c r="F777" s="74">
        <v>46118</v>
      </c>
      <c r="G777" s="30" t="s">
        <v>179</v>
      </c>
      <c r="H777" s="28" t="s">
        <v>36</v>
      </c>
      <c r="I777" s="28" t="s">
        <v>42</v>
      </c>
      <c r="J777" s="28" t="s">
        <v>4542</v>
      </c>
      <c r="K777" s="28" t="s">
        <v>2264</v>
      </c>
    </row>
    <row r="778" spans="1:11">
      <c r="A778" s="27">
        <v>776</v>
      </c>
      <c r="B778" s="28" t="s">
        <v>2265</v>
      </c>
      <c r="C778" s="29" t="s">
        <v>3410</v>
      </c>
      <c r="D778" s="29" t="s">
        <v>17</v>
      </c>
      <c r="E778" s="32">
        <v>32734</v>
      </c>
      <c r="F778" s="74">
        <v>46118</v>
      </c>
      <c r="G778" s="30" t="s">
        <v>216</v>
      </c>
      <c r="H778" s="28" t="s">
        <v>217</v>
      </c>
      <c r="I778" s="28" t="s">
        <v>42</v>
      </c>
      <c r="J778" s="28" t="s">
        <v>5319</v>
      </c>
      <c r="K778" s="28" t="s">
        <v>5885</v>
      </c>
    </row>
    <row r="779" spans="1:11">
      <c r="A779" s="27">
        <v>777</v>
      </c>
      <c r="B779" s="28" t="s">
        <v>2268</v>
      </c>
      <c r="C779" s="29" t="s">
        <v>4351</v>
      </c>
      <c r="D779" s="29" t="s">
        <v>17</v>
      </c>
      <c r="E779" s="32">
        <v>35381</v>
      </c>
      <c r="F779" s="74">
        <v>46118</v>
      </c>
      <c r="G779" s="30" t="s">
        <v>85</v>
      </c>
      <c r="H779" s="28" t="s">
        <v>120</v>
      </c>
      <c r="I779" s="28" t="s">
        <v>14</v>
      </c>
      <c r="J779" s="28" t="s">
        <v>5334</v>
      </c>
      <c r="K779" s="28" t="s">
        <v>2270</v>
      </c>
    </row>
    <row r="780" spans="1:11">
      <c r="A780" s="27">
        <v>778</v>
      </c>
      <c r="B780" s="28" t="s">
        <v>2271</v>
      </c>
      <c r="C780" s="29" t="s">
        <v>3518</v>
      </c>
      <c r="D780" s="29" t="s">
        <v>59</v>
      </c>
      <c r="E780" s="32">
        <v>34204</v>
      </c>
      <c r="F780" s="74">
        <v>46118</v>
      </c>
      <c r="G780" s="30" t="s">
        <v>179</v>
      </c>
      <c r="H780" s="28" t="s">
        <v>36</v>
      </c>
      <c r="I780" s="28" t="s">
        <v>42</v>
      </c>
      <c r="J780" s="28" t="s">
        <v>4561</v>
      </c>
      <c r="K780" s="28" t="s">
        <v>2272</v>
      </c>
    </row>
    <row r="781" spans="1:11">
      <c r="A781" s="27">
        <v>779</v>
      </c>
      <c r="B781" s="28" t="s">
        <v>2273</v>
      </c>
      <c r="C781" s="29" t="s">
        <v>4352</v>
      </c>
      <c r="D781" s="29" t="s">
        <v>17</v>
      </c>
      <c r="E781" s="32">
        <v>32691</v>
      </c>
      <c r="F781" s="74">
        <v>46118</v>
      </c>
      <c r="G781" s="30" t="s">
        <v>85</v>
      </c>
      <c r="H781" s="28" t="s">
        <v>120</v>
      </c>
      <c r="I781" s="28" t="s">
        <v>14</v>
      </c>
      <c r="J781" s="28" t="s">
        <v>5121</v>
      </c>
      <c r="K781" s="28" t="s">
        <v>2275</v>
      </c>
    </row>
    <row r="782" spans="1:11">
      <c r="A782" s="27">
        <v>780</v>
      </c>
      <c r="B782" s="28" t="s">
        <v>2276</v>
      </c>
      <c r="C782" s="29" t="s">
        <v>3640</v>
      </c>
      <c r="D782" s="29" t="s">
        <v>59</v>
      </c>
      <c r="E782" s="32">
        <v>37644</v>
      </c>
      <c r="F782" s="74">
        <v>46118</v>
      </c>
      <c r="G782" s="30" t="s">
        <v>179</v>
      </c>
      <c r="H782" s="28" t="s">
        <v>36</v>
      </c>
      <c r="I782" s="28" t="s">
        <v>56</v>
      </c>
      <c r="J782" s="28" t="s">
        <v>5385</v>
      </c>
      <c r="K782" s="28" t="s">
        <v>2278</v>
      </c>
    </row>
    <row r="783" spans="1:11">
      <c r="A783" s="27">
        <v>781</v>
      </c>
      <c r="B783" s="28" t="s">
        <v>2279</v>
      </c>
      <c r="C783" s="29" t="s">
        <v>4353</v>
      </c>
      <c r="D783" s="29" t="s">
        <v>59</v>
      </c>
      <c r="E783" s="32">
        <v>35226</v>
      </c>
      <c r="F783" s="74">
        <v>46118</v>
      </c>
      <c r="G783" s="30" t="s">
        <v>179</v>
      </c>
      <c r="H783" s="28" t="s">
        <v>36</v>
      </c>
      <c r="I783" s="28" t="s">
        <v>14</v>
      </c>
      <c r="J783" s="28" t="s">
        <v>5341</v>
      </c>
      <c r="K783" s="28" t="s">
        <v>2281</v>
      </c>
    </row>
    <row r="784" spans="1:11">
      <c r="A784" s="27">
        <v>782</v>
      </c>
      <c r="B784" s="28" t="s">
        <v>2282</v>
      </c>
      <c r="C784" s="29" t="s">
        <v>4354</v>
      </c>
      <c r="D784" s="29" t="s">
        <v>59</v>
      </c>
      <c r="E784" s="32">
        <v>36572</v>
      </c>
      <c r="F784" s="74">
        <v>46118</v>
      </c>
      <c r="G784" s="30" t="s">
        <v>24</v>
      </c>
      <c r="H784" s="28" t="s">
        <v>25</v>
      </c>
      <c r="I784" s="28" t="s">
        <v>14</v>
      </c>
      <c r="J784" s="28" t="s">
        <v>5298</v>
      </c>
      <c r="K784" s="28" t="s">
        <v>2284</v>
      </c>
    </row>
    <row r="785" spans="1:11">
      <c r="A785" s="27">
        <v>783</v>
      </c>
      <c r="B785" s="28" t="s">
        <v>2285</v>
      </c>
      <c r="C785" s="29" t="s">
        <v>3411</v>
      </c>
      <c r="D785" s="29" t="s">
        <v>17</v>
      </c>
      <c r="E785" s="32">
        <v>34682</v>
      </c>
      <c r="F785" s="74">
        <v>46118</v>
      </c>
      <c r="G785" s="30" t="s">
        <v>179</v>
      </c>
      <c r="H785" s="28" t="s">
        <v>36</v>
      </c>
      <c r="I785" s="28" t="s">
        <v>14</v>
      </c>
      <c r="J785" s="28" t="s">
        <v>5324</v>
      </c>
      <c r="K785" s="28" t="s">
        <v>5780</v>
      </c>
    </row>
    <row r="786" spans="1:11">
      <c r="A786" s="27">
        <v>784</v>
      </c>
      <c r="B786" s="28" t="s">
        <v>2287</v>
      </c>
      <c r="C786" s="29" t="s">
        <v>4355</v>
      </c>
      <c r="D786" s="29" t="s">
        <v>17</v>
      </c>
      <c r="E786" s="32">
        <v>37183</v>
      </c>
      <c r="F786" s="74">
        <v>46118</v>
      </c>
      <c r="G786" s="30" t="s">
        <v>85</v>
      </c>
      <c r="H786" s="28" t="s">
        <v>120</v>
      </c>
      <c r="I786" s="28" t="s">
        <v>56</v>
      </c>
      <c r="J786" s="28" t="s">
        <v>5234</v>
      </c>
      <c r="K786" s="28" t="s">
        <v>2289</v>
      </c>
    </row>
    <row r="787" spans="1:11">
      <c r="A787" s="27">
        <v>785</v>
      </c>
      <c r="B787" s="28" t="s">
        <v>2290</v>
      </c>
      <c r="C787" s="29" t="s">
        <v>3262</v>
      </c>
      <c r="D787" s="29" t="s">
        <v>59</v>
      </c>
      <c r="E787" s="32">
        <v>37052</v>
      </c>
      <c r="F787" s="74">
        <v>46118</v>
      </c>
      <c r="G787" s="30" t="s">
        <v>179</v>
      </c>
      <c r="H787" s="28" t="s">
        <v>36</v>
      </c>
      <c r="I787" s="28" t="s">
        <v>14</v>
      </c>
      <c r="J787" s="28" t="s">
        <v>4911</v>
      </c>
      <c r="K787" s="28" t="s">
        <v>2292</v>
      </c>
    </row>
    <row r="788" spans="1:11">
      <c r="A788" s="27">
        <v>786</v>
      </c>
      <c r="B788" s="28" t="s">
        <v>2293</v>
      </c>
      <c r="C788" s="29" t="s">
        <v>4356</v>
      </c>
      <c r="D788" s="29" t="s">
        <v>59</v>
      </c>
      <c r="E788" s="32">
        <v>33678</v>
      </c>
      <c r="F788" s="74">
        <v>46118</v>
      </c>
      <c r="G788" s="30" t="s">
        <v>24</v>
      </c>
      <c r="H788" s="28" t="s">
        <v>25</v>
      </c>
      <c r="I788" s="28" t="s">
        <v>14</v>
      </c>
      <c r="J788" s="28" t="s">
        <v>5112</v>
      </c>
      <c r="K788" s="28" t="s">
        <v>5926</v>
      </c>
    </row>
    <row r="789" spans="1:11">
      <c r="A789" s="27">
        <v>787</v>
      </c>
      <c r="B789" s="28" t="s">
        <v>3960</v>
      </c>
      <c r="C789" s="29" t="s">
        <v>3641</v>
      </c>
      <c r="D789" s="29" t="s">
        <v>59</v>
      </c>
      <c r="E789" s="32">
        <v>34969</v>
      </c>
      <c r="F789" s="74">
        <v>46118</v>
      </c>
      <c r="G789" s="30" t="s">
        <v>179</v>
      </c>
      <c r="H789" s="28" t="s">
        <v>36</v>
      </c>
      <c r="I789" s="28" t="s">
        <v>14</v>
      </c>
      <c r="J789" s="28" t="s">
        <v>5413</v>
      </c>
      <c r="K789" s="28" t="s">
        <v>2297</v>
      </c>
    </row>
    <row r="790" spans="1:11">
      <c r="A790" s="27">
        <v>788</v>
      </c>
      <c r="B790" s="28" t="s">
        <v>2298</v>
      </c>
      <c r="C790" s="29" t="s">
        <v>4357</v>
      </c>
      <c r="D790" s="29" t="s">
        <v>17</v>
      </c>
      <c r="E790" s="32">
        <v>32071</v>
      </c>
      <c r="F790" s="74">
        <v>46118</v>
      </c>
      <c r="G790" s="30" t="s">
        <v>40</v>
      </c>
      <c r="H790" s="28" t="s">
        <v>71</v>
      </c>
      <c r="I790" s="28" t="s">
        <v>14</v>
      </c>
      <c r="J790" s="28" t="s">
        <v>5335</v>
      </c>
      <c r="K790" s="28" t="s">
        <v>2300</v>
      </c>
    </row>
    <row r="791" spans="1:11">
      <c r="A791" s="27">
        <v>789</v>
      </c>
      <c r="B791" s="28" t="s">
        <v>2301</v>
      </c>
      <c r="C791" s="29" t="s">
        <v>3412</v>
      </c>
      <c r="D791" s="29" t="s">
        <v>17</v>
      </c>
      <c r="E791" s="32">
        <v>37921</v>
      </c>
      <c r="F791" s="74">
        <v>46118</v>
      </c>
      <c r="G791" s="30" t="s">
        <v>179</v>
      </c>
      <c r="H791" s="28" t="s">
        <v>36</v>
      </c>
      <c r="I791" s="28" t="s">
        <v>14</v>
      </c>
      <c r="J791" s="28" t="s">
        <v>4474</v>
      </c>
      <c r="K791" s="28" t="s">
        <v>5912</v>
      </c>
    </row>
    <row r="792" spans="1:11">
      <c r="A792" s="27">
        <v>790</v>
      </c>
      <c r="B792" s="28" t="s">
        <v>2304</v>
      </c>
      <c r="C792" s="29" t="s">
        <v>4358</v>
      </c>
      <c r="D792" s="29" t="s">
        <v>17</v>
      </c>
      <c r="E792" s="32">
        <v>33553</v>
      </c>
      <c r="F792" s="74">
        <v>46118</v>
      </c>
      <c r="G792" s="30" t="s">
        <v>179</v>
      </c>
      <c r="H792" s="28" t="s">
        <v>36</v>
      </c>
      <c r="I792" s="28" t="s">
        <v>14</v>
      </c>
      <c r="J792" s="28" t="s">
        <v>5389</v>
      </c>
      <c r="K792" s="28" t="s">
        <v>2306</v>
      </c>
    </row>
    <row r="793" spans="1:11">
      <c r="A793" s="27">
        <v>791</v>
      </c>
      <c r="B793" s="28" t="s">
        <v>3961</v>
      </c>
      <c r="C793" s="29" t="s">
        <v>4359</v>
      </c>
      <c r="D793" s="29" t="s">
        <v>17</v>
      </c>
      <c r="E793" s="32">
        <v>36824</v>
      </c>
      <c r="F793" s="74">
        <v>46118</v>
      </c>
      <c r="G793" s="30" t="s">
        <v>40</v>
      </c>
      <c r="H793" s="28" t="s">
        <v>71</v>
      </c>
      <c r="I793" s="28" t="s">
        <v>42</v>
      </c>
      <c r="J793" s="28" t="s">
        <v>4971</v>
      </c>
      <c r="K793" s="28" t="s">
        <v>2309</v>
      </c>
    </row>
    <row r="794" spans="1:11">
      <c r="A794" s="27">
        <v>792</v>
      </c>
      <c r="B794" s="28" t="s">
        <v>2310</v>
      </c>
      <c r="C794" s="29" t="s">
        <v>4360</v>
      </c>
      <c r="D794" s="29" t="s">
        <v>59</v>
      </c>
      <c r="E794" s="32">
        <v>34235</v>
      </c>
      <c r="F794" s="74">
        <v>46118</v>
      </c>
      <c r="G794" s="30" t="s">
        <v>24</v>
      </c>
      <c r="H794" s="28" t="s">
        <v>25</v>
      </c>
      <c r="I794" s="28" t="s">
        <v>14</v>
      </c>
      <c r="J794" s="28" t="s">
        <v>4831</v>
      </c>
      <c r="K794" s="28" t="s">
        <v>2312</v>
      </c>
    </row>
    <row r="795" spans="1:11">
      <c r="A795" s="27">
        <v>793</v>
      </c>
      <c r="B795" s="28" t="s">
        <v>2313</v>
      </c>
      <c r="C795" s="29" t="s">
        <v>4361</v>
      </c>
      <c r="D795" s="29" t="s">
        <v>59</v>
      </c>
      <c r="E795" s="32">
        <v>37539</v>
      </c>
      <c r="F795" s="74">
        <v>46118</v>
      </c>
      <c r="G795" s="30" t="s">
        <v>179</v>
      </c>
      <c r="H795" s="28" t="s">
        <v>36</v>
      </c>
      <c r="I795" s="28" t="s">
        <v>56</v>
      </c>
      <c r="J795" s="28" t="s">
        <v>4669</v>
      </c>
      <c r="K795" s="28" t="s">
        <v>5951</v>
      </c>
    </row>
    <row r="796" spans="1:11">
      <c r="A796" s="27">
        <v>794</v>
      </c>
      <c r="B796" s="28" t="s">
        <v>2316</v>
      </c>
      <c r="C796" s="29" t="s">
        <v>3642</v>
      </c>
      <c r="D796" s="29" t="s">
        <v>59</v>
      </c>
      <c r="E796" s="32">
        <v>31306</v>
      </c>
      <c r="F796" s="74">
        <v>46118</v>
      </c>
      <c r="G796" s="30" t="s">
        <v>179</v>
      </c>
      <c r="H796" s="28" t="s">
        <v>36</v>
      </c>
      <c r="I796" s="28" t="s">
        <v>42</v>
      </c>
      <c r="J796" s="28" t="s">
        <v>4481</v>
      </c>
      <c r="K796" s="28" t="s">
        <v>5932</v>
      </c>
    </row>
    <row r="797" spans="1:11">
      <c r="A797" s="27">
        <v>795</v>
      </c>
      <c r="B797" s="28" t="s">
        <v>2319</v>
      </c>
      <c r="C797" s="29" t="s">
        <v>4362</v>
      </c>
      <c r="D797" s="29" t="s">
        <v>59</v>
      </c>
      <c r="E797" s="32">
        <v>33077</v>
      </c>
      <c r="F797" s="74">
        <v>46118</v>
      </c>
      <c r="G797" s="30" t="s">
        <v>179</v>
      </c>
      <c r="H797" s="28" t="s">
        <v>36</v>
      </c>
      <c r="I797" s="28" t="s">
        <v>14</v>
      </c>
      <c r="J797" s="28" t="s">
        <v>4818</v>
      </c>
      <c r="K797" s="28" t="s">
        <v>2321</v>
      </c>
    </row>
    <row r="798" spans="1:11">
      <c r="A798" s="27">
        <v>796</v>
      </c>
      <c r="B798" s="28" t="s">
        <v>2322</v>
      </c>
      <c r="C798" s="29" t="s">
        <v>3316</v>
      </c>
      <c r="D798" s="29" t="s">
        <v>59</v>
      </c>
      <c r="E798" s="32">
        <v>32542</v>
      </c>
      <c r="F798" s="74">
        <v>46118</v>
      </c>
      <c r="G798" s="30" t="s">
        <v>179</v>
      </c>
      <c r="H798" s="28" t="s">
        <v>36</v>
      </c>
      <c r="I798" s="28" t="s">
        <v>14</v>
      </c>
      <c r="J798" s="28" t="s">
        <v>5033</v>
      </c>
      <c r="K798" s="28" t="s">
        <v>2324</v>
      </c>
    </row>
    <row r="799" spans="1:11">
      <c r="A799" s="27">
        <v>797</v>
      </c>
      <c r="B799" s="28" t="s">
        <v>2325</v>
      </c>
      <c r="C799" s="29" t="s">
        <v>3519</v>
      </c>
      <c r="D799" s="29" t="s">
        <v>59</v>
      </c>
      <c r="E799" s="32">
        <v>34557</v>
      </c>
      <c r="F799" s="74">
        <v>46118</v>
      </c>
      <c r="G799" s="30" t="s">
        <v>179</v>
      </c>
      <c r="H799" s="28" t="s">
        <v>36</v>
      </c>
      <c r="I799" s="28" t="s">
        <v>14</v>
      </c>
      <c r="J799" s="28" t="s">
        <v>5414</v>
      </c>
      <c r="K799" s="28" t="s">
        <v>5834</v>
      </c>
    </row>
    <row r="800" spans="1:11">
      <c r="A800" s="27">
        <v>798</v>
      </c>
      <c r="B800" s="28" t="s">
        <v>2327</v>
      </c>
      <c r="C800" s="29" t="s">
        <v>3263</v>
      </c>
      <c r="D800" s="29" t="s">
        <v>59</v>
      </c>
      <c r="E800" s="32">
        <v>37438</v>
      </c>
      <c r="F800" s="74">
        <v>46118</v>
      </c>
      <c r="G800" s="30" t="s">
        <v>179</v>
      </c>
      <c r="H800" s="28" t="s">
        <v>36</v>
      </c>
      <c r="I800" s="28" t="s">
        <v>56</v>
      </c>
      <c r="J800" s="28" t="s">
        <v>4566</v>
      </c>
      <c r="K800" s="28" t="s">
        <v>2329</v>
      </c>
    </row>
    <row r="801" spans="1:11">
      <c r="A801" s="27">
        <v>799</v>
      </c>
      <c r="B801" s="28" t="s">
        <v>2330</v>
      </c>
      <c r="C801" s="29" t="s">
        <v>3413</v>
      </c>
      <c r="D801" s="29" t="s">
        <v>17</v>
      </c>
      <c r="E801" s="32">
        <v>37091</v>
      </c>
      <c r="F801" s="74">
        <v>46118</v>
      </c>
      <c r="G801" s="30" t="s">
        <v>179</v>
      </c>
      <c r="H801" s="28" t="s">
        <v>36</v>
      </c>
      <c r="I801" s="28" t="s">
        <v>14</v>
      </c>
      <c r="J801" s="28" t="s">
        <v>4775</v>
      </c>
      <c r="K801" s="28" t="s">
        <v>2332</v>
      </c>
    </row>
    <row r="802" spans="1:11">
      <c r="A802" s="27">
        <v>800</v>
      </c>
      <c r="B802" s="28" t="s">
        <v>2333</v>
      </c>
      <c r="C802" s="29" t="s">
        <v>3520</v>
      </c>
      <c r="D802" s="29" t="s">
        <v>59</v>
      </c>
      <c r="E802" s="32">
        <v>32746</v>
      </c>
      <c r="F802" s="74">
        <v>46118</v>
      </c>
      <c r="G802" s="30" t="s">
        <v>179</v>
      </c>
      <c r="H802" s="28" t="s">
        <v>36</v>
      </c>
      <c r="I802" s="28" t="s">
        <v>56</v>
      </c>
      <c r="J802" s="28" t="s">
        <v>5417</v>
      </c>
      <c r="K802" s="28" t="s">
        <v>2335</v>
      </c>
    </row>
    <row r="803" spans="1:11">
      <c r="A803" s="27">
        <v>801</v>
      </c>
      <c r="B803" s="28" t="s">
        <v>2336</v>
      </c>
      <c r="C803" s="29" t="s">
        <v>4363</v>
      </c>
      <c r="D803" s="29" t="s">
        <v>59</v>
      </c>
      <c r="E803" s="32">
        <v>35584</v>
      </c>
      <c r="F803" s="74">
        <v>46118</v>
      </c>
      <c r="G803" s="30" t="s">
        <v>24</v>
      </c>
      <c r="H803" s="28" t="s">
        <v>25</v>
      </c>
      <c r="I803" s="28" t="s">
        <v>42</v>
      </c>
      <c r="J803" s="28" t="s">
        <v>4836</v>
      </c>
      <c r="K803" s="28" t="s">
        <v>2338</v>
      </c>
    </row>
    <row r="804" spans="1:11">
      <c r="A804" s="27">
        <v>802</v>
      </c>
      <c r="B804" s="28" t="s">
        <v>2339</v>
      </c>
      <c r="C804" s="29" t="s">
        <v>4364</v>
      </c>
      <c r="D804" s="29" t="s">
        <v>59</v>
      </c>
      <c r="E804" s="32">
        <v>36790</v>
      </c>
      <c r="F804" s="74">
        <v>46118</v>
      </c>
      <c r="G804" s="30" t="s">
        <v>24</v>
      </c>
      <c r="H804" s="28" t="s">
        <v>25</v>
      </c>
      <c r="I804" s="28" t="s">
        <v>14</v>
      </c>
      <c r="J804" s="28" t="s">
        <v>5168</v>
      </c>
      <c r="K804" s="28" t="s">
        <v>5878</v>
      </c>
    </row>
    <row r="805" spans="1:11">
      <c r="A805" s="27">
        <v>803</v>
      </c>
      <c r="B805" s="28" t="s">
        <v>2342</v>
      </c>
      <c r="C805" s="29" t="s">
        <v>3264</v>
      </c>
      <c r="D805" s="29" t="s">
        <v>59</v>
      </c>
      <c r="E805" s="32">
        <v>37673</v>
      </c>
      <c r="F805" s="74">
        <v>46118</v>
      </c>
      <c r="G805" s="30" t="s">
        <v>179</v>
      </c>
      <c r="H805" s="28" t="s">
        <v>36</v>
      </c>
      <c r="I805" s="28" t="s">
        <v>42</v>
      </c>
      <c r="J805" s="28" t="s">
        <v>4816</v>
      </c>
      <c r="K805" s="28" t="s">
        <v>2343</v>
      </c>
    </row>
    <row r="806" spans="1:11">
      <c r="A806" s="27">
        <v>804</v>
      </c>
      <c r="B806" s="28" t="s">
        <v>2344</v>
      </c>
      <c r="C806" s="29" t="s">
        <v>3265</v>
      </c>
      <c r="D806" s="29" t="s">
        <v>59</v>
      </c>
      <c r="E806" s="32">
        <v>36275</v>
      </c>
      <c r="F806" s="74">
        <v>46118</v>
      </c>
      <c r="G806" s="30" t="s">
        <v>179</v>
      </c>
      <c r="H806" s="28" t="s">
        <v>36</v>
      </c>
      <c r="I806" s="28" t="s">
        <v>14</v>
      </c>
      <c r="J806" s="28" t="s">
        <v>4874</v>
      </c>
      <c r="K806" s="28" t="s">
        <v>2346</v>
      </c>
    </row>
    <row r="807" spans="1:11">
      <c r="A807" s="27">
        <v>805</v>
      </c>
      <c r="B807" s="28" t="s">
        <v>2347</v>
      </c>
      <c r="C807" s="29" t="s">
        <v>4365</v>
      </c>
      <c r="D807" s="29" t="s">
        <v>59</v>
      </c>
      <c r="E807" s="32">
        <v>36421</v>
      </c>
      <c r="F807" s="74">
        <v>46118</v>
      </c>
      <c r="G807" s="30" t="s">
        <v>179</v>
      </c>
      <c r="H807" s="28" t="s">
        <v>36</v>
      </c>
      <c r="I807" s="28" t="s">
        <v>14</v>
      </c>
      <c r="J807" s="28" t="s">
        <v>5315</v>
      </c>
      <c r="K807" s="28" t="s">
        <v>2349</v>
      </c>
    </row>
    <row r="808" spans="1:11">
      <c r="A808" s="27">
        <v>806</v>
      </c>
      <c r="B808" s="28" t="s">
        <v>3962</v>
      </c>
      <c r="C808" s="29" t="s">
        <v>4366</v>
      </c>
      <c r="D808" s="29" t="s">
        <v>59</v>
      </c>
      <c r="E808" s="32">
        <v>34111</v>
      </c>
      <c r="F808" s="74">
        <v>46118</v>
      </c>
      <c r="G808" s="30" t="s">
        <v>179</v>
      </c>
      <c r="H808" s="28" t="s">
        <v>36</v>
      </c>
      <c r="I808" s="28" t="s">
        <v>14</v>
      </c>
      <c r="J808" s="28" t="s">
        <v>5216</v>
      </c>
      <c r="K808" s="28" t="s">
        <v>2351</v>
      </c>
    </row>
    <row r="809" spans="1:11">
      <c r="A809" s="27">
        <v>807</v>
      </c>
      <c r="B809" s="28" t="s">
        <v>2352</v>
      </c>
      <c r="C809" s="29" t="s">
        <v>3266</v>
      </c>
      <c r="D809" s="29" t="s">
        <v>59</v>
      </c>
      <c r="E809" s="32">
        <v>31310</v>
      </c>
      <c r="F809" s="74">
        <v>46118</v>
      </c>
      <c r="G809" s="30" t="s">
        <v>179</v>
      </c>
      <c r="H809" s="28" t="s">
        <v>36</v>
      </c>
      <c r="I809" s="28" t="s">
        <v>14</v>
      </c>
      <c r="J809" s="28" t="s">
        <v>5060</v>
      </c>
      <c r="K809" s="28" t="s">
        <v>2354</v>
      </c>
    </row>
    <row r="810" spans="1:11">
      <c r="A810" s="27">
        <v>808</v>
      </c>
      <c r="B810" s="28" t="s">
        <v>2355</v>
      </c>
      <c r="C810" s="29" t="s">
        <v>3521</v>
      </c>
      <c r="D810" s="29" t="s">
        <v>59</v>
      </c>
      <c r="E810" s="32">
        <v>36400</v>
      </c>
      <c r="F810" s="74">
        <v>46118</v>
      </c>
      <c r="G810" s="30" t="s">
        <v>179</v>
      </c>
      <c r="H810" s="28" t="s">
        <v>36</v>
      </c>
      <c r="I810" s="28" t="s">
        <v>14</v>
      </c>
      <c r="J810" s="28" t="s">
        <v>5428</v>
      </c>
      <c r="K810" s="28" t="s">
        <v>2357</v>
      </c>
    </row>
    <row r="811" spans="1:11">
      <c r="A811" s="27">
        <v>809</v>
      </c>
      <c r="B811" s="28" t="s">
        <v>2358</v>
      </c>
      <c r="C811" s="29" t="s">
        <v>4367</v>
      </c>
      <c r="D811" s="29" t="s">
        <v>59</v>
      </c>
      <c r="E811" s="32">
        <v>36038</v>
      </c>
      <c r="F811" s="74">
        <v>46118</v>
      </c>
      <c r="G811" s="30" t="s">
        <v>179</v>
      </c>
      <c r="H811" s="28" t="s">
        <v>36</v>
      </c>
      <c r="I811" s="28" t="s">
        <v>14</v>
      </c>
      <c r="J811" s="28" t="s">
        <v>4475</v>
      </c>
      <c r="K811" s="28" t="s">
        <v>2360</v>
      </c>
    </row>
    <row r="812" spans="1:11">
      <c r="A812" s="27">
        <v>810</v>
      </c>
      <c r="B812" s="28" t="s">
        <v>2361</v>
      </c>
      <c r="C812" s="29" t="s">
        <v>4368</v>
      </c>
      <c r="D812" s="29" t="s">
        <v>17</v>
      </c>
      <c r="E812" s="32">
        <v>33710</v>
      </c>
      <c r="F812" s="74">
        <v>46118</v>
      </c>
      <c r="G812" s="30" t="s">
        <v>85</v>
      </c>
      <c r="H812" s="28" t="s">
        <v>120</v>
      </c>
      <c r="I812" s="28" t="s">
        <v>14</v>
      </c>
      <c r="J812" s="28" t="s">
        <v>4529</v>
      </c>
      <c r="K812" s="28" t="s">
        <v>2363</v>
      </c>
    </row>
    <row r="813" spans="1:11">
      <c r="A813" s="27">
        <v>811</v>
      </c>
      <c r="B813" s="28" t="s">
        <v>2364</v>
      </c>
      <c r="C813" s="29" t="s">
        <v>3522</v>
      </c>
      <c r="D813" s="29" t="s">
        <v>59</v>
      </c>
      <c r="E813" s="32">
        <v>36745</v>
      </c>
      <c r="F813" s="74">
        <v>46118</v>
      </c>
      <c r="G813" s="30" t="s">
        <v>179</v>
      </c>
      <c r="H813" s="28" t="s">
        <v>36</v>
      </c>
      <c r="I813" s="28" t="s">
        <v>56</v>
      </c>
      <c r="J813" s="28" t="s">
        <v>4947</v>
      </c>
      <c r="K813" s="28" t="s">
        <v>2365</v>
      </c>
    </row>
    <row r="814" spans="1:11">
      <c r="A814" s="27">
        <v>812</v>
      </c>
      <c r="B814" s="28" t="s">
        <v>2366</v>
      </c>
      <c r="C814" s="29" t="s">
        <v>4369</v>
      </c>
      <c r="D814" s="29" t="s">
        <v>17</v>
      </c>
      <c r="E814" s="32">
        <v>33382</v>
      </c>
      <c r="F814" s="74">
        <v>46118</v>
      </c>
      <c r="G814" s="30" t="s">
        <v>40</v>
      </c>
      <c r="H814" s="28" t="s">
        <v>71</v>
      </c>
      <c r="I814" s="28" t="s">
        <v>14</v>
      </c>
      <c r="J814" s="28" t="s">
        <v>4471</v>
      </c>
      <c r="K814" s="28" t="s">
        <v>2368</v>
      </c>
    </row>
    <row r="815" spans="1:11">
      <c r="A815" s="27">
        <v>813</v>
      </c>
      <c r="B815" s="28" t="s">
        <v>2369</v>
      </c>
      <c r="C815" s="29" t="s">
        <v>3643</v>
      </c>
      <c r="D815" s="29" t="s">
        <v>59</v>
      </c>
      <c r="E815" s="32">
        <v>35265</v>
      </c>
      <c r="F815" s="74">
        <v>46118</v>
      </c>
      <c r="G815" s="30" t="s">
        <v>179</v>
      </c>
      <c r="H815" s="28" t="s">
        <v>36</v>
      </c>
      <c r="I815" s="28" t="s">
        <v>14</v>
      </c>
      <c r="J815" s="28" t="s">
        <v>5260</v>
      </c>
      <c r="K815" s="28" t="s">
        <v>2371</v>
      </c>
    </row>
    <row r="816" spans="1:11">
      <c r="A816" s="27">
        <v>814</v>
      </c>
      <c r="B816" s="28" t="s">
        <v>2372</v>
      </c>
      <c r="C816" s="29" t="s">
        <v>3644</v>
      </c>
      <c r="D816" s="29" t="s">
        <v>59</v>
      </c>
      <c r="E816" s="32">
        <v>33423</v>
      </c>
      <c r="F816" s="74">
        <v>46118</v>
      </c>
      <c r="G816" s="30" t="s">
        <v>179</v>
      </c>
      <c r="H816" s="28" t="s">
        <v>36</v>
      </c>
      <c r="I816" s="28" t="s">
        <v>14</v>
      </c>
      <c r="J816" s="28" t="s">
        <v>4651</v>
      </c>
      <c r="K816" s="28" t="s">
        <v>2374</v>
      </c>
    </row>
    <row r="817" spans="1:11">
      <c r="A817" s="27">
        <v>815</v>
      </c>
      <c r="B817" s="28" t="s">
        <v>2375</v>
      </c>
      <c r="C817" s="29" t="s">
        <v>3414</v>
      </c>
      <c r="D817" s="29" t="s">
        <v>17</v>
      </c>
      <c r="E817" s="32">
        <v>34495</v>
      </c>
      <c r="F817" s="74">
        <v>46118</v>
      </c>
      <c r="G817" s="30" t="s">
        <v>179</v>
      </c>
      <c r="H817" s="28" t="s">
        <v>36</v>
      </c>
      <c r="I817" s="28" t="s">
        <v>14</v>
      </c>
      <c r="J817" s="28" t="s">
        <v>4586</v>
      </c>
      <c r="K817" s="28" t="s">
        <v>2377</v>
      </c>
    </row>
    <row r="818" spans="1:11">
      <c r="A818" s="27">
        <v>816</v>
      </c>
      <c r="B818" s="28" t="s">
        <v>2378</v>
      </c>
      <c r="C818" s="29" t="s">
        <v>4370</v>
      </c>
      <c r="D818" s="29" t="s">
        <v>59</v>
      </c>
      <c r="E818" s="32">
        <v>33706</v>
      </c>
      <c r="F818" s="74">
        <v>46118</v>
      </c>
      <c r="G818" s="30" t="s">
        <v>179</v>
      </c>
      <c r="H818" s="28" t="s">
        <v>36</v>
      </c>
      <c r="I818" s="28" t="s">
        <v>42</v>
      </c>
      <c r="J818" s="28" t="s">
        <v>5166</v>
      </c>
      <c r="K818" s="28" t="s">
        <v>5837</v>
      </c>
    </row>
    <row r="819" spans="1:11">
      <c r="A819" s="27">
        <v>817</v>
      </c>
      <c r="B819" s="28" t="s">
        <v>2380</v>
      </c>
      <c r="C819" s="29" t="s">
        <v>3317</v>
      </c>
      <c r="D819" s="29" t="s">
        <v>17</v>
      </c>
      <c r="E819" s="32">
        <v>31831</v>
      </c>
      <c r="F819" s="74">
        <v>46118</v>
      </c>
      <c r="G819" s="30" t="s">
        <v>179</v>
      </c>
      <c r="H819" s="28" t="s">
        <v>36</v>
      </c>
      <c r="I819" s="28" t="s">
        <v>14</v>
      </c>
      <c r="J819" s="28" t="s">
        <v>5355</v>
      </c>
      <c r="K819" s="28" t="s">
        <v>2382</v>
      </c>
    </row>
    <row r="820" spans="1:11">
      <c r="A820" s="27">
        <v>818</v>
      </c>
      <c r="B820" s="28" t="s">
        <v>2383</v>
      </c>
      <c r="C820" s="29" t="s">
        <v>4371</v>
      </c>
      <c r="D820" s="29" t="s">
        <v>59</v>
      </c>
      <c r="E820" s="32">
        <v>37517</v>
      </c>
      <c r="F820" s="74">
        <v>46118</v>
      </c>
      <c r="G820" s="30" t="s">
        <v>179</v>
      </c>
      <c r="H820" s="28" t="s">
        <v>36</v>
      </c>
      <c r="I820" s="28" t="s">
        <v>14</v>
      </c>
      <c r="J820" s="28" t="s">
        <v>4690</v>
      </c>
      <c r="K820" s="28" t="s">
        <v>2384</v>
      </c>
    </row>
    <row r="821" spans="1:11">
      <c r="A821" s="27">
        <v>819</v>
      </c>
      <c r="B821" s="28" t="s">
        <v>3963</v>
      </c>
      <c r="C821" s="29" t="s">
        <v>3523</v>
      </c>
      <c r="D821" s="29" t="s">
        <v>17</v>
      </c>
      <c r="E821" s="32">
        <v>34090</v>
      </c>
      <c r="F821" s="74">
        <v>46118</v>
      </c>
      <c r="G821" s="30" t="s">
        <v>179</v>
      </c>
      <c r="H821" s="28" t="s">
        <v>36</v>
      </c>
      <c r="I821" s="28" t="s">
        <v>42</v>
      </c>
      <c r="J821" s="28" t="s">
        <v>5150</v>
      </c>
      <c r="K821" s="28" t="s">
        <v>2386</v>
      </c>
    </row>
    <row r="822" spans="1:11">
      <c r="A822" s="27">
        <v>820</v>
      </c>
      <c r="B822" s="28" t="s">
        <v>2387</v>
      </c>
      <c r="C822" s="29" t="s">
        <v>4372</v>
      </c>
      <c r="D822" s="29" t="s">
        <v>59</v>
      </c>
      <c r="E822" s="32">
        <v>34794</v>
      </c>
      <c r="F822" s="74">
        <v>46118</v>
      </c>
      <c r="G822" s="30" t="s">
        <v>24</v>
      </c>
      <c r="H822" s="28" t="s">
        <v>25</v>
      </c>
      <c r="I822" s="28" t="s">
        <v>14</v>
      </c>
      <c r="J822" s="28" t="s">
        <v>5041</v>
      </c>
      <c r="K822" s="28" t="s">
        <v>2389</v>
      </c>
    </row>
    <row r="823" spans="1:11">
      <c r="A823" s="27">
        <v>821</v>
      </c>
      <c r="B823" s="28" t="s">
        <v>2390</v>
      </c>
      <c r="C823" s="29" t="s">
        <v>4373</v>
      </c>
      <c r="D823" s="29" t="s">
        <v>59</v>
      </c>
      <c r="E823" s="32">
        <v>32738</v>
      </c>
      <c r="F823" s="74">
        <v>46118</v>
      </c>
      <c r="G823" s="30" t="s">
        <v>179</v>
      </c>
      <c r="H823" s="28" t="s">
        <v>36</v>
      </c>
      <c r="I823" s="28" t="s">
        <v>14</v>
      </c>
      <c r="J823" s="28" t="s">
        <v>4932</v>
      </c>
      <c r="K823" s="28" t="s">
        <v>2392</v>
      </c>
    </row>
    <row r="824" spans="1:11">
      <c r="A824" s="27">
        <v>822</v>
      </c>
      <c r="B824" s="28" t="s">
        <v>2393</v>
      </c>
      <c r="C824" s="29" t="s">
        <v>4374</v>
      </c>
      <c r="D824" s="29" t="s">
        <v>59</v>
      </c>
      <c r="E824" s="32">
        <v>32296</v>
      </c>
      <c r="F824" s="74">
        <v>46118</v>
      </c>
      <c r="G824" s="30" t="s">
        <v>24</v>
      </c>
      <c r="H824" s="28" t="s">
        <v>25</v>
      </c>
      <c r="I824" s="28" t="s">
        <v>14</v>
      </c>
      <c r="J824" s="28" t="s">
        <v>5246</v>
      </c>
      <c r="K824" s="28" t="s">
        <v>2395</v>
      </c>
    </row>
    <row r="825" spans="1:11">
      <c r="A825" s="27">
        <v>823</v>
      </c>
      <c r="B825" s="28" t="s">
        <v>2396</v>
      </c>
      <c r="C825" s="29" t="s">
        <v>4375</v>
      </c>
      <c r="D825" s="29" t="s">
        <v>59</v>
      </c>
      <c r="E825" s="32">
        <v>34758</v>
      </c>
      <c r="F825" s="74">
        <v>46118</v>
      </c>
      <c r="G825" s="30" t="s">
        <v>24</v>
      </c>
      <c r="H825" s="28" t="s">
        <v>25</v>
      </c>
      <c r="I825" s="28" t="s">
        <v>42</v>
      </c>
      <c r="J825" s="28" t="s">
        <v>5258</v>
      </c>
      <c r="K825" s="28" t="s">
        <v>2398</v>
      </c>
    </row>
    <row r="826" spans="1:11">
      <c r="A826" s="27">
        <v>824</v>
      </c>
      <c r="B826" s="28" t="s">
        <v>2399</v>
      </c>
      <c r="C826" s="29" t="s">
        <v>3415</v>
      </c>
      <c r="D826" s="29" t="s">
        <v>17</v>
      </c>
      <c r="E826" s="32">
        <v>36936</v>
      </c>
      <c r="F826" s="74">
        <v>46118</v>
      </c>
      <c r="G826" s="30" t="s">
        <v>179</v>
      </c>
      <c r="H826" s="28" t="s">
        <v>36</v>
      </c>
      <c r="I826" s="28" t="s">
        <v>14</v>
      </c>
      <c r="J826" s="28" t="s">
        <v>4511</v>
      </c>
      <c r="K826" s="28" t="s">
        <v>2401</v>
      </c>
    </row>
    <row r="827" spans="1:11">
      <c r="A827" s="27">
        <v>825</v>
      </c>
      <c r="B827" s="28" t="s">
        <v>2402</v>
      </c>
      <c r="C827" s="29" t="s">
        <v>4376</v>
      </c>
      <c r="D827" s="29" t="s">
        <v>17</v>
      </c>
      <c r="E827" s="32">
        <v>36103</v>
      </c>
      <c r="F827" s="74">
        <v>46118</v>
      </c>
      <c r="G827" s="30" t="s">
        <v>40</v>
      </c>
      <c r="H827" s="28" t="s">
        <v>71</v>
      </c>
      <c r="I827" s="28" t="s">
        <v>42</v>
      </c>
      <c r="J827" s="28" t="s">
        <v>4896</v>
      </c>
      <c r="K827" s="28" t="s">
        <v>2404</v>
      </c>
    </row>
    <row r="828" spans="1:11">
      <c r="A828" s="27">
        <v>826</v>
      </c>
      <c r="B828" s="28" t="s">
        <v>2405</v>
      </c>
      <c r="C828" s="29" t="s">
        <v>4377</v>
      </c>
      <c r="D828" s="29" t="s">
        <v>59</v>
      </c>
      <c r="E828" s="32">
        <v>33385</v>
      </c>
      <c r="F828" s="74">
        <v>46118</v>
      </c>
      <c r="G828" s="30" t="s">
        <v>24</v>
      </c>
      <c r="H828" s="28" t="s">
        <v>25</v>
      </c>
      <c r="I828" s="28" t="s">
        <v>14</v>
      </c>
      <c r="J828" s="28" t="s">
        <v>4500</v>
      </c>
      <c r="K828" s="28" t="s">
        <v>2407</v>
      </c>
    </row>
    <row r="829" spans="1:11">
      <c r="A829" s="27">
        <v>827</v>
      </c>
      <c r="B829" s="28" t="s">
        <v>2408</v>
      </c>
      <c r="C829" s="29" t="s">
        <v>3416</v>
      </c>
      <c r="D829" s="29" t="s">
        <v>17</v>
      </c>
      <c r="E829" s="32">
        <v>35061</v>
      </c>
      <c r="F829" s="74">
        <v>46118</v>
      </c>
      <c r="G829" s="30" t="s">
        <v>179</v>
      </c>
      <c r="H829" s="28" t="s">
        <v>36</v>
      </c>
      <c r="I829" s="28" t="s">
        <v>56</v>
      </c>
      <c r="J829" s="28" t="s">
        <v>4682</v>
      </c>
      <c r="K829" s="28" t="s">
        <v>2410</v>
      </c>
    </row>
    <row r="830" spans="1:11">
      <c r="A830" s="27">
        <v>828</v>
      </c>
      <c r="B830" s="28" t="s">
        <v>2411</v>
      </c>
      <c r="C830" s="29" t="s">
        <v>4378</v>
      </c>
      <c r="D830" s="29" t="s">
        <v>59</v>
      </c>
      <c r="E830" s="32">
        <v>31391</v>
      </c>
      <c r="F830" s="74">
        <v>46118</v>
      </c>
      <c r="G830" s="30" t="s">
        <v>179</v>
      </c>
      <c r="H830" s="28" t="s">
        <v>36</v>
      </c>
      <c r="I830" s="28" t="s">
        <v>14</v>
      </c>
      <c r="J830" s="28" t="s">
        <v>5442</v>
      </c>
      <c r="K830" s="28" t="s">
        <v>5810</v>
      </c>
    </row>
    <row r="831" spans="1:11">
      <c r="A831" s="27">
        <v>829</v>
      </c>
      <c r="B831" s="28" t="s">
        <v>2413</v>
      </c>
      <c r="C831" s="29" t="s">
        <v>3524</v>
      </c>
      <c r="D831" s="29" t="s">
        <v>59</v>
      </c>
      <c r="E831" s="32">
        <v>32248</v>
      </c>
      <c r="F831" s="74">
        <v>46118</v>
      </c>
      <c r="G831" s="30" t="s">
        <v>179</v>
      </c>
      <c r="H831" s="28" t="s">
        <v>36</v>
      </c>
      <c r="I831" s="28" t="s">
        <v>42</v>
      </c>
      <c r="J831" s="28" t="s">
        <v>5038</v>
      </c>
      <c r="K831" s="28" t="s">
        <v>2415</v>
      </c>
    </row>
    <row r="832" spans="1:11">
      <c r="A832" s="27">
        <v>830</v>
      </c>
      <c r="B832" s="28" t="s">
        <v>2416</v>
      </c>
      <c r="C832" s="29" t="s">
        <v>4379</v>
      </c>
      <c r="D832" s="29" t="s">
        <v>59</v>
      </c>
      <c r="E832" s="32">
        <v>37439</v>
      </c>
      <c r="F832" s="74">
        <v>46118</v>
      </c>
      <c r="G832" s="30" t="s">
        <v>24</v>
      </c>
      <c r="H832" s="28" t="s">
        <v>25</v>
      </c>
      <c r="I832" s="28" t="s">
        <v>14</v>
      </c>
      <c r="J832" s="28" t="s">
        <v>5054</v>
      </c>
      <c r="K832" s="28" t="s">
        <v>2418</v>
      </c>
    </row>
    <row r="833" spans="1:11">
      <c r="A833" s="27">
        <v>831</v>
      </c>
      <c r="B833" s="28" t="s">
        <v>2419</v>
      </c>
      <c r="C833" s="29" t="s">
        <v>4380</v>
      </c>
      <c r="D833" s="29" t="s">
        <v>17</v>
      </c>
      <c r="E833" s="32">
        <v>34830</v>
      </c>
      <c r="F833" s="74">
        <v>46118</v>
      </c>
      <c r="G833" s="30" t="s">
        <v>179</v>
      </c>
      <c r="H833" s="28" t="s">
        <v>36</v>
      </c>
      <c r="I833" s="28" t="s">
        <v>56</v>
      </c>
      <c r="J833" s="28" t="s">
        <v>4965</v>
      </c>
      <c r="K833" s="28" t="s">
        <v>2421</v>
      </c>
    </row>
    <row r="834" spans="1:11">
      <c r="A834" s="27">
        <v>832</v>
      </c>
      <c r="B834" s="28" t="s">
        <v>2422</v>
      </c>
      <c r="C834" s="29" t="s">
        <v>3572</v>
      </c>
      <c r="D834" s="29" t="s">
        <v>59</v>
      </c>
      <c r="E834" s="32">
        <v>35735</v>
      </c>
      <c r="F834" s="74">
        <v>46118</v>
      </c>
      <c r="G834" s="30" t="s">
        <v>179</v>
      </c>
      <c r="H834" s="28" t="s">
        <v>36</v>
      </c>
      <c r="I834" s="28" t="s">
        <v>42</v>
      </c>
      <c r="J834" s="28" t="s">
        <v>4537</v>
      </c>
      <c r="K834" s="28" t="s">
        <v>2424</v>
      </c>
    </row>
    <row r="835" spans="1:11">
      <c r="A835" s="27">
        <v>833</v>
      </c>
      <c r="B835" s="28" t="s">
        <v>2425</v>
      </c>
      <c r="C835" s="29" t="s">
        <v>4381</v>
      </c>
      <c r="D835" s="29" t="s">
        <v>17</v>
      </c>
      <c r="E835" s="32">
        <v>32076</v>
      </c>
      <c r="F835" s="74">
        <v>46118</v>
      </c>
      <c r="G835" s="30" t="s">
        <v>179</v>
      </c>
      <c r="H835" s="28" t="s">
        <v>36</v>
      </c>
      <c r="I835" s="28" t="s">
        <v>56</v>
      </c>
      <c r="J835" s="28" t="s">
        <v>5254</v>
      </c>
      <c r="K835" s="28" t="s">
        <v>5877</v>
      </c>
    </row>
    <row r="836" spans="1:11">
      <c r="A836" s="27">
        <v>834</v>
      </c>
      <c r="B836" s="28" t="s">
        <v>2428</v>
      </c>
      <c r="C836" s="29" t="s">
        <v>4382</v>
      </c>
      <c r="D836" s="29" t="s">
        <v>17</v>
      </c>
      <c r="E836" s="32">
        <v>33022</v>
      </c>
      <c r="F836" s="74">
        <v>46118</v>
      </c>
      <c r="G836" s="30" t="s">
        <v>24</v>
      </c>
      <c r="H836" s="28" t="s">
        <v>25</v>
      </c>
      <c r="I836" s="28" t="s">
        <v>56</v>
      </c>
      <c r="J836" s="28" t="s">
        <v>4754</v>
      </c>
      <c r="K836" s="28" t="s">
        <v>5933</v>
      </c>
    </row>
    <row r="837" spans="1:11">
      <c r="A837" s="27">
        <v>835</v>
      </c>
      <c r="B837" s="28" t="s">
        <v>2431</v>
      </c>
      <c r="C837" s="29" t="s">
        <v>4383</v>
      </c>
      <c r="D837" s="29" t="s">
        <v>59</v>
      </c>
      <c r="E837" s="32">
        <v>34626</v>
      </c>
      <c r="F837" s="74">
        <v>46118</v>
      </c>
      <c r="G837" s="30" t="s">
        <v>179</v>
      </c>
      <c r="H837" s="28" t="s">
        <v>36</v>
      </c>
      <c r="I837" s="28" t="s">
        <v>56</v>
      </c>
      <c r="J837" s="28" t="s">
        <v>5048</v>
      </c>
      <c r="K837" s="28" t="s">
        <v>2433</v>
      </c>
    </row>
    <row r="838" spans="1:11">
      <c r="A838" s="27">
        <v>836</v>
      </c>
      <c r="B838" s="28" t="s">
        <v>2434</v>
      </c>
      <c r="C838" s="29" t="s">
        <v>4384</v>
      </c>
      <c r="D838" s="29" t="s">
        <v>59</v>
      </c>
      <c r="E838" s="32">
        <v>34819</v>
      </c>
      <c r="F838" s="74">
        <v>46118</v>
      </c>
      <c r="G838" s="30" t="s">
        <v>179</v>
      </c>
      <c r="H838" s="28" t="s">
        <v>36</v>
      </c>
      <c r="I838" s="28" t="s">
        <v>14</v>
      </c>
      <c r="J838" s="28" t="s">
        <v>4654</v>
      </c>
      <c r="K838" s="28" t="s">
        <v>2436</v>
      </c>
    </row>
    <row r="839" spans="1:11">
      <c r="A839" s="27">
        <v>837</v>
      </c>
      <c r="B839" s="28" t="s">
        <v>2437</v>
      </c>
      <c r="C839" s="29" t="s">
        <v>3318</v>
      </c>
      <c r="D839" s="29" t="s">
        <v>59</v>
      </c>
      <c r="E839" s="32">
        <v>36334</v>
      </c>
      <c r="F839" s="74">
        <v>46118</v>
      </c>
      <c r="G839" s="30" t="s">
        <v>179</v>
      </c>
      <c r="H839" s="28" t="s">
        <v>36</v>
      </c>
      <c r="I839" s="28" t="s">
        <v>14</v>
      </c>
      <c r="J839" s="28" t="s">
        <v>4863</v>
      </c>
      <c r="K839" s="28" t="s">
        <v>2438</v>
      </c>
    </row>
    <row r="840" spans="1:11">
      <c r="A840" s="27">
        <v>838</v>
      </c>
      <c r="B840" s="28" t="s">
        <v>2439</v>
      </c>
      <c r="C840" s="29" t="s">
        <v>3525</v>
      </c>
      <c r="D840" s="29" t="s">
        <v>59</v>
      </c>
      <c r="E840" s="32">
        <v>34395</v>
      </c>
      <c r="F840" s="74">
        <v>46118</v>
      </c>
      <c r="G840" s="30" t="s">
        <v>179</v>
      </c>
      <c r="H840" s="28" t="s">
        <v>36</v>
      </c>
      <c r="I840" s="28" t="s">
        <v>42</v>
      </c>
      <c r="J840" s="28" t="s">
        <v>4854</v>
      </c>
      <c r="K840" s="28" t="s">
        <v>2441</v>
      </c>
    </row>
    <row r="841" spans="1:11">
      <c r="A841" s="27">
        <v>839</v>
      </c>
      <c r="B841" s="28" t="s">
        <v>2442</v>
      </c>
      <c r="C841" s="29" t="s">
        <v>3267</v>
      </c>
      <c r="D841" s="29" t="s">
        <v>59</v>
      </c>
      <c r="E841" s="32">
        <v>31140</v>
      </c>
      <c r="F841" s="74">
        <v>46118</v>
      </c>
      <c r="G841" s="30" t="s">
        <v>179</v>
      </c>
      <c r="H841" s="28" t="s">
        <v>36</v>
      </c>
      <c r="I841" s="28" t="s">
        <v>14</v>
      </c>
      <c r="J841" s="28" t="s">
        <v>5416</v>
      </c>
      <c r="K841" s="28" t="s">
        <v>2444</v>
      </c>
    </row>
    <row r="842" spans="1:11">
      <c r="A842" s="27">
        <v>840</v>
      </c>
      <c r="B842" s="28" t="s">
        <v>2445</v>
      </c>
      <c r="C842" s="29" t="s">
        <v>3526</v>
      </c>
      <c r="D842" s="29" t="s">
        <v>59</v>
      </c>
      <c r="E842" s="32">
        <v>33828</v>
      </c>
      <c r="F842" s="74">
        <v>46118</v>
      </c>
      <c r="G842" s="30" t="s">
        <v>179</v>
      </c>
      <c r="H842" s="28" t="s">
        <v>36</v>
      </c>
      <c r="I842" s="28" t="s">
        <v>42</v>
      </c>
      <c r="J842" s="28" t="s">
        <v>4661</v>
      </c>
      <c r="K842" s="28" t="s">
        <v>2447</v>
      </c>
    </row>
    <row r="843" spans="1:11">
      <c r="A843" s="27">
        <v>841</v>
      </c>
      <c r="B843" s="28" t="s">
        <v>2448</v>
      </c>
      <c r="C843" s="29" t="s">
        <v>4385</v>
      </c>
      <c r="D843" s="29" t="s">
        <v>59</v>
      </c>
      <c r="E843" s="32">
        <v>31571</v>
      </c>
      <c r="F843" s="74">
        <v>46118</v>
      </c>
      <c r="G843" s="30" t="s">
        <v>198</v>
      </c>
      <c r="H843" s="28" t="s">
        <v>20</v>
      </c>
      <c r="I843" s="28" t="s">
        <v>42</v>
      </c>
      <c r="J843" s="28" t="s">
        <v>5063</v>
      </c>
      <c r="K843" s="28" t="s">
        <v>2450</v>
      </c>
    </row>
    <row r="844" spans="1:11">
      <c r="A844" s="27">
        <v>842</v>
      </c>
      <c r="B844" s="28" t="s">
        <v>2451</v>
      </c>
      <c r="C844" s="29" t="s">
        <v>3417</v>
      </c>
      <c r="D844" s="29" t="s">
        <v>17</v>
      </c>
      <c r="E844" s="32">
        <v>34775</v>
      </c>
      <c r="F844" s="74">
        <v>46118</v>
      </c>
      <c r="G844" s="30" t="s">
        <v>179</v>
      </c>
      <c r="H844" s="28" t="s">
        <v>36</v>
      </c>
      <c r="I844" s="28" t="s">
        <v>14</v>
      </c>
      <c r="J844" s="28" t="s">
        <v>5206</v>
      </c>
      <c r="K844" s="28" t="s">
        <v>5935</v>
      </c>
    </row>
    <row r="845" spans="1:11">
      <c r="A845" s="27">
        <v>843</v>
      </c>
      <c r="B845" s="28" t="s">
        <v>2454</v>
      </c>
      <c r="C845" s="29" t="s">
        <v>3319</v>
      </c>
      <c r="D845" s="29" t="s">
        <v>59</v>
      </c>
      <c r="E845" s="32">
        <v>34468</v>
      </c>
      <c r="F845" s="74">
        <v>46118</v>
      </c>
      <c r="G845" s="30" t="s">
        <v>179</v>
      </c>
      <c r="H845" s="28" t="s">
        <v>36</v>
      </c>
      <c r="I845" s="28" t="s">
        <v>42</v>
      </c>
      <c r="J845" s="28" t="s">
        <v>5131</v>
      </c>
      <c r="K845" s="28" t="s">
        <v>2456</v>
      </c>
    </row>
    <row r="846" spans="1:11">
      <c r="A846" s="27">
        <v>844</v>
      </c>
      <c r="B846" s="28" t="s">
        <v>2457</v>
      </c>
      <c r="C846" s="29" t="s">
        <v>4386</v>
      </c>
      <c r="D846" s="29" t="s">
        <v>17</v>
      </c>
      <c r="E846" s="32">
        <v>33282</v>
      </c>
      <c r="F846" s="74">
        <v>46118</v>
      </c>
      <c r="G846" s="30" t="s">
        <v>40</v>
      </c>
      <c r="H846" s="28" t="s">
        <v>71</v>
      </c>
      <c r="I846" s="28" t="s">
        <v>14</v>
      </c>
      <c r="J846" s="28" t="s">
        <v>4946</v>
      </c>
      <c r="K846" s="28" t="s">
        <v>2459</v>
      </c>
    </row>
    <row r="847" spans="1:11">
      <c r="A847" s="27">
        <v>845</v>
      </c>
      <c r="B847" s="28" t="s">
        <v>2460</v>
      </c>
      <c r="C847" s="29" t="s">
        <v>3320</v>
      </c>
      <c r="D847" s="29" t="s">
        <v>59</v>
      </c>
      <c r="E847" s="32">
        <v>32606</v>
      </c>
      <c r="F847" s="74">
        <v>46118</v>
      </c>
      <c r="G847" s="30" t="s">
        <v>172</v>
      </c>
      <c r="H847" s="28" t="s">
        <v>62</v>
      </c>
      <c r="I847" s="28" t="s">
        <v>56</v>
      </c>
      <c r="J847" s="28" t="s">
        <v>4859</v>
      </c>
      <c r="K847" s="28" t="s">
        <v>2461</v>
      </c>
    </row>
    <row r="848" spans="1:11">
      <c r="A848" s="27">
        <v>846</v>
      </c>
      <c r="B848" s="28" t="s">
        <v>2462</v>
      </c>
      <c r="C848" s="29" t="s">
        <v>4387</v>
      </c>
      <c r="D848" s="29" t="s">
        <v>17</v>
      </c>
      <c r="E848" s="32">
        <v>33953</v>
      </c>
      <c r="F848" s="74">
        <v>46118</v>
      </c>
      <c r="G848" s="30" t="s">
        <v>85</v>
      </c>
      <c r="H848" s="28" t="s">
        <v>120</v>
      </c>
      <c r="I848" s="28" t="s">
        <v>42</v>
      </c>
      <c r="J848" s="28" t="s">
        <v>4695</v>
      </c>
      <c r="K848" s="28" t="s">
        <v>2464</v>
      </c>
    </row>
    <row r="849" spans="1:11">
      <c r="A849" s="27">
        <v>847</v>
      </c>
      <c r="B849" s="28" t="s">
        <v>2465</v>
      </c>
      <c r="C849" s="29" t="s">
        <v>3268</v>
      </c>
      <c r="D849" s="29" t="s">
        <v>59</v>
      </c>
      <c r="E849" s="32">
        <v>35241</v>
      </c>
      <c r="F849" s="74">
        <v>46118</v>
      </c>
      <c r="G849" s="30" t="s">
        <v>179</v>
      </c>
      <c r="H849" s="28" t="s">
        <v>36</v>
      </c>
      <c r="I849" s="28" t="s">
        <v>56</v>
      </c>
      <c r="J849" s="28" t="s">
        <v>4894</v>
      </c>
      <c r="K849" s="28" t="s">
        <v>2467</v>
      </c>
    </row>
    <row r="850" spans="1:11">
      <c r="A850" s="27">
        <v>848</v>
      </c>
      <c r="B850" s="28" t="s">
        <v>2468</v>
      </c>
      <c r="C850" s="29" t="s">
        <v>3269</v>
      </c>
      <c r="D850" s="29" t="s">
        <v>59</v>
      </c>
      <c r="E850" s="32">
        <v>34477</v>
      </c>
      <c r="F850" s="74">
        <v>46118</v>
      </c>
      <c r="G850" s="30" t="s">
        <v>179</v>
      </c>
      <c r="H850" s="28" t="s">
        <v>36</v>
      </c>
      <c r="I850" s="28" t="s">
        <v>56</v>
      </c>
      <c r="J850" s="28" t="s">
        <v>5290</v>
      </c>
      <c r="K850" s="28" t="s">
        <v>2469</v>
      </c>
    </row>
    <row r="851" spans="1:11">
      <c r="A851" s="27">
        <v>849</v>
      </c>
      <c r="B851" s="28" t="s">
        <v>2470</v>
      </c>
      <c r="C851" s="29" t="s">
        <v>3573</v>
      </c>
      <c r="D851" s="29" t="s">
        <v>59</v>
      </c>
      <c r="E851" s="32">
        <v>31585</v>
      </c>
      <c r="F851" s="74">
        <v>46147</v>
      </c>
      <c r="G851" s="30" t="s">
        <v>179</v>
      </c>
      <c r="H851" s="28" t="s">
        <v>36</v>
      </c>
      <c r="I851" s="28" t="s">
        <v>42</v>
      </c>
      <c r="J851" s="28" t="s">
        <v>5446</v>
      </c>
      <c r="K851" s="28" t="s">
        <v>2472</v>
      </c>
    </row>
    <row r="852" spans="1:11">
      <c r="A852" s="27">
        <v>850</v>
      </c>
      <c r="B852" s="28" t="s">
        <v>2473</v>
      </c>
      <c r="C852" s="29" t="s">
        <v>4388</v>
      </c>
      <c r="D852" s="29" t="s">
        <v>17</v>
      </c>
      <c r="E852" s="32">
        <v>35181</v>
      </c>
      <c r="F852" s="74">
        <v>46147</v>
      </c>
      <c r="G852" s="30" t="s">
        <v>85</v>
      </c>
      <c r="H852" s="28" t="s">
        <v>120</v>
      </c>
      <c r="I852" s="28" t="s">
        <v>42</v>
      </c>
      <c r="J852" s="28" t="s">
        <v>4700</v>
      </c>
      <c r="K852" s="28" t="s">
        <v>2475</v>
      </c>
    </row>
    <row r="853" spans="1:11">
      <c r="A853" s="27">
        <v>851</v>
      </c>
      <c r="B853" s="28" t="s">
        <v>2476</v>
      </c>
      <c r="C853" s="29" t="s">
        <v>3527</v>
      </c>
      <c r="D853" s="29" t="s">
        <v>59</v>
      </c>
      <c r="E853" s="32">
        <v>35568</v>
      </c>
      <c r="F853" s="74">
        <v>46147</v>
      </c>
      <c r="G853" s="30" t="s">
        <v>179</v>
      </c>
      <c r="H853" s="28" t="s">
        <v>36</v>
      </c>
      <c r="I853" s="28" t="s">
        <v>56</v>
      </c>
      <c r="J853" s="28" t="s">
        <v>4664</v>
      </c>
      <c r="K853" s="28" t="s">
        <v>2478</v>
      </c>
    </row>
    <row r="854" spans="1:11">
      <c r="A854" s="27">
        <v>852</v>
      </c>
      <c r="B854" s="28" t="s">
        <v>2479</v>
      </c>
      <c r="C854" s="29" t="s">
        <v>4389</v>
      </c>
      <c r="D854" s="29" t="s">
        <v>59</v>
      </c>
      <c r="E854" s="32">
        <v>31381</v>
      </c>
      <c r="F854" s="74">
        <v>46147</v>
      </c>
      <c r="G854" s="30" t="s">
        <v>179</v>
      </c>
      <c r="H854" s="28" t="s">
        <v>36</v>
      </c>
      <c r="I854" s="28" t="s">
        <v>14</v>
      </c>
      <c r="J854" s="28" t="s">
        <v>5232</v>
      </c>
      <c r="K854" s="28" t="s">
        <v>2481</v>
      </c>
    </row>
    <row r="855" spans="1:11">
      <c r="A855" s="27">
        <v>853</v>
      </c>
      <c r="B855" s="28" t="s">
        <v>2482</v>
      </c>
      <c r="C855" s="29" t="s">
        <v>3179</v>
      </c>
      <c r="D855" s="29" t="s">
        <v>59</v>
      </c>
      <c r="E855" s="32">
        <v>34198</v>
      </c>
      <c r="F855" s="74">
        <v>46147</v>
      </c>
      <c r="G855" s="30" t="s">
        <v>179</v>
      </c>
      <c r="H855" s="28" t="s">
        <v>36</v>
      </c>
      <c r="I855" s="28" t="s">
        <v>14</v>
      </c>
      <c r="J855" s="28" t="s">
        <v>5061</v>
      </c>
      <c r="K855" s="28" t="s">
        <v>2483</v>
      </c>
    </row>
    <row r="856" spans="1:11">
      <c r="A856" s="27">
        <v>854</v>
      </c>
      <c r="B856" s="28" t="s">
        <v>2484</v>
      </c>
      <c r="C856" s="29" t="s">
        <v>3270</v>
      </c>
      <c r="D856" s="29" t="s">
        <v>59</v>
      </c>
      <c r="E856" s="32">
        <v>33419</v>
      </c>
      <c r="F856" s="74">
        <v>46147</v>
      </c>
      <c r="G856" s="30" t="s">
        <v>179</v>
      </c>
      <c r="H856" s="28" t="s">
        <v>36</v>
      </c>
      <c r="I856" s="28" t="s">
        <v>14</v>
      </c>
      <c r="J856" s="28" t="s">
        <v>4482</v>
      </c>
      <c r="K856" s="28" t="s">
        <v>2486</v>
      </c>
    </row>
    <row r="857" spans="1:11">
      <c r="A857" s="27">
        <v>855</v>
      </c>
      <c r="B857" s="28" t="s">
        <v>2487</v>
      </c>
      <c r="C857" s="29" t="s">
        <v>4390</v>
      </c>
      <c r="D857" s="29" t="s">
        <v>59</v>
      </c>
      <c r="E857" s="32">
        <v>37279</v>
      </c>
      <c r="F857" s="74">
        <v>46147</v>
      </c>
      <c r="G857" s="30" t="s">
        <v>24</v>
      </c>
      <c r="H857" s="28" t="s">
        <v>25</v>
      </c>
      <c r="I857" s="28" t="s">
        <v>56</v>
      </c>
      <c r="J857" s="28" t="s">
        <v>4726</v>
      </c>
      <c r="K857" s="28" t="s">
        <v>5899</v>
      </c>
    </row>
    <row r="858" spans="1:11">
      <c r="A858" s="27">
        <v>856</v>
      </c>
      <c r="B858" s="28" t="s">
        <v>2490</v>
      </c>
      <c r="C858" s="29" t="s">
        <v>3528</v>
      </c>
      <c r="D858" s="29" t="s">
        <v>59</v>
      </c>
      <c r="E858" s="32">
        <v>36440</v>
      </c>
      <c r="F858" s="74">
        <v>46147</v>
      </c>
      <c r="G858" s="30" t="s">
        <v>179</v>
      </c>
      <c r="H858" s="28" t="s">
        <v>36</v>
      </c>
      <c r="I858" s="28" t="s">
        <v>42</v>
      </c>
      <c r="J858" s="28" t="s">
        <v>5299</v>
      </c>
      <c r="K858" s="28" t="s">
        <v>2492</v>
      </c>
    </row>
    <row r="859" spans="1:11">
      <c r="A859" s="27">
        <v>857</v>
      </c>
      <c r="B859" s="28" t="s">
        <v>2493</v>
      </c>
      <c r="C859" s="29" t="s">
        <v>3418</v>
      </c>
      <c r="D859" s="29" t="s">
        <v>17</v>
      </c>
      <c r="E859" s="32">
        <v>32860</v>
      </c>
      <c r="F859" s="74">
        <v>46147</v>
      </c>
      <c r="G859" s="30" t="s">
        <v>179</v>
      </c>
      <c r="H859" s="28" t="s">
        <v>36</v>
      </c>
      <c r="I859" s="28" t="s">
        <v>56</v>
      </c>
      <c r="J859" s="28" t="s">
        <v>5229</v>
      </c>
      <c r="K859" s="28" t="s">
        <v>2495</v>
      </c>
    </row>
    <row r="860" spans="1:11">
      <c r="A860" s="27">
        <v>858</v>
      </c>
      <c r="B860" s="28" t="s">
        <v>2496</v>
      </c>
      <c r="C860" s="29" t="s">
        <v>4391</v>
      </c>
      <c r="D860" s="29" t="s">
        <v>59</v>
      </c>
      <c r="E860" s="32">
        <v>36400</v>
      </c>
      <c r="F860" s="74">
        <v>46147</v>
      </c>
      <c r="G860" s="30" t="s">
        <v>179</v>
      </c>
      <c r="H860" s="28" t="s">
        <v>36</v>
      </c>
      <c r="I860" s="28" t="s">
        <v>14</v>
      </c>
      <c r="J860" s="28" t="s">
        <v>5032</v>
      </c>
      <c r="K860" s="28" t="s">
        <v>2497</v>
      </c>
    </row>
    <row r="861" spans="1:11">
      <c r="A861" s="27">
        <v>859</v>
      </c>
      <c r="B861" s="28" t="s">
        <v>2498</v>
      </c>
      <c r="C861" s="29" t="s">
        <v>3529</v>
      </c>
      <c r="D861" s="29" t="s">
        <v>59</v>
      </c>
      <c r="E861" s="32">
        <v>33301</v>
      </c>
      <c r="F861" s="74">
        <v>46147</v>
      </c>
      <c r="G861" s="30" t="s">
        <v>179</v>
      </c>
      <c r="H861" s="28" t="s">
        <v>36</v>
      </c>
      <c r="I861" s="28" t="s">
        <v>56</v>
      </c>
      <c r="J861" s="28" t="s">
        <v>5143</v>
      </c>
      <c r="K861" s="28" t="s">
        <v>2500</v>
      </c>
    </row>
    <row r="862" spans="1:11">
      <c r="A862" s="27">
        <v>860</v>
      </c>
      <c r="B862" s="28" t="s">
        <v>2501</v>
      </c>
      <c r="C862" s="29" t="s">
        <v>4392</v>
      </c>
      <c r="D862" s="29" t="s">
        <v>59</v>
      </c>
      <c r="E862" s="32">
        <v>33256</v>
      </c>
      <c r="F862" s="74">
        <v>46147</v>
      </c>
      <c r="G862" s="30" t="s">
        <v>179</v>
      </c>
      <c r="H862" s="28" t="s">
        <v>36</v>
      </c>
      <c r="I862" s="28" t="s">
        <v>56</v>
      </c>
      <c r="J862" s="28" t="s">
        <v>5398</v>
      </c>
      <c r="K862" s="28" t="s">
        <v>2502</v>
      </c>
    </row>
    <row r="863" spans="1:11">
      <c r="A863" s="27">
        <v>861</v>
      </c>
      <c r="B863" s="28" t="s">
        <v>2503</v>
      </c>
      <c r="C863" s="29" t="s">
        <v>4393</v>
      </c>
      <c r="D863" s="29" t="s">
        <v>17</v>
      </c>
      <c r="E863" s="32">
        <v>35905</v>
      </c>
      <c r="F863" s="74">
        <v>46147</v>
      </c>
      <c r="G863" s="30" t="s">
        <v>85</v>
      </c>
      <c r="H863" s="28" t="s">
        <v>120</v>
      </c>
      <c r="I863" s="28" t="s">
        <v>42</v>
      </c>
      <c r="J863" s="28" t="s">
        <v>4993</v>
      </c>
      <c r="K863" s="28" t="s">
        <v>5779</v>
      </c>
    </row>
    <row r="864" spans="1:11">
      <c r="A864" s="27">
        <v>862</v>
      </c>
      <c r="B864" s="28" t="s">
        <v>2505</v>
      </c>
      <c r="C864" s="29" t="s">
        <v>3419</v>
      </c>
      <c r="D864" s="29" t="s">
        <v>17</v>
      </c>
      <c r="E864" s="32">
        <v>37021</v>
      </c>
      <c r="F864" s="74">
        <v>46147</v>
      </c>
      <c r="G864" s="30" t="s">
        <v>179</v>
      </c>
      <c r="H864" s="28" t="s">
        <v>36</v>
      </c>
      <c r="I864" s="28" t="s">
        <v>56</v>
      </c>
      <c r="J864" s="28" t="s">
        <v>4842</v>
      </c>
      <c r="K864" s="28" t="s">
        <v>2507</v>
      </c>
    </row>
    <row r="865" spans="1:11">
      <c r="A865" s="27">
        <v>863</v>
      </c>
      <c r="B865" s="28" t="s">
        <v>2508</v>
      </c>
      <c r="C865" s="29" t="s">
        <v>4394</v>
      </c>
      <c r="D865" s="29" t="s">
        <v>17</v>
      </c>
      <c r="E865" s="32">
        <v>36633</v>
      </c>
      <c r="F865" s="74">
        <v>46147</v>
      </c>
      <c r="G865" s="30" t="s">
        <v>85</v>
      </c>
      <c r="H865" s="28" t="s">
        <v>120</v>
      </c>
      <c r="I865" s="28" t="s">
        <v>14</v>
      </c>
      <c r="J865" s="28" t="s">
        <v>5169</v>
      </c>
      <c r="K865" s="28" t="s">
        <v>2510</v>
      </c>
    </row>
    <row r="866" spans="1:11">
      <c r="A866" s="27">
        <v>864</v>
      </c>
      <c r="B866" s="28" t="s">
        <v>2511</v>
      </c>
      <c r="C866" s="29" t="s">
        <v>4395</v>
      </c>
      <c r="D866" s="29" t="s">
        <v>17</v>
      </c>
      <c r="E866" s="32">
        <v>33478</v>
      </c>
      <c r="F866" s="74">
        <v>46147</v>
      </c>
      <c r="G866" s="30" t="s">
        <v>85</v>
      </c>
      <c r="H866" s="28" t="s">
        <v>120</v>
      </c>
      <c r="I866" s="28" t="s">
        <v>42</v>
      </c>
      <c r="J866" s="28" t="s">
        <v>5379</v>
      </c>
      <c r="K866" s="28" t="s">
        <v>5917</v>
      </c>
    </row>
    <row r="867" spans="1:11">
      <c r="A867" s="27">
        <v>865</v>
      </c>
      <c r="B867" s="28" t="s">
        <v>2514</v>
      </c>
      <c r="C867" s="29" t="s">
        <v>3645</v>
      </c>
      <c r="D867" s="29" t="s">
        <v>59</v>
      </c>
      <c r="E867" s="32">
        <v>35045</v>
      </c>
      <c r="F867" s="74">
        <v>46147</v>
      </c>
      <c r="G867" s="30" t="s">
        <v>179</v>
      </c>
      <c r="H867" s="28" t="s">
        <v>36</v>
      </c>
      <c r="I867" s="28" t="s">
        <v>42</v>
      </c>
      <c r="J867" s="28" t="s">
        <v>5064</v>
      </c>
      <c r="K867" s="28" t="s">
        <v>2516</v>
      </c>
    </row>
    <row r="868" spans="1:11">
      <c r="A868" s="27">
        <v>866</v>
      </c>
      <c r="B868" s="28" t="s">
        <v>2517</v>
      </c>
      <c r="C868" s="29" t="s">
        <v>4396</v>
      </c>
      <c r="D868" s="29" t="s">
        <v>17</v>
      </c>
      <c r="E868" s="32">
        <v>34675</v>
      </c>
      <c r="F868" s="74">
        <v>46147</v>
      </c>
      <c r="G868" s="30" t="s">
        <v>85</v>
      </c>
      <c r="H868" s="28" t="s">
        <v>120</v>
      </c>
      <c r="I868" s="28" t="s">
        <v>56</v>
      </c>
      <c r="J868" s="28" t="s">
        <v>4847</v>
      </c>
      <c r="K868" s="28" t="s">
        <v>2519</v>
      </c>
    </row>
    <row r="869" spans="1:11">
      <c r="A869" s="27">
        <v>867</v>
      </c>
      <c r="B869" s="28" t="s">
        <v>2520</v>
      </c>
      <c r="C869" s="29" t="s">
        <v>3420</v>
      </c>
      <c r="D869" s="29" t="s">
        <v>17</v>
      </c>
      <c r="E869" s="32">
        <v>33215</v>
      </c>
      <c r="F869" s="74">
        <v>46147</v>
      </c>
      <c r="G869" s="30" t="s">
        <v>179</v>
      </c>
      <c r="H869" s="28" t="s">
        <v>36</v>
      </c>
      <c r="I869" s="28" t="s">
        <v>14</v>
      </c>
      <c r="J869" s="28" t="s">
        <v>4795</v>
      </c>
      <c r="K869" s="28" t="s">
        <v>5889</v>
      </c>
    </row>
    <row r="870" spans="1:11">
      <c r="A870" s="27">
        <v>868</v>
      </c>
      <c r="B870" s="28" t="s">
        <v>2523</v>
      </c>
      <c r="C870" s="29" t="s">
        <v>3421</v>
      </c>
      <c r="D870" s="29" t="s">
        <v>17</v>
      </c>
      <c r="E870" s="32">
        <v>34965</v>
      </c>
      <c r="F870" s="74">
        <v>46147</v>
      </c>
      <c r="G870" s="30" t="s">
        <v>179</v>
      </c>
      <c r="H870" s="28" t="s">
        <v>36</v>
      </c>
      <c r="I870" s="28" t="s">
        <v>14</v>
      </c>
      <c r="J870" s="28" t="s">
        <v>4975</v>
      </c>
      <c r="K870" s="28" t="s">
        <v>2525</v>
      </c>
    </row>
    <row r="871" spans="1:11">
      <c r="A871" s="27">
        <v>869</v>
      </c>
      <c r="B871" s="28" t="s">
        <v>2526</v>
      </c>
      <c r="C871" s="29" t="s">
        <v>3321</v>
      </c>
      <c r="D871" s="29" t="s">
        <v>59</v>
      </c>
      <c r="E871" s="32">
        <v>31437</v>
      </c>
      <c r="F871" s="74">
        <v>46147</v>
      </c>
      <c r="G871" s="30" t="s">
        <v>179</v>
      </c>
      <c r="H871" s="28" t="s">
        <v>36</v>
      </c>
      <c r="I871" s="28" t="s">
        <v>42</v>
      </c>
      <c r="J871" s="28" t="s">
        <v>5270</v>
      </c>
      <c r="K871" s="28" t="s">
        <v>2528</v>
      </c>
    </row>
    <row r="872" spans="1:11">
      <c r="A872" s="27">
        <v>870</v>
      </c>
      <c r="B872" s="28" t="s">
        <v>2529</v>
      </c>
      <c r="C872" s="29" t="s">
        <v>3271</v>
      </c>
      <c r="D872" s="29" t="s">
        <v>59</v>
      </c>
      <c r="E872" s="32">
        <v>34117</v>
      </c>
      <c r="F872" s="74">
        <v>46147</v>
      </c>
      <c r="G872" s="30" t="s">
        <v>179</v>
      </c>
      <c r="H872" s="28" t="s">
        <v>36</v>
      </c>
      <c r="I872" s="28" t="s">
        <v>56</v>
      </c>
      <c r="J872" s="28" t="s">
        <v>5440</v>
      </c>
      <c r="K872" s="28" t="s">
        <v>5946</v>
      </c>
    </row>
    <row r="873" spans="1:11">
      <c r="A873" s="27">
        <v>871</v>
      </c>
      <c r="B873" s="28" t="s">
        <v>2532</v>
      </c>
      <c r="C873" s="29" t="s">
        <v>4397</v>
      </c>
      <c r="D873" s="29" t="s">
        <v>17</v>
      </c>
      <c r="E873" s="32">
        <v>31571</v>
      </c>
      <c r="F873" s="74">
        <v>46147</v>
      </c>
      <c r="G873" s="30" t="s">
        <v>85</v>
      </c>
      <c r="H873" s="28" t="s">
        <v>120</v>
      </c>
      <c r="I873" s="28" t="s">
        <v>42</v>
      </c>
      <c r="J873" s="28" t="s">
        <v>4791</v>
      </c>
      <c r="K873" s="28" t="s">
        <v>5908</v>
      </c>
    </row>
    <row r="874" spans="1:11">
      <c r="A874" s="27">
        <v>872</v>
      </c>
      <c r="B874" s="28" t="s">
        <v>2534</v>
      </c>
      <c r="C874" s="29" t="s">
        <v>3180</v>
      </c>
      <c r="D874" s="29" t="s">
        <v>59</v>
      </c>
      <c r="E874" s="32">
        <v>33882</v>
      </c>
      <c r="F874" s="74">
        <v>46147</v>
      </c>
      <c r="G874" s="30" t="s">
        <v>179</v>
      </c>
      <c r="H874" s="28" t="s">
        <v>36</v>
      </c>
      <c r="I874" s="28" t="s">
        <v>14</v>
      </c>
      <c r="J874" s="28" t="s">
        <v>4935</v>
      </c>
      <c r="K874" s="28" t="s">
        <v>2536</v>
      </c>
    </row>
    <row r="875" spans="1:11">
      <c r="A875" s="27">
        <v>873</v>
      </c>
      <c r="B875" s="28" t="s">
        <v>2537</v>
      </c>
      <c r="C875" s="29" t="s">
        <v>4398</v>
      </c>
      <c r="D875" s="29" t="s">
        <v>17</v>
      </c>
      <c r="E875" s="32">
        <v>33991</v>
      </c>
      <c r="F875" s="74">
        <v>46147</v>
      </c>
      <c r="G875" s="30" t="s">
        <v>85</v>
      </c>
      <c r="H875" s="28" t="s">
        <v>120</v>
      </c>
      <c r="I875" s="28" t="s">
        <v>14</v>
      </c>
      <c r="J875" s="28" t="s">
        <v>4677</v>
      </c>
      <c r="K875" s="28" t="s">
        <v>5844</v>
      </c>
    </row>
    <row r="876" spans="1:11">
      <c r="A876" s="27">
        <v>874</v>
      </c>
      <c r="B876" s="28" t="s">
        <v>2539</v>
      </c>
      <c r="C876" s="29" t="s">
        <v>3181</v>
      </c>
      <c r="D876" s="29" t="s">
        <v>59</v>
      </c>
      <c r="E876" s="32">
        <v>36580</v>
      </c>
      <c r="F876" s="74">
        <v>46147</v>
      </c>
      <c r="G876" s="30" t="s">
        <v>179</v>
      </c>
      <c r="H876" s="28" t="s">
        <v>36</v>
      </c>
      <c r="I876" s="28" t="s">
        <v>14</v>
      </c>
      <c r="J876" s="28" t="s">
        <v>5027</v>
      </c>
      <c r="K876" s="28" t="s">
        <v>2541</v>
      </c>
    </row>
    <row r="877" spans="1:11">
      <c r="A877" s="27">
        <v>875</v>
      </c>
      <c r="B877" s="28" t="s">
        <v>2542</v>
      </c>
      <c r="C877" s="29" t="s">
        <v>4399</v>
      </c>
      <c r="D877" s="29" t="s">
        <v>59</v>
      </c>
      <c r="E877" s="32">
        <v>36915</v>
      </c>
      <c r="F877" s="74">
        <v>46147</v>
      </c>
      <c r="G877" s="30" t="s">
        <v>179</v>
      </c>
      <c r="H877" s="28" t="s">
        <v>36</v>
      </c>
      <c r="I877" s="28" t="s">
        <v>14</v>
      </c>
      <c r="J877" s="28" t="s">
        <v>5111</v>
      </c>
      <c r="K877" s="28" t="s">
        <v>2543</v>
      </c>
    </row>
    <row r="878" spans="1:11">
      <c r="A878" s="27">
        <v>876</v>
      </c>
      <c r="B878" s="28" t="s">
        <v>2544</v>
      </c>
      <c r="C878" s="29" t="s">
        <v>3646</v>
      </c>
      <c r="D878" s="29" t="s">
        <v>59</v>
      </c>
      <c r="E878" s="32">
        <v>32512</v>
      </c>
      <c r="F878" s="74">
        <v>46147</v>
      </c>
      <c r="G878" s="30" t="s">
        <v>179</v>
      </c>
      <c r="H878" s="28" t="s">
        <v>36</v>
      </c>
      <c r="I878" s="28" t="s">
        <v>14</v>
      </c>
      <c r="J878" s="28" t="s">
        <v>4581</v>
      </c>
      <c r="K878" s="28" t="s">
        <v>5778</v>
      </c>
    </row>
    <row r="879" spans="1:11">
      <c r="A879" s="27">
        <v>877</v>
      </c>
      <c r="B879" s="28" t="s">
        <v>2546</v>
      </c>
      <c r="C879" s="29" t="s">
        <v>4400</v>
      </c>
      <c r="D879" s="29" t="s">
        <v>17</v>
      </c>
      <c r="E879" s="32">
        <v>33518</v>
      </c>
      <c r="F879" s="74">
        <v>46147</v>
      </c>
      <c r="G879" s="30" t="s">
        <v>179</v>
      </c>
      <c r="H879" s="28" t="s">
        <v>36</v>
      </c>
      <c r="I879" s="28" t="s">
        <v>56</v>
      </c>
      <c r="J879" s="28" t="s">
        <v>4465</v>
      </c>
      <c r="K879" s="28" t="s">
        <v>2548</v>
      </c>
    </row>
    <row r="880" spans="1:11">
      <c r="A880" s="27">
        <v>878</v>
      </c>
      <c r="B880" s="28" t="s">
        <v>2549</v>
      </c>
      <c r="C880" s="29" t="s">
        <v>4401</v>
      </c>
      <c r="D880" s="29" t="s">
        <v>59</v>
      </c>
      <c r="E880" s="32">
        <v>32069</v>
      </c>
      <c r="F880" s="74">
        <v>46147</v>
      </c>
      <c r="G880" s="30" t="s">
        <v>179</v>
      </c>
      <c r="H880" s="28" t="s">
        <v>36</v>
      </c>
      <c r="I880" s="28" t="s">
        <v>42</v>
      </c>
      <c r="J880" s="28" t="s">
        <v>5284</v>
      </c>
      <c r="K880" s="28" t="s">
        <v>2551</v>
      </c>
    </row>
    <row r="881" spans="1:11">
      <c r="A881" s="27">
        <v>879</v>
      </c>
      <c r="B881" s="28" t="s">
        <v>2552</v>
      </c>
      <c r="C881" s="29" t="s">
        <v>4402</v>
      </c>
      <c r="D881" s="29" t="s">
        <v>17</v>
      </c>
      <c r="E881" s="32">
        <v>33471</v>
      </c>
      <c r="F881" s="74">
        <v>46147</v>
      </c>
      <c r="G881" s="30" t="s">
        <v>85</v>
      </c>
      <c r="H881" s="28" t="s">
        <v>120</v>
      </c>
      <c r="I881" s="28" t="s">
        <v>14</v>
      </c>
      <c r="J881" s="28" t="s">
        <v>5430</v>
      </c>
      <c r="K881" s="28" t="s">
        <v>2554</v>
      </c>
    </row>
    <row r="882" spans="1:11">
      <c r="A882" s="27">
        <v>880</v>
      </c>
      <c r="B882" s="28" t="s">
        <v>2555</v>
      </c>
      <c r="C882" s="29" t="s">
        <v>3422</v>
      </c>
      <c r="D882" s="29" t="s">
        <v>17</v>
      </c>
      <c r="E882" s="32">
        <v>32664</v>
      </c>
      <c r="F882" s="74">
        <v>46147</v>
      </c>
      <c r="G882" s="30" t="s">
        <v>216</v>
      </c>
      <c r="H882" s="28" t="s">
        <v>217</v>
      </c>
      <c r="I882" s="28" t="s">
        <v>42</v>
      </c>
      <c r="J882" s="28" t="s">
        <v>4583</v>
      </c>
      <c r="K882" s="28" t="s">
        <v>2557</v>
      </c>
    </row>
    <row r="883" spans="1:11">
      <c r="A883" s="27">
        <v>881</v>
      </c>
      <c r="B883" s="28" t="s">
        <v>2558</v>
      </c>
      <c r="C883" s="29" t="s">
        <v>4403</v>
      </c>
      <c r="D883" s="29" t="s">
        <v>17</v>
      </c>
      <c r="E883" s="32">
        <v>33955</v>
      </c>
      <c r="F883" s="74">
        <v>46147</v>
      </c>
      <c r="G883" s="30" t="s">
        <v>179</v>
      </c>
      <c r="H883" s="28" t="s">
        <v>36</v>
      </c>
      <c r="I883" s="28" t="s">
        <v>56</v>
      </c>
      <c r="J883" s="28" t="s">
        <v>4520</v>
      </c>
      <c r="K883" s="28" t="s">
        <v>2560</v>
      </c>
    </row>
    <row r="884" spans="1:11">
      <c r="A884" s="27">
        <v>882</v>
      </c>
      <c r="B884" s="28" t="s">
        <v>2561</v>
      </c>
      <c r="C884" s="29" t="s">
        <v>4404</v>
      </c>
      <c r="D884" s="29" t="s">
        <v>59</v>
      </c>
      <c r="E884" s="32">
        <v>35919</v>
      </c>
      <c r="F884" s="74">
        <v>46147</v>
      </c>
      <c r="G884" s="30" t="s">
        <v>179</v>
      </c>
      <c r="H884" s="28" t="s">
        <v>36</v>
      </c>
      <c r="I884" s="28" t="s">
        <v>56</v>
      </c>
      <c r="J884" s="28" t="s">
        <v>5052</v>
      </c>
      <c r="K884" s="28" t="s">
        <v>2563</v>
      </c>
    </row>
    <row r="885" spans="1:11">
      <c r="A885" s="27">
        <v>883</v>
      </c>
      <c r="B885" s="28" t="s">
        <v>2564</v>
      </c>
      <c r="C885" s="29" t="s">
        <v>3647</v>
      </c>
      <c r="D885" s="29" t="s">
        <v>59</v>
      </c>
      <c r="E885" s="32">
        <v>34934</v>
      </c>
      <c r="F885" s="74">
        <v>46147</v>
      </c>
      <c r="G885" s="30" t="s">
        <v>179</v>
      </c>
      <c r="H885" s="28" t="s">
        <v>36</v>
      </c>
      <c r="I885" s="28" t="s">
        <v>14</v>
      </c>
      <c r="J885" s="28" t="s">
        <v>4898</v>
      </c>
      <c r="K885" s="28" t="s">
        <v>2566</v>
      </c>
    </row>
    <row r="886" spans="1:11">
      <c r="A886" s="27">
        <v>884</v>
      </c>
      <c r="B886" s="28" t="s">
        <v>3964</v>
      </c>
      <c r="C886" s="29" t="s">
        <v>3182</v>
      </c>
      <c r="D886" s="29" t="s">
        <v>59</v>
      </c>
      <c r="E886" s="32">
        <v>35221</v>
      </c>
      <c r="F886" s="74">
        <v>46147</v>
      </c>
      <c r="G886" s="30" t="s">
        <v>179</v>
      </c>
      <c r="H886" s="28" t="s">
        <v>36</v>
      </c>
      <c r="I886" s="28" t="s">
        <v>14</v>
      </c>
      <c r="J886" s="28" t="s">
        <v>5443</v>
      </c>
      <c r="K886" s="28" t="s">
        <v>2568</v>
      </c>
    </row>
    <row r="887" spans="1:11">
      <c r="A887" s="27">
        <v>885</v>
      </c>
      <c r="B887" s="28" t="s">
        <v>2569</v>
      </c>
      <c r="C887" s="29" t="s">
        <v>4405</v>
      </c>
      <c r="D887" s="29" t="s">
        <v>59</v>
      </c>
      <c r="E887" s="32">
        <v>36033</v>
      </c>
      <c r="F887" s="74">
        <v>46147</v>
      </c>
      <c r="G887" s="30" t="s">
        <v>179</v>
      </c>
      <c r="H887" s="28" t="s">
        <v>36</v>
      </c>
      <c r="I887" s="28" t="s">
        <v>42</v>
      </c>
      <c r="J887" s="28" t="s">
        <v>4565</v>
      </c>
      <c r="K887" s="28" t="s">
        <v>2571</v>
      </c>
    </row>
    <row r="888" spans="1:11">
      <c r="A888" s="27">
        <v>886</v>
      </c>
      <c r="B888" s="28" t="s">
        <v>2572</v>
      </c>
      <c r="C888" s="29" t="s">
        <v>4406</v>
      </c>
      <c r="D888" s="29" t="s">
        <v>59</v>
      </c>
      <c r="E888" s="32">
        <v>32768</v>
      </c>
      <c r="F888" s="74">
        <v>46147</v>
      </c>
      <c r="G888" s="30" t="s">
        <v>179</v>
      </c>
      <c r="H888" s="28" t="s">
        <v>36</v>
      </c>
      <c r="I888" s="28" t="s">
        <v>42</v>
      </c>
      <c r="J888" s="28" t="s">
        <v>5333</v>
      </c>
      <c r="K888" s="28" t="s">
        <v>2574</v>
      </c>
    </row>
    <row r="889" spans="1:11">
      <c r="A889" s="27">
        <v>887</v>
      </c>
      <c r="B889" s="28" t="s">
        <v>2575</v>
      </c>
      <c r="C889" s="29" t="s">
        <v>3530</v>
      </c>
      <c r="D889" s="29" t="s">
        <v>59</v>
      </c>
      <c r="E889" s="32">
        <v>34628</v>
      </c>
      <c r="F889" s="74">
        <v>46147</v>
      </c>
      <c r="G889" s="30" t="s">
        <v>179</v>
      </c>
      <c r="H889" s="28" t="s">
        <v>36</v>
      </c>
      <c r="I889" s="28" t="s">
        <v>14</v>
      </c>
      <c r="J889" s="28" t="s">
        <v>5291</v>
      </c>
      <c r="K889" s="28" t="s">
        <v>2577</v>
      </c>
    </row>
    <row r="890" spans="1:11">
      <c r="A890" s="27">
        <v>888</v>
      </c>
      <c r="B890" s="28" t="s">
        <v>2578</v>
      </c>
      <c r="C890" s="29" t="s">
        <v>4407</v>
      </c>
      <c r="D890" s="29" t="s">
        <v>59</v>
      </c>
      <c r="E890" s="32">
        <v>33568</v>
      </c>
      <c r="F890" s="74">
        <v>46147</v>
      </c>
      <c r="G890" s="30" t="s">
        <v>24</v>
      </c>
      <c r="H890" s="28" t="s">
        <v>25</v>
      </c>
      <c r="I890" s="28" t="s">
        <v>14</v>
      </c>
      <c r="J890" s="28" t="s">
        <v>5328</v>
      </c>
      <c r="K890" s="28" t="s">
        <v>2580</v>
      </c>
    </row>
    <row r="891" spans="1:11">
      <c r="A891" s="27">
        <v>889</v>
      </c>
      <c r="B891" s="28" t="s">
        <v>2581</v>
      </c>
      <c r="C891" s="29" t="s">
        <v>4408</v>
      </c>
      <c r="D891" s="29" t="s">
        <v>17</v>
      </c>
      <c r="E891" s="32">
        <v>35396</v>
      </c>
      <c r="F891" s="74">
        <v>46147</v>
      </c>
      <c r="G891" s="30" t="s">
        <v>85</v>
      </c>
      <c r="H891" s="28" t="s">
        <v>120</v>
      </c>
      <c r="I891" s="28" t="s">
        <v>42</v>
      </c>
      <c r="J891" s="28" t="s">
        <v>5445</v>
      </c>
      <c r="K891" s="28" t="s">
        <v>5870</v>
      </c>
    </row>
    <row r="892" spans="1:11">
      <c r="A892" s="27">
        <v>890</v>
      </c>
      <c r="B892" s="28" t="s">
        <v>2584</v>
      </c>
      <c r="C892" s="29" t="s">
        <v>4409</v>
      </c>
      <c r="D892" s="29" t="s">
        <v>17</v>
      </c>
      <c r="E892" s="32">
        <v>32700</v>
      </c>
      <c r="F892" s="74">
        <v>46147</v>
      </c>
      <c r="G892" s="30" t="s">
        <v>40</v>
      </c>
      <c r="H892" s="28" t="s">
        <v>71</v>
      </c>
      <c r="I892" s="28" t="s">
        <v>14</v>
      </c>
      <c r="J892" s="28" t="s">
        <v>4707</v>
      </c>
      <c r="K892" s="28" t="s">
        <v>2586</v>
      </c>
    </row>
    <row r="893" spans="1:11">
      <c r="A893" s="27">
        <v>891</v>
      </c>
      <c r="B893" s="28" t="s">
        <v>2587</v>
      </c>
      <c r="C893" s="29" t="s">
        <v>3531</v>
      </c>
      <c r="D893" s="29" t="s">
        <v>59</v>
      </c>
      <c r="E893" s="32">
        <v>33133</v>
      </c>
      <c r="F893" s="74">
        <v>46147</v>
      </c>
      <c r="G893" s="30" t="s">
        <v>179</v>
      </c>
      <c r="H893" s="28" t="s">
        <v>36</v>
      </c>
      <c r="I893" s="28" t="s">
        <v>56</v>
      </c>
      <c r="J893" s="28" t="s">
        <v>5040</v>
      </c>
      <c r="K893" s="28" t="s">
        <v>2589</v>
      </c>
    </row>
    <row r="894" spans="1:11">
      <c r="A894" s="27">
        <v>892</v>
      </c>
      <c r="B894" s="28" t="s">
        <v>2590</v>
      </c>
      <c r="C894" s="29" t="s">
        <v>3272</v>
      </c>
      <c r="D894" s="29" t="s">
        <v>59</v>
      </c>
      <c r="E894" s="32">
        <v>37158</v>
      </c>
      <c r="F894" s="74">
        <v>46147</v>
      </c>
      <c r="G894" s="30" t="s">
        <v>179</v>
      </c>
      <c r="H894" s="28" t="s">
        <v>36</v>
      </c>
      <c r="I894" s="28" t="s">
        <v>42</v>
      </c>
      <c r="J894" s="28" t="s">
        <v>4750</v>
      </c>
      <c r="K894" s="28" t="s">
        <v>2591</v>
      </c>
    </row>
    <row r="895" spans="1:11">
      <c r="A895" s="27">
        <v>893</v>
      </c>
      <c r="B895" s="28" t="s">
        <v>2592</v>
      </c>
      <c r="C895" s="29" t="s">
        <v>4410</v>
      </c>
      <c r="D895" s="29" t="s">
        <v>59</v>
      </c>
      <c r="E895" s="32">
        <v>32141</v>
      </c>
      <c r="F895" s="74">
        <v>46147</v>
      </c>
      <c r="G895" s="30" t="s">
        <v>24</v>
      </c>
      <c r="H895" s="28" t="s">
        <v>25</v>
      </c>
      <c r="I895" s="28" t="s">
        <v>42</v>
      </c>
      <c r="J895" s="28" t="s">
        <v>4817</v>
      </c>
      <c r="K895" s="28" t="s">
        <v>2594</v>
      </c>
    </row>
    <row r="896" spans="1:11">
      <c r="A896" s="27">
        <v>894</v>
      </c>
      <c r="B896" s="28" t="s">
        <v>2595</v>
      </c>
      <c r="C896" s="29" t="s">
        <v>3423</v>
      </c>
      <c r="D896" s="29" t="s">
        <v>17</v>
      </c>
      <c r="E896" s="32">
        <v>33701</v>
      </c>
      <c r="F896" s="74">
        <v>46147</v>
      </c>
      <c r="G896" s="30" t="s">
        <v>179</v>
      </c>
      <c r="H896" s="28" t="s">
        <v>36</v>
      </c>
      <c r="I896" s="28" t="s">
        <v>56</v>
      </c>
      <c r="J896" s="28" t="s">
        <v>4966</v>
      </c>
      <c r="K896" s="28" t="s">
        <v>2597</v>
      </c>
    </row>
    <row r="897" spans="1:11">
      <c r="A897" s="27">
        <v>895</v>
      </c>
      <c r="B897" s="28" t="s">
        <v>2598</v>
      </c>
      <c r="C897" s="29" t="s">
        <v>4411</v>
      </c>
      <c r="D897" s="29" t="s">
        <v>59</v>
      </c>
      <c r="E897" s="32">
        <v>36431</v>
      </c>
      <c r="F897" s="74">
        <v>46147</v>
      </c>
      <c r="G897" s="30" t="s">
        <v>24</v>
      </c>
      <c r="H897" s="28" t="s">
        <v>25</v>
      </c>
      <c r="I897" s="28" t="s">
        <v>14</v>
      </c>
      <c r="J897" s="28" t="s">
        <v>5360</v>
      </c>
      <c r="K897" s="28" t="s">
        <v>2600</v>
      </c>
    </row>
    <row r="898" spans="1:11">
      <c r="A898" s="27">
        <v>896</v>
      </c>
      <c r="B898" s="28" t="s">
        <v>2601</v>
      </c>
      <c r="C898" s="29" t="s">
        <v>3322</v>
      </c>
      <c r="D898" s="29" t="s">
        <v>59</v>
      </c>
      <c r="E898" s="32">
        <v>35991</v>
      </c>
      <c r="F898" s="74">
        <v>46147</v>
      </c>
      <c r="G898" s="30" t="s">
        <v>179</v>
      </c>
      <c r="H898" s="28" t="s">
        <v>36</v>
      </c>
      <c r="I898" s="28" t="s">
        <v>42</v>
      </c>
      <c r="J898" s="28" t="s">
        <v>5089</v>
      </c>
      <c r="K898" s="28" t="s">
        <v>2603</v>
      </c>
    </row>
    <row r="899" spans="1:11">
      <c r="A899" s="27">
        <v>897</v>
      </c>
      <c r="B899" s="28" t="s">
        <v>2604</v>
      </c>
      <c r="C899" s="29" t="s">
        <v>4412</v>
      </c>
      <c r="D899" s="29" t="s">
        <v>17</v>
      </c>
      <c r="E899" s="32">
        <v>32576</v>
      </c>
      <c r="F899" s="74">
        <v>46147</v>
      </c>
      <c r="G899" s="30" t="s">
        <v>40</v>
      </c>
      <c r="H899" s="28" t="s">
        <v>71</v>
      </c>
      <c r="I899" s="28" t="s">
        <v>14</v>
      </c>
      <c r="J899" s="28" t="s">
        <v>4920</v>
      </c>
      <c r="K899" s="28" t="s">
        <v>2606</v>
      </c>
    </row>
    <row r="900" spans="1:11">
      <c r="A900" s="27">
        <v>898</v>
      </c>
      <c r="B900" s="28" t="s">
        <v>2607</v>
      </c>
      <c r="C900" s="29" t="s">
        <v>3183</v>
      </c>
      <c r="D900" s="29" t="s">
        <v>59</v>
      </c>
      <c r="E900" s="32">
        <v>34671</v>
      </c>
      <c r="F900" s="74">
        <v>46147</v>
      </c>
      <c r="G900" s="30" t="s">
        <v>198</v>
      </c>
      <c r="H900" s="28" t="s">
        <v>20</v>
      </c>
      <c r="I900" s="28" t="s">
        <v>14</v>
      </c>
      <c r="J900" s="28" t="s">
        <v>4510</v>
      </c>
      <c r="K900" s="28" t="s">
        <v>2609</v>
      </c>
    </row>
    <row r="901" spans="1:11">
      <c r="A901" s="27">
        <v>899</v>
      </c>
      <c r="B901" s="28" t="s">
        <v>2610</v>
      </c>
      <c r="C901" s="29" t="s">
        <v>3184</v>
      </c>
      <c r="D901" s="29" t="s">
        <v>59</v>
      </c>
      <c r="E901" s="32">
        <v>32271</v>
      </c>
      <c r="F901" s="74">
        <v>46147</v>
      </c>
      <c r="G901" s="30" t="s">
        <v>198</v>
      </c>
      <c r="H901" s="28" t="s">
        <v>20</v>
      </c>
      <c r="I901" s="28" t="s">
        <v>42</v>
      </c>
      <c r="J901" s="28" t="s">
        <v>5357</v>
      </c>
      <c r="K901" s="28" t="s">
        <v>2612</v>
      </c>
    </row>
    <row r="902" spans="1:11">
      <c r="A902" s="27">
        <v>900</v>
      </c>
      <c r="B902" s="28" t="s">
        <v>2613</v>
      </c>
      <c r="C902" s="29" t="s">
        <v>4413</v>
      </c>
      <c r="D902" s="29" t="s">
        <v>17</v>
      </c>
      <c r="E902" s="32">
        <v>37067</v>
      </c>
      <c r="F902" s="74">
        <v>46147</v>
      </c>
      <c r="G902" s="30" t="s">
        <v>179</v>
      </c>
      <c r="H902" s="28" t="s">
        <v>36</v>
      </c>
      <c r="I902" s="28" t="s">
        <v>56</v>
      </c>
      <c r="J902" s="28" t="s">
        <v>4921</v>
      </c>
      <c r="K902" s="28" t="s">
        <v>2615</v>
      </c>
    </row>
    <row r="903" spans="1:11">
      <c r="A903" s="27">
        <v>901</v>
      </c>
      <c r="B903" s="28" t="s">
        <v>2616</v>
      </c>
      <c r="C903" s="29" t="s">
        <v>4414</v>
      </c>
      <c r="D903" s="29" t="s">
        <v>59</v>
      </c>
      <c r="E903" s="32">
        <v>37150</v>
      </c>
      <c r="F903" s="74">
        <v>46147</v>
      </c>
      <c r="G903" s="30" t="s">
        <v>24</v>
      </c>
      <c r="H903" s="28" t="s">
        <v>25</v>
      </c>
      <c r="I903" s="28" t="s">
        <v>56</v>
      </c>
      <c r="J903" s="28" t="s">
        <v>5412</v>
      </c>
      <c r="K903" s="28" t="s">
        <v>5943</v>
      </c>
    </row>
    <row r="904" spans="1:11">
      <c r="A904" s="27">
        <v>902</v>
      </c>
      <c r="B904" s="28" t="s">
        <v>2619</v>
      </c>
      <c r="C904" s="29" t="s">
        <v>4415</v>
      </c>
      <c r="D904" s="29" t="s">
        <v>59</v>
      </c>
      <c r="E904" s="32">
        <v>37048</v>
      </c>
      <c r="F904" s="74">
        <v>46147</v>
      </c>
      <c r="G904" s="30" t="s">
        <v>198</v>
      </c>
      <c r="H904" s="28" t="s">
        <v>20</v>
      </c>
      <c r="I904" s="28" t="s">
        <v>42</v>
      </c>
      <c r="J904" s="28" t="s">
        <v>5310</v>
      </c>
      <c r="K904" s="28" t="s">
        <v>2621</v>
      </c>
    </row>
    <row r="905" spans="1:11">
      <c r="A905" s="27">
        <v>903</v>
      </c>
      <c r="B905" s="28" t="s">
        <v>2622</v>
      </c>
      <c r="C905" s="29" t="s">
        <v>3424</v>
      </c>
      <c r="D905" s="29" t="s">
        <v>17</v>
      </c>
      <c r="E905" s="32">
        <v>34313</v>
      </c>
      <c r="F905" s="74">
        <v>46147</v>
      </c>
      <c r="G905" s="30" t="s">
        <v>179</v>
      </c>
      <c r="H905" s="28" t="s">
        <v>36</v>
      </c>
      <c r="I905" s="28" t="s">
        <v>14</v>
      </c>
      <c r="J905" s="28" t="s">
        <v>5253</v>
      </c>
      <c r="K905" s="28" t="s">
        <v>2624</v>
      </c>
    </row>
    <row r="906" spans="1:11">
      <c r="A906" s="27">
        <v>904</v>
      </c>
      <c r="B906" s="28" t="s">
        <v>2625</v>
      </c>
      <c r="C906" s="29" t="s">
        <v>4416</v>
      </c>
      <c r="D906" s="29" t="s">
        <v>59</v>
      </c>
      <c r="E906" s="32">
        <v>37851</v>
      </c>
      <c r="F906" s="74">
        <v>46147</v>
      </c>
      <c r="G906" s="30" t="s">
        <v>179</v>
      </c>
      <c r="H906" s="28" t="s">
        <v>36</v>
      </c>
      <c r="I906" s="28" t="s">
        <v>56</v>
      </c>
      <c r="J906" s="28" t="s">
        <v>5429</v>
      </c>
      <c r="K906" s="28" t="s">
        <v>2627</v>
      </c>
    </row>
    <row r="907" spans="1:11">
      <c r="A907" s="27">
        <v>905</v>
      </c>
      <c r="B907" s="28" t="s">
        <v>2628</v>
      </c>
      <c r="C907" s="29" t="s">
        <v>4417</v>
      </c>
      <c r="D907" s="29" t="s">
        <v>17</v>
      </c>
      <c r="E907" s="32">
        <v>35804</v>
      </c>
      <c r="F907" s="74">
        <v>46147</v>
      </c>
      <c r="G907" s="30" t="s">
        <v>85</v>
      </c>
      <c r="H907" s="28" t="s">
        <v>120</v>
      </c>
      <c r="I907" s="28" t="s">
        <v>14</v>
      </c>
      <c r="J907" s="28" t="s">
        <v>5144</v>
      </c>
      <c r="K907" s="28" t="s">
        <v>2630</v>
      </c>
    </row>
    <row r="908" spans="1:11">
      <c r="A908" s="27">
        <v>906</v>
      </c>
      <c r="B908" s="28" t="s">
        <v>2631</v>
      </c>
      <c r="C908" s="29" t="s">
        <v>4418</v>
      </c>
      <c r="D908" s="29" t="s">
        <v>59</v>
      </c>
      <c r="E908" s="32">
        <v>35477</v>
      </c>
      <c r="F908" s="74">
        <v>46147</v>
      </c>
      <c r="G908" s="30" t="s">
        <v>179</v>
      </c>
      <c r="H908" s="28" t="s">
        <v>36</v>
      </c>
      <c r="I908" s="28" t="s">
        <v>42</v>
      </c>
      <c r="J908" s="28" t="s">
        <v>5431</v>
      </c>
      <c r="K908" s="28" t="s">
        <v>2632</v>
      </c>
    </row>
    <row r="909" spans="1:11">
      <c r="A909" s="27">
        <v>907</v>
      </c>
      <c r="B909" s="28" t="s">
        <v>2633</v>
      </c>
      <c r="C909" s="29" t="s">
        <v>4419</v>
      </c>
      <c r="D909" s="29" t="s">
        <v>59</v>
      </c>
      <c r="E909" s="32">
        <v>37638</v>
      </c>
      <c r="F909" s="74">
        <v>46147</v>
      </c>
      <c r="G909" s="30" t="s">
        <v>179</v>
      </c>
      <c r="H909" s="28" t="s">
        <v>36</v>
      </c>
      <c r="I909" s="28" t="s">
        <v>56</v>
      </c>
      <c r="J909" s="28" t="s">
        <v>4731</v>
      </c>
      <c r="K909" s="28" t="s">
        <v>2635</v>
      </c>
    </row>
    <row r="910" spans="1:11">
      <c r="A910" s="27">
        <v>908</v>
      </c>
      <c r="B910" s="28" t="s">
        <v>2636</v>
      </c>
      <c r="C910" s="29" t="s">
        <v>4420</v>
      </c>
      <c r="D910" s="29" t="s">
        <v>59</v>
      </c>
      <c r="E910" s="32">
        <v>36647</v>
      </c>
      <c r="F910" s="74">
        <v>46147</v>
      </c>
      <c r="G910" s="30" t="s">
        <v>179</v>
      </c>
      <c r="H910" s="28" t="s">
        <v>36</v>
      </c>
      <c r="I910" s="28" t="s">
        <v>14</v>
      </c>
      <c r="J910" s="28" t="s">
        <v>4589</v>
      </c>
      <c r="K910" s="28" t="s">
        <v>2638</v>
      </c>
    </row>
    <row r="911" spans="1:11">
      <c r="A911" s="27">
        <v>909</v>
      </c>
      <c r="B911" s="28" t="s">
        <v>2639</v>
      </c>
      <c r="C911" s="29" t="s">
        <v>3532</v>
      </c>
      <c r="D911" s="29" t="s">
        <v>17</v>
      </c>
      <c r="E911" s="32">
        <v>37082</v>
      </c>
      <c r="F911" s="74">
        <v>46147</v>
      </c>
      <c r="G911" s="30" t="s">
        <v>179</v>
      </c>
      <c r="H911" s="28" t="s">
        <v>36</v>
      </c>
      <c r="I911" s="28" t="s">
        <v>42</v>
      </c>
      <c r="J911" s="28" t="s">
        <v>4917</v>
      </c>
      <c r="K911" s="28" t="s">
        <v>2641</v>
      </c>
    </row>
    <row r="912" spans="1:11">
      <c r="A912" s="27">
        <v>910</v>
      </c>
      <c r="B912" s="28" t="s">
        <v>2642</v>
      </c>
      <c r="C912" s="29" t="s">
        <v>3273</v>
      </c>
      <c r="D912" s="29" t="s">
        <v>59</v>
      </c>
      <c r="E912" s="32">
        <v>34052</v>
      </c>
      <c r="F912" s="74">
        <v>46147</v>
      </c>
      <c r="G912" s="30" t="s">
        <v>179</v>
      </c>
      <c r="H912" s="28" t="s">
        <v>36</v>
      </c>
      <c r="I912" s="28" t="s">
        <v>14</v>
      </c>
      <c r="J912" s="28" t="s">
        <v>4572</v>
      </c>
      <c r="K912" s="28" t="s">
        <v>2644</v>
      </c>
    </row>
    <row r="913" spans="1:11">
      <c r="A913" s="27">
        <v>911</v>
      </c>
      <c r="B913" s="28" t="s">
        <v>2645</v>
      </c>
      <c r="C913" s="29" t="s">
        <v>3425</v>
      </c>
      <c r="D913" s="29" t="s">
        <v>17</v>
      </c>
      <c r="E913" s="32">
        <v>31678</v>
      </c>
      <c r="F913" s="74">
        <v>46147</v>
      </c>
      <c r="G913" s="30" t="s">
        <v>179</v>
      </c>
      <c r="H913" s="28" t="s">
        <v>36</v>
      </c>
      <c r="I913" s="28" t="s">
        <v>56</v>
      </c>
      <c r="J913" s="28" t="s">
        <v>4962</v>
      </c>
      <c r="K913" s="28" t="s">
        <v>2647</v>
      </c>
    </row>
    <row r="914" spans="1:11">
      <c r="A914" s="27">
        <v>912</v>
      </c>
      <c r="B914" s="28" t="s">
        <v>2648</v>
      </c>
      <c r="C914" s="29" t="s">
        <v>3185</v>
      </c>
      <c r="D914" s="29" t="s">
        <v>59</v>
      </c>
      <c r="E914" s="32">
        <v>37066</v>
      </c>
      <c r="F914" s="74">
        <v>46147</v>
      </c>
      <c r="G914" s="30" t="s">
        <v>198</v>
      </c>
      <c r="H914" s="28" t="s">
        <v>20</v>
      </c>
      <c r="I914" s="28" t="s">
        <v>14</v>
      </c>
      <c r="J914" s="28" t="s">
        <v>4824</v>
      </c>
      <c r="K914" s="28" t="s">
        <v>5821</v>
      </c>
    </row>
    <row r="915" spans="1:11">
      <c r="A915" s="27">
        <v>913</v>
      </c>
      <c r="B915" s="28" t="s">
        <v>2650</v>
      </c>
      <c r="C915" s="29" t="s">
        <v>4421</v>
      </c>
      <c r="D915" s="29" t="s">
        <v>17</v>
      </c>
      <c r="E915" s="32">
        <v>37771</v>
      </c>
      <c r="F915" s="74">
        <v>46147</v>
      </c>
      <c r="G915" s="30" t="s">
        <v>85</v>
      </c>
      <c r="H915" s="28" t="s">
        <v>120</v>
      </c>
      <c r="I915" s="28" t="s">
        <v>14</v>
      </c>
      <c r="J915" s="28" t="s">
        <v>4477</v>
      </c>
      <c r="K915" s="28" t="s">
        <v>2652</v>
      </c>
    </row>
    <row r="916" spans="1:11">
      <c r="A916" s="27">
        <v>914</v>
      </c>
      <c r="B916" s="28" t="s">
        <v>2653</v>
      </c>
      <c r="C916" s="29" t="s">
        <v>4422</v>
      </c>
      <c r="D916" s="29" t="s">
        <v>59</v>
      </c>
      <c r="E916" s="32">
        <v>34095</v>
      </c>
      <c r="F916" s="74">
        <v>46147</v>
      </c>
      <c r="G916" s="30" t="s">
        <v>179</v>
      </c>
      <c r="H916" s="28" t="s">
        <v>36</v>
      </c>
      <c r="I916" s="28" t="s">
        <v>56</v>
      </c>
      <c r="J916" s="28" t="s">
        <v>5230</v>
      </c>
      <c r="K916" s="28" t="s">
        <v>5875</v>
      </c>
    </row>
    <row r="917" spans="1:11">
      <c r="A917" s="27">
        <v>915</v>
      </c>
      <c r="B917" s="28" t="s">
        <v>2656</v>
      </c>
      <c r="C917" s="29" t="s">
        <v>3186</v>
      </c>
      <c r="D917" s="29" t="s">
        <v>59</v>
      </c>
      <c r="E917" s="32">
        <v>33972</v>
      </c>
      <c r="F917" s="74">
        <v>46147</v>
      </c>
      <c r="G917" s="30" t="s">
        <v>198</v>
      </c>
      <c r="H917" s="28" t="s">
        <v>20</v>
      </c>
      <c r="I917" s="28" t="s">
        <v>42</v>
      </c>
      <c r="J917" s="28" t="s">
        <v>5094</v>
      </c>
      <c r="K917" s="28" t="s">
        <v>2658</v>
      </c>
    </row>
    <row r="918" spans="1:11">
      <c r="A918" s="27">
        <v>916</v>
      </c>
      <c r="B918" s="28" t="s">
        <v>2659</v>
      </c>
      <c r="C918" s="29" t="s">
        <v>3426</v>
      </c>
      <c r="D918" s="29" t="s">
        <v>17</v>
      </c>
      <c r="E918" s="32">
        <v>31966</v>
      </c>
      <c r="F918" s="74">
        <v>46147</v>
      </c>
      <c r="G918" s="30" t="s">
        <v>179</v>
      </c>
      <c r="H918" s="28" t="s">
        <v>36</v>
      </c>
      <c r="I918" s="28" t="s">
        <v>56</v>
      </c>
      <c r="J918" s="28" t="s">
        <v>4788</v>
      </c>
      <c r="K918" s="28" t="s">
        <v>2661</v>
      </c>
    </row>
    <row r="919" spans="1:11">
      <c r="A919" s="27">
        <v>917</v>
      </c>
      <c r="B919" s="28" t="s">
        <v>2662</v>
      </c>
      <c r="C919" s="29" t="s">
        <v>4423</v>
      </c>
      <c r="D919" s="29" t="s">
        <v>59</v>
      </c>
      <c r="E919" s="32">
        <v>32069</v>
      </c>
      <c r="F919" s="74">
        <v>46147</v>
      </c>
      <c r="G919" s="30" t="s">
        <v>179</v>
      </c>
      <c r="H919" s="28" t="s">
        <v>36</v>
      </c>
      <c r="I919" s="28" t="s">
        <v>14</v>
      </c>
      <c r="J919" s="28" t="s">
        <v>4605</v>
      </c>
      <c r="K919" s="28" t="s">
        <v>2664</v>
      </c>
    </row>
    <row r="920" spans="1:11">
      <c r="A920" s="27">
        <v>918</v>
      </c>
      <c r="B920" s="28" t="s">
        <v>2665</v>
      </c>
      <c r="C920" s="29" t="s">
        <v>3648</v>
      </c>
      <c r="D920" s="29" t="s">
        <v>59</v>
      </c>
      <c r="E920" s="32">
        <v>32862</v>
      </c>
      <c r="F920" s="74">
        <v>46147</v>
      </c>
      <c r="G920" s="30" t="s">
        <v>179</v>
      </c>
      <c r="H920" s="28" t="s">
        <v>36</v>
      </c>
      <c r="I920" s="28" t="s">
        <v>42</v>
      </c>
      <c r="J920" s="28" t="s">
        <v>5356</v>
      </c>
      <c r="K920" s="28" t="s">
        <v>2667</v>
      </c>
    </row>
    <row r="921" spans="1:11">
      <c r="A921" s="27">
        <v>919</v>
      </c>
      <c r="B921" s="28" t="s">
        <v>2668</v>
      </c>
      <c r="C921" s="29" t="s">
        <v>3533</v>
      </c>
      <c r="D921" s="29" t="s">
        <v>59</v>
      </c>
      <c r="E921" s="32">
        <v>34119</v>
      </c>
      <c r="F921" s="74">
        <v>46147</v>
      </c>
      <c r="G921" s="30" t="s">
        <v>54</v>
      </c>
      <c r="H921" s="28" t="s">
        <v>140</v>
      </c>
      <c r="I921" s="28" t="s">
        <v>42</v>
      </c>
      <c r="J921" s="28" t="s">
        <v>4594</v>
      </c>
      <c r="K921" s="28" t="s">
        <v>2670</v>
      </c>
    </row>
    <row r="922" spans="1:11">
      <c r="A922" s="27">
        <v>920</v>
      </c>
      <c r="B922" s="28" t="s">
        <v>2671</v>
      </c>
      <c r="C922" s="29" t="s">
        <v>4424</v>
      </c>
      <c r="D922" s="29" t="s">
        <v>17</v>
      </c>
      <c r="E922" s="32">
        <v>32473</v>
      </c>
      <c r="F922" s="74">
        <v>46147</v>
      </c>
      <c r="G922" s="30" t="s">
        <v>40</v>
      </c>
      <c r="H922" s="28" t="s">
        <v>71</v>
      </c>
      <c r="I922" s="28" t="s">
        <v>14</v>
      </c>
      <c r="J922" s="28" t="s">
        <v>4516</v>
      </c>
      <c r="K922" s="28" t="s">
        <v>5777</v>
      </c>
    </row>
    <row r="923" spans="1:11">
      <c r="A923" s="27">
        <v>921</v>
      </c>
      <c r="B923" s="28" t="s">
        <v>2673</v>
      </c>
      <c r="C923" s="29" t="s">
        <v>4425</v>
      </c>
      <c r="D923" s="29" t="s">
        <v>59</v>
      </c>
      <c r="E923" s="32">
        <v>31120</v>
      </c>
      <c r="F923" s="74">
        <v>46147</v>
      </c>
      <c r="G923" s="30" t="s">
        <v>24</v>
      </c>
      <c r="H923" s="28" t="s">
        <v>25</v>
      </c>
      <c r="I923" s="28" t="s">
        <v>56</v>
      </c>
      <c r="J923" s="28" t="s">
        <v>5086</v>
      </c>
      <c r="K923" s="28" t="s">
        <v>2675</v>
      </c>
    </row>
    <row r="924" spans="1:11">
      <c r="A924" s="27">
        <v>922</v>
      </c>
      <c r="B924" s="28" t="s">
        <v>2676</v>
      </c>
      <c r="C924" s="29" t="s">
        <v>4426</v>
      </c>
      <c r="D924" s="29" t="s">
        <v>59</v>
      </c>
      <c r="E924" s="32">
        <v>31877</v>
      </c>
      <c r="F924" s="74">
        <v>46147</v>
      </c>
      <c r="G924" s="30" t="s">
        <v>24</v>
      </c>
      <c r="H924" s="28" t="s">
        <v>25</v>
      </c>
      <c r="I924" s="28" t="s">
        <v>42</v>
      </c>
      <c r="J924" s="28" t="s">
        <v>4808</v>
      </c>
      <c r="K924" s="28" t="s">
        <v>2678</v>
      </c>
    </row>
    <row r="925" spans="1:11">
      <c r="A925" s="27">
        <v>923</v>
      </c>
      <c r="B925" s="28" t="s">
        <v>2679</v>
      </c>
      <c r="C925" s="29" t="s">
        <v>3649</v>
      </c>
      <c r="D925" s="29" t="s">
        <v>59</v>
      </c>
      <c r="E925" s="32">
        <v>33354</v>
      </c>
      <c r="F925" s="74">
        <v>46147</v>
      </c>
      <c r="G925" s="30" t="s">
        <v>179</v>
      </c>
      <c r="H925" s="28" t="s">
        <v>36</v>
      </c>
      <c r="I925" s="28" t="s">
        <v>14</v>
      </c>
      <c r="J925" s="28" t="s">
        <v>4892</v>
      </c>
      <c r="K925" s="28" t="s">
        <v>2680</v>
      </c>
    </row>
    <row r="926" spans="1:11">
      <c r="A926" s="27">
        <v>924</v>
      </c>
      <c r="B926" s="28" t="s">
        <v>2681</v>
      </c>
      <c r="C926" s="29" t="s">
        <v>3187</v>
      </c>
      <c r="D926" s="29" t="s">
        <v>59</v>
      </c>
      <c r="E926" s="32">
        <v>36708</v>
      </c>
      <c r="F926" s="74">
        <v>46147</v>
      </c>
      <c r="G926" s="30" t="s">
        <v>179</v>
      </c>
      <c r="H926" s="28" t="s">
        <v>36</v>
      </c>
      <c r="I926" s="28" t="s">
        <v>56</v>
      </c>
      <c r="J926" s="28" t="s">
        <v>5449</v>
      </c>
      <c r="K926" s="28" t="s">
        <v>2683</v>
      </c>
    </row>
    <row r="927" spans="1:11">
      <c r="A927" s="27">
        <v>925</v>
      </c>
      <c r="B927" s="28" t="s">
        <v>2684</v>
      </c>
      <c r="C927" s="29" t="s">
        <v>4427</v>
      </c>
      <c r="D927" s="29" t="s">
        <v>59</v>
      </c>
      <c r="E927" s="32">
        <v>37815</v>
      </c>
      <c r="F927" s="74">
        <v>46147</v>
      </c>
      <c r="G927" s="30" t="s">
        <v>24</v>
      </c>
      <c r="H927" s="28" t="s">
        <v>25</v>
      </c>
      <c r="I927" s="28" t="s">
        <v>42</v>
      </c>
      <c r="J927" s="28" t="s">
        <v>5433</v>
      </c>
      <c r="K927" s="28" t="s">
        <v>2686</v>
      </c>
    </row>
    <row r="928" spans="1:11">
      <c r="A928" s="27">
        <v>926</v>
      </c>
      <c r="B928" s="28" t="s">
        <v>2687</v>
      </c>
      <c r="C928" s="29" t="s">
        <v>3274</v>
      </c>
      <c r="D928" s="29" t="s">
        <v>59</v>
      </c>
      <c r="E928" s="32">
        <v>35548</v>
      </c>
      <c r="F928" s="74">
        <v>46147</v>
      </c>
      <c r="G928" s="30" t="s">
        <v>179</v>
      </c>
      <c r="H928" s="28" t="s">
        <v>36</v>
      </c>
      <c r="I928" s="28" t="s">
        <v>56</v>
      </c>
      <c r="J928" s="28" t="s">
        <v>5037</v>
      </c>
      <c r="K928" s="28" t="s">
        <v>2689</v>
      </c>
    </row>
    <row r="929" spans="1:11">
      <c r="A929" s="27">
        <v>927</v>
      </c>
      <c r="B929" s="28" t="s">
        <v>2690</v>
      </c>
      <c r="C929" s="29" t="s">
        <v>3275</v>
      </c>
      <c r="D929" s="29" t="s">
        <v>59</v>
      </c>
      <c r="E929" s="32">
        <v>34478</v>
      </c>
      <c r="F929" s="74">
        <v>46147</v>
      </c>
      <c r="G929" s="30" t="s">
        <v>179</v>
      </c>
      <c r="H929" s="28" t="s">
        <v>36</v>
      </c>
      <c r="I929" s="28" t="s">
        <v>14</v>
      </c>
      <c r="J929" s="28" t="s">
        <v>4655</v>
      </c>
      <c r="K929" s="28" t="s">
        <v>2692</v>
      </c>
    </row>
    <row r="930" spans="1:11">
      <c r="A930" s="27">
        <v>928</v>
      </c>
      <c r="B930" s="28" t="s">
        <v>2693</v>
      </c>
      <c r="C930" s="29" t="s">
        <v>4428</v>
      </c>
      <c r="D930" s="29" t="s">
        <v>17</v>
      </c>
      <c r="E930" s="32">
        <v>32368</v>
      </c>
      <c r="F930" s="74">
        <v>46147</v>
      </c>
      <c r="G930" s="30" t="s">
        <v>85</v>
      </c>
      <c r="H930" s="28" t="s">
        <v>120</v>
      </c>
      <c r="I930" s="28" t="s">
        <v>56</v>
      </c>
      <c r="J930" s="28" t="s">
        <v>5205</v>
      </c>
      <c r="K930" s="28" t="s">
        <v>2695</v>
      </c>
    </row>
    <row r="931" spans="1:11">
      <c r="A931" s="27">
        <v>929</v>
      </c>
      <c r="B931" s="28" t="s">
        <v>2696</v>
      </c>
      <c r="C931" s="29" t="s">
        <v>3427</v>
      </c>
      <c r="D931" s="29" t="s">
        <v>17</v>
      </c>
      <c r="E931" s="32">
        <v>32224</v>
      </c>
      <c r="F931" s="74">
        <v>46147</v>
      </c>
      <c r="G931" s="30" t="s">
        <v>216</v>
      </c>
      <c r="H931" s="28" t="s">
        <v>217</v>
      </c>
      <c r="I931" s="28" t="s">
        <v>42</v>
      </c>
      <c r="J931" s="28" t="s">
        <v>4988</v>
      </c>
      <c r="K931" s="28" t="s">
        <v>2698</v>
      </c>
    </row>
    <row r="932" spans="1:11">
      <c r="A932" s="27">
        <v>930</v>
      </c>
      <c r="B932" s="28" t="s">
        <v>2699</v>
      </c>
      <c r="C932" s="29" t="s">
        <v>3188</v>
      </c>
      <c r="D932" s="29" t="s">
        <v>59</v>
      </c>
      <c r="E932" s="32">
        <v>37297</v>
      </c>
      <c r="F932" s="74">
        <v>46147</v>
      </c>
      <c r="G932" s="30" t="s">
        <v>198</v>
      </c>
      <c r="H932" s="28" t="s">
        <v>20</v>
      </c>
      <c r="I932" s="28" t="s">
        <v>14</v>
      </c>
      <c r="J932" s="28" t="s">
        <v>4558</v>
      </c>
      <c r="K932" s="28" t="s">
        <v>2701</v>
      </c>
    </row>
    <row r="933" spans="1:11">
      <c r="A933" s="27">
        <v>931</v>
      </c>
      <c r="B933" s="28" t="s">
        <v>2702</v>
      </c>
      <c r="C933" s="29" t="s">
        <v>4429</v>
      </c>
      <c r="D933" s="29" t="s">
        <v>17</v>
      </c>
      <c r="E933" s="32">
        <v>31297</v>
      </c>
      <c r="F933" s="74">
        <v>46147</v>
      </c>
      <c r="G933" s="30" t="s">
        <v>40</v>
      </c>
      <c r="H933" s="28" t="s">
        <v>71</v>
      </c>
      <c r="I933" s="28" t="s">
        <v>14</v>
      </c>
      <c r="J933" s="28" t="s">
        <v>4684</v>
      </c>
      <c r="K933" s="28" t="s">
        <v>5850</v>
      </c>
    </row>
    <row r="934" spans="1:11">
      <c r="A934" s="27">
        <v>932</v>
      </c>
      <c r="B934" s="28" t="s">
        <v>2705</v>
      </c>
      <c r="C934" s="29" t="s">
        <v>3534</v>
      </c>
      <c r="D934" s="29" t="s">
        <v>59</v>
      </c>
      <c r="E934" s="32">
        <v>34247</v>
      </c>
      <c r="F934" s="74">
        <v>46147</v>
      </c>
      <c r="G934" s="30" t="s">
        <v>179</v>
      </c>
      <c r="H934" s="28" t="s">
        <v>36</v>
      </c>
      <c r="I934" s="28" t="s">
        <v>56</v>
      </c>
      <c r="J934" s="28" t="s">
        <v>5107</v>
      </c>
      <c r="K934" s="28" t="s">
        <v>5900</v>
      </c>
    </row>
    <row r="935" spans="1:11">
      <c r="A935" s="27">
        <v>933</v>
      </c>
      <c r="B935" s="28" t="s">
        <v>2708</v>
      </c>
      <c r="C935" s="29" t="s">
        <v>4430</v>
      </c>
      <c r="D935" s="29" t="s">
        <v>17</v>
      </c>
      <c r="E935" s="32">
        <v>33719</v>
      </c>
      <c r="F935" s="74">
        <v>46147</v>
      </c>
      <c r="G935" s="30" t="s">
        <v>85</v>
      </c>
      <c r="H935" s="28" t="s">
        <v>120</v>
      </c>
      <c r="I935" s="28" t="s">
        <v>14</v>
      </c>
      <c r="J935" s="28" t="s">
        <v>4514</v>
      </c>
      <c r="K935" s="28" t="s">
        <v>2710</v>
      </c>
    </row>
    <row r="936" spans="1:11">
      <c r="A936" s="27">
        <v>934</v>
      </c>
      <c r="B936" s="28" t="s">
        <v>3965</v>
      </c>
      <c r="C936" s="29" t="s">
        <v>3428</v>
      </c>
      <c r="D936" s="29" t="s">
        <v>17</v>
      </c>
      <c r="E936" s="32">
        <v>35610</v>
      </c>
      <c r="F936" s="74">
        <v>46147</v>
      </c>
      <c r="G936" s="30" t="s">
        <v>216</v>
      </c>
      <c r="H936" s="28" t="s">
        <v>217</v>
      </c>
      <c r="I936" s="28" t="s">
        <v>42</v>
      </c>
      <c r="J936" s="28" t="s">
        <v>4967</v>
      </c>
      <c r="K936" s="28" t="s">
        <v>5881</v>
      </c>
    </row>
    <row r="937" spans="1:11">
      <c r="A937" s="27">
        <v>935</v>
      </c>
      <c r="B937" s="28" t="s">
        <v>2713</v>
      </c>
      <c r="C937" s="29" t="s">
        <v>3189</v>
      </c>
      <c r="D937" s="29" t="s">
        <v>59</v>
      </c>
      <c r="E937" s="32">
        <v>37479</v>
      </c>
      <c r="F937" s="74">
        <v>46147</v>
      </c>
      <c r="G937" s="30" t="s">
        <v>198</v>
      </c>
      <c r="H937" s="28" t="s">
        <v>20</v>
      </c>
      <c r="I937" s="28" t="s">
        <v>42</v>
      </c>
      <c r="J937" s="28" t="s">
        <v>5286</v>
      </c>
      <c r="K937" s="28" t="s">
        <v>2715</v>
      </c>
    </row>
    <row r="938" spans="1:11">
      <c r="A938" s="27">
        <v>936</v>
      </c>
      <c r="B938" s="28" t="s">
        <v>2716</v>
      </c>
      <c r="C938" s="29" t="s">
        <v>4431</v>
      </c>
      <c r="D938" s="29" t="s">
        <v>17</v>
      </c>
      <c r="E938" s="32">
        <v>34373</v>
      </c>
      <c r="F938" s="74">
        <v>46147</v>
      </c>
      <c r="G938" s="30" t="s">
        <v>40</v>
      </c>
      <c r="H938" s="28" t="s">
        <v>71</v>
      </c>
      <c r="I938" s="28" t="s">
        <v>14</v>
      </c>
      <c r="J938" s="28" t="s">
        <v>4889</v>
      </c>
      <c r="K938" s="28" t="s">
        <v>2718</v>
      </c>
    </row>
    <row r="939" spans="1:11">
      <c r="A939" s="27">
        <v>937</v>
      </c>
      <c r="B939" s="28" t="s">
        <v>2719</v>
      </c>
      <c r="C939" s="29" t="s">
        <v>4432</v>
      </c>
      <c r="D939" s="29" t="s">
        <v>17</v>
      </c>
      <c r="E939" s="32">
        <v>35360</v>
      </c>
      <c r="F939" s="74">
        <v>46147</v>
      </c>
      <c r="G939" s="30" t="s">
        <v>40</v>
      </c>
      <c r="H939" s="28" t="s">
        <v>71</v>
      </c>
      <c r="I939" s="28" t="s">
        <v>14</v>
      </c>
      <c r="J939" s="28" t="s">
        <v>4879</v>
      </c>
      <c r="K939" s="28" t="s">
        <v>2721</v>
      </c>
    </row>
    <row r="940" spans="1:11">
      <c r="A940" s="27">
        <v>938</v>
      </c>
      <c r="B940" s="28" t="s">
        <v>2722</v>
      </c>
      <c r="C940" s="29" t="s">
        <v>3535</v>
      </c>
      <c r="D940" s="29" t="s">
        <v>59</v>
      </c>
      <c r="E940" s="32">
        <v>31956</v>
      </c>
      <c r="F940" s="74">
        <v>46147</v>
      </c>
      <c r="G940" s="30" t="s">
        <v>54</v>
      </c>
      <c r="H940" s="28" t="s">
        <v>140</v>
      </c>
      <c r="I940" s="28" t="s">
        <v>42</v>
      </c>
      <c r="J940" s="28" t="s">
        <v>4687</v>
      </c>
      <c r="K940" s="28" t="s">
        <v>2724</v>
      </c>
    </row>
    <row r="941" spans="1:11">
      <c r="A941" s="27">
        <v>939</v>
      </c>
      <c r="B941" s="28" t="s">
        <v>2725</v>
      </c>
      <c r="C941" s="29" t="s">
        <v>4433</v>
      </c>
      <c r="D941" s="29" t="s">
        <v>59</v>
      </c>
      <c r="E941" s="32">
        <v>36711</v>
      </c>
      <c r="F941" s="74">
        <v>46147</v>
      </c>
      <c r="G941" s="30" t="s">
        <v>179</v>
      </c>
      <c r="H941" s="28" t="s">
        <v>36</v>
      </c>
      <c r="I941" s="28" t="s">
        <v>14</v>
      </c>
      <c r="J941" s="28" t="s">
        <v>5130</v>
      </c>
      <c r="K941" s="28" t="s">
        <v>2727</v>
      </c>
    </row>
    <row r="942" spans="1:11">
      <c r="A942" s="27">
        <v>940</v>
      </c>
      <c r="B942" s="28" t="s">
        <v>2728</v>
      </c>
      <c r="C942" s="29" t="s">
        <v>3650</v>
      </c>
      <c r="D942" s="29" t="s">
        <v>59</v>
      </c>
      <c r="E942" s="32">
        <v>32254</v>
      </c>
      <c r="F942" s="74">
        <v>46147</v>
      </c>
      <c r="G942" s="30" t="s">
        <v>179</v>
      </c>
      <c r="H942" s="28" t="s">
        <v>36</v>
      </c>
      <c r="I942" s="28" t="s">
        <v>56</v>
      </c>
      <c r="J942" s="28" t="s">
        <v>5151</v>
      </c>
      <c r="K942" s="28" t="s">
        <v>2730</v>
      </c>
    </row>
    <row r="943" spans="1:11">
      <c r="A943" s="27">
        <v>941</v>
      </c>
      <c r="B943" s="28" t="s">
        <v>2731</v>
      </c>
      <c r="C943" s="29" t="s">
        <v>4434</v>
      </c>
      <c r="D943" s="29" t="s">
        <v>17</v>
      </c>
      <c r="E943" s="32">
        <v>34956</v>
      </c>
      <c r="F943" s="74">
        <v>46147</v>
      </c>
      <c r="G943" s="30" t="s">
        <v>179</v>
      </c>
      <c r="H943" s="28" t="s">
        <v>36</v>
      </c>
      <c r="I943" s="28" t="s">
        <v>56</v>
      </c>
      <c r="J943" s="28" t="s">
        <v>4959</v>
      </c>
      <c r="K943" s="28" t="s">
        <v>2733</v>
      </c>
    </row>
    <row r="944" spans="1:11">
      <c r="A944" s="27">
        <v>942</v>
      </c>
      <c r="B944" s="28" t="s">
        <v>2734</v>
      </c>
      <c r="C944" s="29" t="s">
        <v>4435</v>
      </c>
      <c r="D944" s="29" t="s">
        <v>59</v>
      </c>
      <c r="E944" s="32">
        <v>37472</v>
      </c>
      <c r="F944" s="74">
        <v>46147</v>
      </c>
      <c r="G944" s="30" t="s">
        <v>179</v>
      </c>
      <c r="H944" s="28" t="s">
        <v>36</v>
      </c>
      <c r="I944" s="28" t="s">
        <v>42</v>
      </c>
      <c r="J944" s="28" t="s">
        <v>5179</v>
      </c>
      <c r="K944" s="28" t="s">
        <v>2736</v>
      </c>
    </row>
    <row r="945" spans="1:11">
      <c r="A945" s="27">
        <v>943</v>
      </c>
      <c r="B945" s="28" t="s">
        <v>2737</v>
      </c>
      <c r="C945" s="29" t="s">
        <v>4436</v>
      </c>
      <c r="D945" s="29" t="s">
        <v>17</v>
      </c>
      <c r="E945" s="32">
        <v>31773</v>
      </c>
      <c r="F945" s="74">
        <v>46147</v>
      </c>
      <c r="G945" s="30" t="s">
        <v>40</v>
      </c>
      <c r="H945" s="28" t="s">
        <v>71</v>
      </c>
      <c r="I945" s="28" t="s">
        <v>14</v>
      </c>
      <c r="J945" s="28" t="s">
        <v>4918</v>
      </c>
      <c r="K945" s="28" t="s">
        <v>2739</v>
      </c>
    </row>
    <row r="946" spans="1:11">
      <c r="A946" s="27">
        <v>944</v>
      </c>
      <c r="B946" s="28" t="s">
        <v>2740</v>
      </c>
      <c r="C946" s="29" t="s">
        <v>3276</v>
      </c>
      <c r="D946" s="29" t="s">
        <v>59</v>
      </c>
      <c r="E946" s="32">
        <v>35766</v>
      </c>
      <c r="F946" s="74">
        <v>46147</v>
      </c>
      <c r="G946" s="30" t="s">
        <v>179</v>
      </c>
      <c r="H946" s="28" t="s">
        <v>36</v>
      </c>
      <c r="I946" s="28" t="s">
        <v>56</v>
      </c>
      <c r="J946" s="28" t="s">
        <v>4730</v>
      </c>
      <c r="K946" s="28" t="s">
        <v>2741</v>
      </c>
    </row>
    <row r="947" spans="1:11">
      <c r="A947" s="27">
        <v>945</v>
      </c>
      <c r="B947" s="28" t="s">
        <v>2742</v>
      </c>
      <c r="C947" s="29" t="s">
        <v>4437</v>
      </c>
      <c r="D947" s="29" t="s">
        <v>59</v>
      </c>
      <c r="E947" s="32">
        <v>34171</v>
      </c>
      <c r="F947" s="74">
        <v>46147</v>
      </c>
      <c r="G947" s="30" t="s">
        <v>24</v>
      </c>
      <c r="H947" s="28" t="s">
        <v>25</v>
      </c>
      <c r="I947" s="28" t="s">
        <v>56</v>
      </c>
      <c r="J947" s="28" t="s">
        <v>4922</v>
      </c>
      <c r="K947" s="28" t="s">
        <v>5818</v>
      </c>
    </row>
    <row r="948" spans="1:11">
      <c r="A948" s="27">
        <v>946</v>
      </c>
      <c r="B948" s="28" t="s">
        <v>2744</v>
      </c>
      <c r="C948" s="29" t="s">
        <v>3323</v>
      </c>
      <c r="D948" s="29" t="s">
        <v>17</v>
      </c>
      <c r="E948" s="32">
        <v>37197</v>
      </c>
      <c r="F948" s="74">
        <v>46147</v>
      </c>
      <c r="G948" s="30" t="s">
        <v>179</v>
      </c>
      <c r="H948" s="28" t="s">
        <v>36</v>
      </c>
      <c r="I948" s="28" t="s">
        <v>42</v>
      </c>
      <c r="J948" s="28" t="s">
        <v>5015</v>
      </c>
      <c r="K948" s="28" t="s">
        <v>2746</v>
      </c>
    </row>
    <row r="949" spans="1:11">
      <c r="A949" s="27">
        <v>947</v>
      </c>
      <c r="B949" s="28" t="s">
        <v>2747</v>
      </c>
      <c r="C949" s="29" t="s">
        <v>4438</v>
      </c>
      <c r="D949" s="29" t="s">
        <v>59</v>
      </c>
      <c r="E949" s="32">
        <v>33066</v>
      </c>
      <c r="F949" s="74">
        <v>46147</v>
      </c>
      <c r="G949" s="30" t="s">
        <v>179</v>
      </c>
      <c r="H949" s="28" t="s">
        <v>36</v>
      </c>
      <c r="I949" s="28" t="s">
        <v>56</v>
      </c>
      <c r="J949" s="28" t="s">
        <v>4559</v>
      </c>
      <c r="K949" s="28" t="s">
        <v>2749</v>
      </c>
    </row>
    <row r="950" spans="1:11">
      <c r="A950" s="27">
        <v>948</v>
      </c>
      <c r="B950" s="28" t="s">
        <v>2750</v>
      </c>
      <c r="C950" s="29" t="s">
        <v>4439</v>
      </c>
      <c r="D950" s="29" t="s">
        <v>59</v>
      </c>
      <c r="E950" s="32">
        <v>36864</v>
      </c>
      <c r="F950" s="74">
        <v>46147</v>
      </c>
      <c r="G950" s="30" t="s">
        <v>179</v>
      </c>
      <c r="H950" s="28" t="s">
        <v>36</v>
      </c>
      <c r="I950" s="28" t="s">
        <v>14</v>
      </c>
      <c r="J950" s="28" t="s">
        <v>5119</v>
      </c>
      <c r="K950" s="28" t="s">
        <v>2752</v>
      </c>
    </row>
    <row r="951" spans="1:11">
      <c r="A951" s="27">
        <v>949</v>
      </c>
      <c r="B951" s="28" t="s">
        <v>2753</v>
      </c>
      <c r="C951" s="29" t="s">
        <v>3536</v>
      </c>
      <c r="D951" s="29" t="s">
        <v>59</v>
      </c>
      <c r="E951" s="32">
        <v>32418</v>
      </c>
      <c r="F951" s="74">
        <v>46147</v>
      </c>
      <c r="G951" s="30" t="s">
        <v>54</v>
      </c>
      <c r="H951" s="28" t="s">
        <v>140</v>
      </c>
      <c r="I951" s="28" t="s">
        <v>42</v>
      </c>
      <c r="J951" s="28" t="s">
        <v>4878</v>
      </c>
      <c r="K951" s="28" t="s">
        <v>2755</v>
      </c>
    </row>
    <row r="952" spans="1:11">
      <c r="A952" s="27">
        <v>950</v>
      </c>
      <c r="B952" s="28" t="s">
        <v>2756</v>
      </c>
      <c r="C952" s="29" t="s">
        <v>3982</v>
      </c>
      <c r="D952" s="29" t="s">
        <v>59</v>
      </c>
      <c r="E952" s="32">
        <v>32967</v>
      </c>
      <c r="F952" s="74">
        <v>46147</v>
      </c>
      <c r="G952" s="30" t="s">
        <v>24</v>
      </c>
      <c r="H952" s="28" t="s">
        <v>25</v>
      </c>
      <c r="I952" s="28" t="s">
        <v>14</v>
      </c>
      <c r="J952" s="28" t="s">
        <v>5082</v>
      </c>
      <c r="K952" s="28" t="s">
        <v>2758</v>
      </c>
    </row>
    <row r="953" spans="1:11">
      <c r="A953" s="27">
        <v>951</v>
      </c>
      <c r="B953" s="28" t="s">
        <v>2759</v>
      </c>
      <c r="C953" s="29" t="s">
        <v>3651</v>
      </c>
      <c r="D953" s="29" t="s">
        <v>59</v>
      </c>
      <c r="E953" s="32">
        <v>31210</v>
      </c>
      <c r="F953" s="74">
        <v>46147</v>
      </c>
      <c r="G953" s="30" t="s">
        <v>179</v>
      </c>
      <c r="H953" s="28" t="s">
        <v>36</v>
      </c>
      <c r="I953" s="28" t="s">
        <v>56</v>
      </c>
      <c r="J953" s="28" t="s">
        <v>4761</v>
      </c>
      <c r="K953" s="28" t="s">
        <v>2761</v>
      </c>
    </row>
    <row r="954" spans="1:11">
      <c r="A954" s="27">
        <v>952</v>
      </c>
      <c r="B954" s="28" t="s">
        <v>2762</v>
      </c>
      <c r="C954" s="29" t="s">
        <v>3277</v>
      </c>
      <c r="D954" s="29" t="s">
        <v>59</v>
      </c>
      <c r="E954" s="32">
        <v>36483</v>
      </c>
      <c r="F954" s="74">
        <v>46147</v>
      </c>
      <c r="G954" s="30" t="s">
        <v>179</v>
      </c>
      <c r="H954" s="28" t="s">
        <v>36</v>
      </c>
      <c r="I954" s="28" t="s">
        <v>14</v>
      </c>
      <c r="J954" s="28" t="s">
        <v>4621</v>
      </c>
      <c r="K954" s="28" t="s">
        <v>2764</v>
      </c>
    </row>
    <row r="955" spans="1:11">
      <c r="A955" s="27">
        <v>953</v>
      </c>
      <c r="B955" s="28" t="s">
        <v>2765</v>
      </c>
      <c r="C955" s="29" t="s">
        <v>4440</v>
      </c>
      <c r="D955" s="29" t="s">
        <v>59</v>
      </c>
      <c r="E955" s="32">
        <v>34964</v>
      </c>
      <c r="F955" s="74">
        <v>46147</v>
      </c>
      <c r="G955" s="30" t="s">
        <v>24</v>
      </c>
      <c r="H955" s="28" t="s">
        <v>25</v>
      </c>
      <c r="I955" s="28" t="s">
        <v>56</v>
      </c>
      <c r="J955" s="28" t="s">
        <v>5248</v>
      </c>
      <c r="K955" s="28" t="s">
        <v>2767</v>
      </c>
    </row>
    <row r="956" spans="1:11">
      <c r="A956" s="27">
        <v>954</v>
      </c>
      <c r="B956" s="28" t="s">
        <v>2768</v>
      </c>
      <c r="C956" s="29" t="s">
        <v>4441</v>
      </c>
      <c r="D956" s="29" t="s">
        <v>59</v>
      </c>
      <c r="E956" s="32">
        <v>33234</v>
      </c>
      <c r="F956" s="74">
        <v>46147</v>
      </c>
      <c r="G956" s="30" t="s">
        <v>198</v>
      </c>
      <c r="H956" s="28" t="s">
        <v>20</v>
      </c>
      <c r="I956" s="28" t="s">
        <v>14</v>
      </c>
      <c r="J956" s="28" t="s">
        <v>4659</v>
      </c>
      <c r="K956" s="28" t="s">
        <v>2770</v>
      </c>
    </row>
    <row r="957" spans="1:11">
      <c r="A957" s="27">
        <v>955</v>
      </c>
      <c r="B957" s="28" t="s">
        <v>2771</v>
      </c>
      <c r="C957" s="29" t="s">
        <v>3429</v>
      </c>
      <c r="D957" s="29" t="s">
        <v>17</v>
      </c>
      <c r="E957" s="32">
        <v>36372</v>
      </c>
      <c r="F957" s="74">
        <v>46147</v>
      </c>
      <c r="G957" s="30" t="s">
        <v>179</v>
      </c>
      <c r="H957" s="28" t="s">
        <v>36</v>
      </c>
      <c r="I957" s="28" t="s">
        <v>56</v>
      </c>
      <c r="J957" s="28" t="s">
        <v>5002</v>
      </c>
      <c r="K957" s="28" t="s">
        <v>2773</v>
      </c>
    </row>
    <row r="958" spans="1:11">
      <c r="A958" s="27">
        <v>956</v>
      </c>
      <c r="B958" s="28" t="s">
        <v>2774</v>
      </c>
      <c r="C958" s="29" t="s">
        <v>3430</v>
      </c>
      <c r="D958" s="29" t="s">
        <v>17</v>
      </c>
      <c r="E958" s="32">
        <v>31916</v>
      </c>
      <c r="F958" s="74">
        <v>46147</v>
      </c>
      <c r="G958" s="30" t="s">
        <v>179</v>
      </c>
      <c r="H958" s="28" t="s">
        <v>36</v>
      </c>
      <c r="I958" s="28" t="s">
        <v>56</v>
      </c>
      <c r="J958" s="28" t="s">
        <v>4551</v>
      </c>
      <c r="K958" s="28" t="s">
        <v>5827</v>
      </c>
    </row>
    <row r="959" spans="1:11">
      <c r="A959" s="27">
        <v>957</v>
      </c>
      <c r="B959" s="28" t="s">
        <v>2776</v>
      </c>
      <c r="C959" s="29" t="s">
        <v>3537</v>
      </c>
      <c r="D959" s="29" t="s">
        <v>59</v>
      </c>
      <c r="E959" s="32">
        <v>34010</v>
      </c>
      <c r="F959" s="74">
        <v>46147</v>
      </c>
      <c r="G959" s="30" t="s">
        <v>179</v>
      </c>
      <c r="H959" s="28" t="s">
        <v>36</v>
      </c>
      <c r="I959" s="28" t="s">
        <v>56</v>
      </c>
      <c r="J959" s="28" t="s">
        <v>5128</v>
      </c>
      <c r="K959" s="28" t="s">
        <v>2777</v>
      </c>
    </row>
    <row r="960" spans="1:11">
      <c r="A960" s="27">
        <v>958</v>
      </c>
      <c r="B960" s="28" t="s">
        <v>2778</v>
      </c>
      <c r="C960" s="29" t="s">
        <v>4442</v>
      </c>
      <c r="D960" s="29" t="s">
        <v>59</v>
      </c>
      <c r="E960" s="32">
        <v>34230</v>
      </c>
      <c r="F960" s="74">
        <v>46147</v>
      </c>
      <c r="G960" s="30" t="s">
        <v>24</v>
      </c>
      <c r="H960" s="28" t="s">
        <v>25</v>
      </c>
      <c r="I960" s="28" t="s">
        <v>42</v>
      </c>
      <c r="J960" s="28" t="s">
        <v>5025</v>
      </c>
      <c r="K960" s="28" t="s">
        <v>2780</v>
      </c>
    </row>
    <row r="961" spans="1:11">
      <c r="A961" s="27">
        <v>959</v>
      </c>
      <c r="B961" s="28" t="s">
        <v>2781</v>
      </c>
      <c r="C961" s="29" t="s">
        <v>4443</v>
      </c>
      <c r="D961" s="29" t="s">
        <v>17</v>
      </c>
      <c r="E961" s="32">
        <v>32315</v>
      </c>
      <c r="F961" s="74">
        <v>46147</v>
      </c>
      <c r="G961" s="30" t="s">
        <v>85</v>
      </c>
      <c r="H961" s="28" t="s">
        <v>120</v>
      </c>
      <c r="I961" s="28" t="s">
        <v>56</v>
      </c>
      <c r="J961" s="28" t="s">
        <v>5184</v>
      </c>
      <c r="K961" s="28" t="s">
        <v>2783</v>
      </c>
    </row>
    <row r="962" spans="1:11">
      <c r="A962" s="27">
        <v>960</v>
      </c>
      <c r="B962" s="28" t="s">
        <v>2784</v>
      </c>
      <c r="C962" s="29" t="s">
        <v>4444</v>
      </c>
      <c r="D962" s="29" t="s">
        <v>17</v>
      </c>
      <c r="E962" s="32">
        <v>35253</v>
      </c>
      <c r="F962" s="74">
        <v>46147</v>
      </c>
      <c r="G962" s="30" t="s">
        <v>179</v>
      </c>
      <c r="H962" s="28" t="s">
        <v>36</v>
      </c>
      <c r="I962" s="28" t="s">
        <v>56</v>
      </c>
      <c r="J962" s="28" t="s">
        <v>4998</v>
      </c>
      <c r="K962" s="28" t="s">
        <v>2786</v>
      </c>
    </row>
    <row r="963" spans="1:11">
      <c r="A963" s="27">
        <v>961</v>
      </c>
      <c r="B963" s="28" t="s">
        <v>2787</v>
      </c>
      <c r="C963" s="29" t="s">
        <v>3574</v>
      </c>
      <c r="D963" s="29" t="s">
        <v>59</v>
      </c>
      <c r="E963" s="32">
        <v>35785</v>
      </c>
      <c r="F963" s="74">
        <v>46147</v>
      </c>
      <c r="G963" s="30" t="s">
        <v>179</v>
      </c>
      <c r="H963" s="28" t="s">
        <v>36</v>
      </c>
      <c r="I963" s="28" t="s">
        <v>42</v>
      </c>
      <c r="J963" s="28" t="s">
        <v>4535</v>
      </c>
      <c r="K963" s="28" t="s">
        <v>2789</v>
      </c>
    </row>
    <row r="964" spans="1:11">
      <c r="A964" s="27">
        <v>962</v>
      </c>
      <c r="B964" s="28" t="s">
        <v>2790</v>
      </c>
      <c r="C964" s="29" t="s">
        <v>3190</v>
      </c>
      <c r="D964" s="29" t="s">
        <v>59</v>
      </c>
      <c r="E964" s="32">
        <v>33369</v>
      </c>
      <c r="F964" s="74">
        <v>46147</v>
      </c>
      <c r="G964" s="30" t="s">
        <v>198</v>
      </c>
      <c r="H964" s="28" t="s">
        <v>20</v>
      </c>
      <c r="I964" s="28" t="s">
        <v>14</v>
      </c>
      <c r="J964" s="28" t="s">
        <v>4876</v>
      </c>
      <c r="K964" s="28" t="s">
        <v>2792</v>
      </c>
    </row>
    <row r="965" spans="1:11">
      <c r="A965" s="27">
        <v>963</v>
      </c>
      <c r="B965" s="28" t="s">
        <v>2793</v>
      </c>
      <c r="C965" s="29" t="s">
        <v>4445</v>
      </c>
      <c r="D965" s="29" t="s">
        <v>59</v>
      </c>
      <c r="E965" s="32">
        <v>35812</v>
      </c>
      <c r="F965" s="74">
        <v>46147</v>
      </c>
      <c r="G965" s="30" t="s">
        <v>24</v>
      </c>
      <c r="H965" s="28" t="s">
        <v>25</v>
      </c>
      <c r="I965" s="28" t="s">
        <v>42</v>
      </c>
      <c r="J965" s="28" t="s">
        <v>5264</v>
      </c>
      <c r="K965" s="28" t="s">
        <v>5776</v>
      </c>
    </row>
    <row r="966" spans="1:11">
      <c r="A966" s="27">
        <v>964</v>
      </c>
      <c r="B966" s="28" t="s">
        <v>2794</v>
      </c>
      <c r="C966" s="29" t="s">
        <v>4446</v>
      </c>
      <c r="D966" s="29" t="s">
        <v>59</v>
      </c>
      <c r="E966" s="32">
        <v>36300</v>
      </c>
      <c r="F966" s="74">
        <v>46147</v>
      </c>
      <c r="G966" s="30" t="s">
        <v>24</v>
      </c>
      <c r="H966" s="28" t="s">
        <v>25</v>
      </c>
      <c r="I966" s="28" t="s">
        <v>14</v>
      </c>
      <c r="J966" s="28" t="s">
        <v>5294</v>
      </c>
      <c r="K966" s="28" t="s">
        <v>2796</v>
      </c>
    </row>
    <row r="967" spans="1:11">
      <c r="A967" s="27">
        <v>965</v>
      </c>
      <c r="B967" s="28" t="s">
        <v>2797</v>
      </c>
      <c r="C967" s="29" t="s">
        <v>3538</v>
      </c>
      <c r="D967" s="29" t="s">
        <v>17</v>
      </c>
      <c r="E967" s="32">
        <v>35227</v>
      </c>
      <c r="F967" s="74">
        <v>46147</v>
      </c>
      <c r="G967" s="30" t="s">
        <v>179</v>
      </c>
      <c r="H967" s="28" t="s">
        <v>36</v>
      </c>
      <c r="I967" s="28" t="s">
        <v>14</v>
      </c>
      <c r="J967" s="28" t="s">
        <v>5095</v>
      </c>
      <c r="K967" s="28" t="s">
        <v>2798</v>
      </c>
    </row>
    <row r="968" spans="1:11">
      <c r="A968" s="27">
        <v>966</v>
      </c>
      <c r="B968" s="28" t="s">
        <v>2799</v>
      </c>
      <c r="C968" s="29" t="s">
        <v>3652</v>
      </c>
      <c r="D968" s="29" t="s">
        <v>59</v>
      </c>
      <c r="E968" s="32">
        <v>36225</v>
      </c>
      <c r="F968" s="74">
        <v>46147</v>
      </c>
      <c r="G968" s="30" t="s">
        <v>179</v>
      </c>
      <c r="H968" s="28" t="s">
        <v>36</v>
      </c>
      <c r="I968" s="28" t="s">
        <v>42</v>
      </c>
      <c r="J968" s="28" t="s">
        <v>4877</v>
      </c>
      <c r="K968" s="28" t="s">
        <v>2800</v>
      </c>
    </row>
    <row r="969" spans="1:11">
      <c r="A969" s="27">
        <v>967</v>
      </c>
      <c r="B969" s="28" t="s">
        <v>2801</v>
      </c>
      <c r="C969" s="29" t="s">
        <v>4447</v>
      </c>
      <c r="D969" s="29" t="s">
        <v>59</v>
      </c>
      <c r="E969" s="32">
        <v>37467</v>
      </c>
      <c r="F969" s="74">
        <v>46147</v>
      </c>
      <c r="G969" s="30" t="s">
        <v>24</v>
      </c>
      <c r="H969" s="28" t="s">
        <v>25</v>
      </c>
      <c r="I969" s="28" t="s">
        <v>56</v>
      </c>
      <c r="J969" s="28" t="s">
        <v>4533</v>
      </c>
      <c r="K969" s="28" t="s">
        <v>2803</v>
      </c>
    </row>
    <row r="970" spans="1:11">
      <c r="A970" s="27">
        <v>968</v>
      </c>
      <c r="B970" s="28" t="s">
        <v>2804</v>
      </c>
      <c r="C970" s="29" t="s">
        <v>3431</v>
      </c>
      <c r="D970" s="29" t="s">
        <v>17</v>
      </c>
      <c r="E970" s="32">
        <v>35502</v>
      </c>
      <c r="F970" s="74">
        <v>46147</v>
      </c>
      <c r="G970" s="30" t="s">
        <v>179</v>
      </c>
      <c r="H970" s="28" t="s">
        <v>36</v>
      </c>
      <c r="I970" s="28" t="s">
        <v>56</v>
      </c>
      <c r="J970" s="28" t="s">
        <v>5019</v>
      </c>
      <c r="K970" s="28" t="s">
        <v>2806</v>
      </c>
    </row>
    <row r="971" spans="1:11">
      <c r="A971" s="27">
        <v>969</v>
      </c>
      <c r="B971" s="28" t="s">
        <v>2807</v>
      </c>
      <c r="C971" s="29" t="s">
        <v>4448</v>
      </c>
      <c r="D971" s="29" t="s">
        <v>59</v>
      </c>
      <c r="E971" s="32">
        <v>37411</v>
      </c>
      <c r="F971" s="74">
        <v>46147</v>
      </c>
      <c r="G971" s="30" t="s">
        <v>179</v>
      </c>
      <c r="H971" s="28" t="s">
        <v>36</v>
      </c>
      <c r="I971" s="28" t="s">
        <v>14</v>
      </c>
      <c r="J971" s="28" t="s">
        <v>5022</v>
      </c>
      <c r="K971" s="28" t="s">
        <v>2809</v>
      </c>
    </row>
    <row r="972" spans="1:11">
      <c r="A972" s="27">
        <v>970</v>
      </c>
      <c r="B972" s="28" t="s">
        <v>2810</v>
      </c>
      <c r="C972" s="29" t="s">
        <v>3278</v>
      </c>
      <c r="D972" s="29" t="s">
        <v>59</v>
      </c>
      <c r="E972" s="32">
        <v>34426</v>
      </c>
      <c r="F972" s="74">
        <v>46147</v>
      </c>
      <c r="G972" s="30" t="s">
        <v>179</v>
      </c>
      <c r="H972" s="28" t="s">
        <v>36</v>
      </c>
      <c r="I972" s="28" t="s">
        <v>42</v>
      </c>
      <c r="J972" s="28" t="s">
        <v>5304</v>
      </c>
      <c r="K972" s="28" t="s">
        <v>5835</v>
      </c>
    </row>
    <row r="973" spans="1:11">
      <c r="A973" s="27">
        <v>971</v>
      </c>
      <c r="B973" s="28" t="s">
        <v>2812</v>
      </c>
      <c r="C973" s="29" t="s">
        <v>3279</v>
      </c>
      <c r="D973" s="29" t="s">
        <v>59</v>
      </c>
      <c r="E973" s="32">
        <v>31310</v>
      </c>
      <c r="F973" s="74">
        <v>46147</v>
      </c>
      <c r="G973" s="30" t="s">
        <v>179</v>
      </c>
      <c r="H973" s="28" t="s">
        <v>36</v>
      </c>
      <c r="I973" s="28" t="s">
        <v>14</v>
      </c>
      <c r="J973" s="28" t="s">
        <v>5069</v>
      </c>
      <c r="K973" s="28" t="s">
        <v>5775</v>
      </c>
    </row>
    <row r="974" spans="1:11">
      <c r="A974" s="27">
        <v>972</v>
      </c>
      <c r="B974" s="28" t="s">
        <v>2813</v>
      </c>
      <c r="C974" s="29" t="s">
        <v>4449</v>
      </c>
      <c r="D974" s="29" t="s">
        <v>59</v>
      </c>
      <c r="E974" s="32">
        <v>37769</v>
      </c>
      <c r="F974" s="74">
        <v>46147</v>
      </c>
      <c r="G974" s="30" t="s">
        <v>179</v>
      </c>
      <c r="H974" s="28" t="s">
        <v>36</v>
      </c>
      <c r="I974" s="28" t="s">
        <v>14</v>
      </c>
      <c r="J974" s="28" t="s">
        <v>5425</v>
      </c>
      <c r="K974" s="28" t="s">
        <v>2815</v>
      </c>
    </row>
    <row r="975" spans="1:11">
      <c r="A975" s="27">
        <v>973</v>
      </c>
      <c r="B975" s="28" t="s">
        <v>2816</v>
      </c>
      <c r="C975" s="29" t="s">
        <v>4450</v>
      </c>
      <c r="D975" s="29" t="s">
        <v>17</v>
      </c>
      <c r="E975" s="32">
        <v>33238</v>
      </c>
      <c r="F975" s="74">
        <v>46147</v>
      </c>
      <c r="G975" s="30" t="s">
        <v>85</v>
      </c>
      <c r="H975" s="28" t="s">
        <v>120</v>
      </c>
      <c r="I975" s="28" t="s">
        <v>42</v>
      </c>
      <c r="J975" s="28" t="s">
        <v>4862</v>
      </c>
      <c r="K975" s="28" t="s">
        <v>2818</v>
      </c>
    </row>
    <row r="976" spans="1:11">
      <c r="A976" s="27">
        <v>974</v>
      </c>
      <c r="B976" s="28" t="s">
        <v>2819</v>
      </c>
      <c r="C976" s="29" t="s">
        <v>4451</v>
      </c>
      <c r="D976" s="29" t="s">
        <v>17</v>
      </c>
      <c r="E976" s="32">
        <v>32345</v>
      </c>
      <c r="F976" s="74">
        <v>46147</v>
      </c>
      <c r="G976" s="30" t="s">
        <v>85</v>
      </c>
      <c r="H976" s="28" t="s">
        <v>120</v>
      </c>
      <c r="I976" s="28" t="s">
        <v>14</v>
      </c>
      <c r="J976" s="28" t="s">
        <v>4954</v>
      </c>
      <c r="K976" s="28" t="s">
        <v>2821</v>
      </c>
    </row>
    <row r="977" spans="1:11">
      <c r="A977" s="27">
        <v>975</v>
      </c>
      <c r="B977" s="28" t="s">
        <v>2822</v>
      </c>
      <c r="C977" s="29" t="s">
        <v>4452</v>
      </c>
      <c r="D977" s="29" t="s">
        <v>17</v>
      </c>
      <c r="E977" s="32">
        <v>36837</v>
      </c>
      <c r="F977" s="74">
        <v>46147</v>
      </c>
      <c r="G977" s="30" t="s">
        <v>40</v>
      </c>
      <c r="H977" s="28" t="s">
        <v>71</v>
      </c>
      <c r="I977" s="28" t="s">
        <v>42</v>
      </c>
      <c r="J977" s="28" t="s">
        <v>4501</v>
      </c>
      <c r="K977" s="28" t="s">
        <v>2824</v>
      </c>
    </row>
    <row r="978" spans="1:11">
      <c r="A978" s="27">
        <v>976</v>
      </c>
      <c r="B978" s="28" t="s">
        <v>2825</v>
      </c>
      <c r="C978" s="29" t="s">
        <v>3280</v>
      </c>
      <c r="D978" s="29" t="s">
        <v>17</v>
      </c>
      <c r="E978" s="32">
        <v>35887</v>
      </c>
      <c r="F978" s="74">
        <v>46147</v>
      </c>
      <c r="G978" s="30" t="s">
        <v>179</v>
      </c>
      <c r="H978" s="28" t="s">
        <v>36</v>
      </c>
      <c r="I978" s="28" t="s">
        <v>14</v>
      </c>
      <c r="J978" s="28" t="s">
        <v>4872</v>
      </c>
      <c r="K978" s="28" t="s">
        <v>2827</v>
      </c>
    </row>
    <row r="979" spans="1:11">
      <c r="A979" s="27">
        <v>977</v>
      </c>
      <c r="B979" s="28" t="s">
        <v>2828</v>
      </c>
      <c r="C979" s="29" t="s">
        <v>3653</v>
      </c>
      <c r="D979" s="29" t="s">
        <v>59</v>
      </c>
      <c r="E979" s="32">
        <v>31948</v>
      </c>
      <c r="F979" s="74">
        <v>46147</v>
      </c>
      <c r="G979" s="30" t="s">
        <v>179</v>
      </c>
      <c r="H979" s="28" t="s">
        <v>36</v>
      </c>
      <c r="I979" s="28" t="s">
        <v>56</v>
      </c>
      <c r="J979" s="28" t="s">
        <v>4953</v>
      </c>
      <c r="K979" s="28" t="s">
        <v>2830</v>
      </c>
    </row>
    <row r="980" spans="1:11">
      <c r="A980" s="27">
        <v>978</v>
      </c>
      <c r="B980" s="28" t="s">
        <v>2831</v>
      </c>
      <c r="C980" s="29" t="s">
        <v>4453</v>
      </c>
      <c r="D980" s="29" t="s">
        <v>59</v>
      </c>
      <c r="E980" s="32">
        <v>32359</v>
      </c>
      <c r="F980" s="74">
        <v>46147</v>
      </c>
      <c r="G980" s="30" t="s">
        <v>179</v>
      </c>
      <c r="H980" s="28" t="s">
        <v>36</v>
      </c>
      <c r="I980" s="28" t="s">
        <v>14</v>
      </c>
      <c r="J980" s="28" t="s">
        <v>4702</v>
      </c>
      <c r="K980" s="28" t="s">
        <v>2833</v>
      </c>
    </row>
    <row r="981" spans="1:11">
      <c r="A981" s="27">
        <v>979</v>
      </c>
      <c r="B981" s="28" t="s">
        <v>2834</v>
      </c>
      <c r="C981" s="29" t="s">
        <v>3654</v>
      </c>
      <c r="D981" s="29" t="s">
        <v>59</v>
      </c>
      <c r="E981" s="32">
        <v>32815</v>
      </c>
      <c r="F981" s="74">
        <v>46147</v>
      </c>
      <c r="G981" s="30" t="s">
        <v>179</v>
      </c>
      <c r="H981" s="28" t="s">
        <v>36</v>
      </c>
      <c r="I981" s="28" t="s">
        <v>42</v>
      </c>
      <c r="J981" s="28" t="s">
        <v>4599</v>
      </c>
      <c r="K981" s="28" t="s">
        <v>2836</v>
      </c>
    </row>
    <row r="982" spans="1:11">
      <c r="A982" s="27">
        <v>980</v>
      </c>
      <c r="B982" s="28" t="s">
        <v>2837</v>
      </c>
      <c r="C982" s="29" t="s">
        <v>3281</v>
      </c>
      <c r="D982" s="29" t="s">
        <v>59</v>
      </c>
      <c r="E982" s="32">
        <v>32745</v>
      </c>
      <c r="F982" s="74">
        <v>46147</v>
      </c>
      <c r="G982" s="30" t="s">
        <v>179</v>
      </c>
      <c r="H982" s="28" t="s">
        <v>36</v>
      </c>
      <c r="I982" s="28" t="s">
        <v>42</v>
      </c>
      <c r="J982" s="28" t="s">
        <v>5070</v>
      </c>
      <c r="K982" s="28" t="s">
        <v>2839</v>
      </c>
    </row>
    <row r="983" spans="1:11">
      <c r="A983" s="27">
        <v>981</v>
      </c>
      <c r="B983" s="28" t="s">
        <v>2840</v>
      </c>
      <c r="C983" s="29" t="s">
        <v>3577</v>
      </c>
      <c r="D983" s="29" t="s">
        <v>59</v>
      </c>
      <c r="E983" s="32">
        <v>35749</v>
      </c>
      <c r="F983" s="74">
        <v>46147</v>
      </c>
      <c r="G983" s="30" t="s">
        <v>179</v>
      </c>
      <c r="H983" s="28" t="s">
        <v>36</v>
      </c>
      <c r="I983" s="28" t="s">
        <v>56</v>
      </c>
      <c r="J983" s="28" t="s">
        <v>5383</v>
      </c>
      <c r="K983" s="28" t="s">
        <v>5949</v>
      </c>
    </row>
    <row r="984" spans="1:11">
      <c r="A984" s="27">
        <v>982</v>
      </c>
      <c r="B984" s="28" t="s">
        <v>2843</v>
      </c>
      <c r="C984" s="29" t="s">
        <v>4454</v>
      </c>
      <c r="D984" s="29" t="s">
        <v>59</v>
      </c>
      <c r="E984" s="32">
        <v>33366</v>
      </c>
      <c r="F984" s="74">
        <v>46147</v>
      </c>
      <c r="G984" s="30" t="s">
        <v>24</v>
      </c>
      <c r="H984" s="28" t="s">
        <v>25</v>
      </c>
      <c r="I984" s="28" t="s">
        <v>14</v>
      </c>
      <c r="J984" s="28" t="s">
        <v>4665</v>
      </c>
      <c r="K984" s="28" t="s">
        <v>2845</v>
      </c>
    </row>
    <row r="985" spans="1:11">
      <c r="A985" s="27">
        <v>983</v>
      </c>
      <c r="B985" s="28" t="s">
        <v>2846</v>
      </c>
      <c r="C985" s="29" t="s">
        <v>3191</v>
      </c>
      <c r="D985" s="29" t="s">
        <v>59</v>
      </c>
      <c r="E985" s="32">
        <v>31389</v>
      </c>
      <c r="F985" s="74">
        <v>46147</v>
      </c>
      <c r="G985" s="30" t="s">
        <v>198</v>
      </c>
      <c r="H985" s="28" t="s">
        <v>20</v>
      </c>
      <c r="I985" s="28" t="s">
        <v>42</v>
      </c>
      <c r="J985" s="28" t="s">
        <v>4841</v>
      </c>
      <c r="K985" s="28" t="s">
        <v>2847</v>
      </c>
    </row>
    <row r="986" spans="1:11">
      <c r="A986" s="27">
        <v>984</v>
      </c>
      <c r="B986" s="28" t="s">
        <v>2848</v>
      </c>
      <c r="C986" s="29" t="s">
        <v>3192</v>
      </c>
      <c r="D986" s="29" t="s">
        <v>59</v>
      </c>
      <c r="E986" s="32">
        <v>35984</v>
      </c>
      <c r="F986" s="74">
        <v>46147</v>
      </c>
      <c r="G986" s="30" t="s">
        <v>198</v>
      </c>
      <c r="H986" s="28" t="s">
        <v>20</v>
      </c>
      <c r="I986" s="28" t="s">
        <v>14</v>
      </c>
      <c r="J986" s="28" t="s">
        <v>5080</v>
      </c>
      <c r="K986" s="28" t="s">
        <v>2850</v>
      </c>
    </row>
    <row r="987" spans="1:11">
      <c r="A987" s="27">
        <v>985</v>
      </c>
      <c r="B987" s="28" t="s">
        <v>2851</v>
      </c>
      <c r="C987" s="29" t="s">
        <v>3539</v>
      </c>
      <c r="D987" s="29" t="s">
        <v>59</v>
      </c>
      <c r="E987" s="32">
        <v>35793</v>
      </c>
      <c r="F987" s="74">
        <v>46147</v>
      </c>
      <c r="G987" s="30" t="s">
        <v>54</v>
      </c>
      <c r="H987" s="28" t="s">
        <v>140</v>
      </c>
      <c r="I987" s="28" t="s">
        <v>42</v>
      </c>
      <c r="J987" s="28" t="s">
        <v>5162</v>
      </c>
      <c r="K987" s="28" t="s">
        <v>2853</v>
      </c>
    </row>
    <row r="988" spans="1:11">
      <c r="A988" s="27">
        <v>986</v>
      </c>
      <c r="B988" s="28" t="s">
        <v>2854</v>
      </c>
      <c r="C988" s="29" t="s">
        <v>3655</v>
      </c>
      <c r="D988" s="29" t="s">
        <v>59</v>
      </c>
      <c r="E988" s="32">
        <v>36064</v>
      </c>
      <c r="F988" s="74">
        <v>46147</v>
      </c>
      <c r="G988" s="30" t="s">
        <v>179</v>
      </c>
      <c r="H988" s="28" t="s">
        <v>36</v>
      </c>
      <c r="I988" s="28" t="s">
        <v>14</v>
      </c>
      <c r="J988" s="28" t="s">
        <v>4883</v>
      </c>
      <c r="K988" s="28" t="s">
        <v>2856</v>
      </c>
    </row>
    <row r="989" spans="1:11">
      <c r="A989" s="27">
        <v>987</v>
      </c>
      <c r="B989" s="28" t="s">
        <v>2857</v>
      </c>
      <c r="C989" s="29" t="s">
        <v>3432</v>
      </c>
      <c r="D989" s="29" t="s">
        <v>17</v>
      </c>
      <c r="E989" s="32">
        <v>37651</v>
      </c>
      <c r="F989" s="74">
        <v>46147</v>
      </c>
      <c r="G989" s="30" t="s">
        <v>179</v>
      </c>
      <c r="H989" s="28" t="s">
        <v>36</v>
      </c>
      <c r="I989" s="28" t="s">
        <v>14</v>
      </c>
      <c r="J989" s="28" t="s">
        <v>5008</v>
      </c>
      <c r="K989" s="28" t="s">
        <v>5862</v>
      </c>
    </row>
    <row r="990" spans="1:11">
      <c r="A990" s="27">
        <v>988</v>
      </c>
      <c r="B990" s="28" t="s">
        <v>2860</v>
      </c>
      <c r="C990" s="29" t="s">
        <v>4455</v>
      </c>
      <c r="D990" s="29" t="s">
        <v>17</v>
      </c>
      <c r="E990" s="32">
        <v>35066</v>
      </c>
      <c r="F990" s="74">
        <v>46147</v>
      </c>
      <c r="G990" s="30" t="s">
        <v>40</v>
      </c>
      <c r="H990" s="28" t="s">
        <v>71</v>
      </c>
      <c r="I990" s="28" t="s">
        <v>14</v>
      </c>
      <c r="J990" s="28" t="s">
        <v>4712</v>
      </c>
      <c r="K990" s="28" t="s">
        <v>2862</v>
      </c>
    </row>
    <row r="991" spans="1:11">
      <c r="A991" s="27">
        <v>989</v>
      </c>
      <c r="B991" s="28" t="s">
        <v>2863</v>
      </c>
      <c r="C991" s="29" t="s">
        <v>4456</v>
      </c>
      <c r="D991" s="29" t="s">
        <v>17</v>
      </c>
      <c r="E991" s="32">
        <v>37859</v>
      </c>
      <c r="F991" s="74">
        <v>46147</v>
      </c>
      <c r="G991" s="30" t="s">
        <v>85</v>
      </c>
      <c r="H991" s="28" t="s">
        <v>120</v>
      </c>
      <c r="I991" s="28" t="s">
        <v>42</v>
      </c>
      <c r="J991" s="28" t="s">
        <v>4635</v>
      </c>
      <c r="K991" s="28" t="s">
        <v>2865</v>
      </c>
    </row>
    <row r="992" spans="1:11">
      <c r="A992" s="27">
        <v>990</v>
      </c>
      <c r="B992" s="28" t="s">
        <v>2866</v>
      </c>
      <c r="C992" s="29" t="s">
        <v>4457</v>
      </c>
      <c r="D992" s="29" t="s">
        <v>17</v>
      </c>
      <c r="E992" s="32">
        <v>34532</v>
      </c>
      <c r="F992" s="74">
        <v>46147</v>
      </c>
      <c r="G992" s="30" t="s">
        <v>40</v>
      </c>
      <c r="H992" s="28" t="s">
        <v>71</v>
      </c>
      <c r="I992" s="28" t="s">
        <v>42</v>
      </c>
      <c r="J992" s="28" t="s">
        <v>5448</v>
      </c>
      <c r="K992" s="28" t="s">
        <v>5774</v>
      </c>
    </row>
    <row r="993" spans="1:11">
      <c r="A993" s="27">
        <v>991</v>
      </c>
      <c r="B993" s="28" t="s">
        <v>2868</v>
      </c>
      <c r="C993" s="29" t="s">
        <v>4458</v>
      </c>
      <c r="D993" s="29" t="s">
        <v>17</v>
      </c>
      <c r="E993" s="32">
        <v>37769</v>
      </c>
      <c r="F993" s="74">
        <v>46147</v>
      </c>
      <c r="G993" s="30" t="s">
        <v>40</v>
      </c>
      <c r="H993" s="28" t="s">
        <v>71</v>
      </c>
      <c r="I993" s="28" t="s">
        <v>14</v>
      </c>
      <c r="J993" s="28" t="s">
        <v>4714</v>
      </c>
      <c r="K993" s="28" t="s">
        <v>2869</v>
      </c>
    </row>
    <row r="994" spans="1:11">
      <c r="A994" s="27">
        <v>992</v>
      </c>
      <c r="B994" s="28" t="s">
        <v>2870</v>
      </c>
      <c r="C994" s="29" t="s">
        <v>4459</v>
      </c>
      <c r="D994" s="29" t="s">
        <v>59</v>
      </c>
      <c r="E994" s="32">
        <v>32254</v>
      </c>
      <c r="F994" s="74">
        <v>46147</v>
      </c>
      <c r="G994" s="30" t="s">
        <v>179</v>
      </c>
      <c r="H994" s="28" t="s">
        <v>36</v>
      </c>
      <c r="I994" s="28" t="s">
        <v>14</v>
      </c>
      <c r="J994" s="28" t="s">
        <v>5071</v>
      </c>
      <c r="K994" s="28" t="s">
        <v>2872</v>
      </c>
    </row>
    <row r="995" spans="1:11">
      <c r="A995" s="27">
        <v>993</v>
      </c>
      <c r="B995" s="28" t="s">
        <v>2873</v>
      </c>
      <c r="C995" s="29" t="s">
        <v>4460</v>
      </c>
      <c r="D995" s="29" t="s">
        <v>59</v>
      </c>
      <c r="E995" s="32">
        <v>37168</v>
      </c>
      <c r="F995" s="74">
        <v>46147</v>
      </c>
      <c r="G995" s="30" t="s">
        <v>179</v>
      </c>
      <c r="H995" s="28" t="s">
        <v>36</v>
      </c>
      <c r="I995" s="28" t="s">
        <v>14</v>
      </c>
      <c r="J995" s="28" t="s">
        <v>4648</v>
      </c>
      <c r="K995" s="28" t="s">
        <v>2875</v>
      </c>
    </row>
    <row r="996" spans="1:11">
      <c r="A996" s="27">
        <v>994</v>
      </c>
      <c r="B996" s="28" t="s">
        <v>2876</v>
      </c>
      <c r="C996" s="29" t="s">
        <v>3433</v>
      </c>
      <c r="D996" s="29" t="s">
        <v>17</v>
      </c>
      <c r="E996" s="32">
        <v>36648</v>
      </c>
      <c r="F996" s="74">
        <v>46147</v>
      </c>
      <c r="G996" s="30" t="s">
        <v>216</v>
      </c>
      <c r="H996" s="28" t="s">
        <v>217</v>
      </c>
      <c r="I996" s="28" t="s">
        <v>42</v>
      </c>
      <c r="J996" s="28" t="s">
        <v>4557</v>
      </c>
      <c r="K996" s="28" t="s">
        <v>5941</v>
      </c>
    </row>
    <row r="997" spans="1:11">
      <c r="A997" s="27">
        <v>995</v>
      </c>
      <c r="B997" s="28" t="s">
        <v>2879</v>
      </c>
      <c r="C997" s="29" t="s">
        <v>3540</v>
      </c>
      <c r="D997" s="29" t="s">
        <v>59</v>
      </c>
      <c r="E997" s="32">
        <v>37051</v>
      </c>
      <c r="F997" s="74">
        <v>46147</v>
      </c>
      <c r="G997" s="30" t="s">
        <v>54</v>
      </c>
      <c r="H997" s="28" t="s">
        <v>140</v>
      </c>
      <c r="I997" s="28" t="s">
        <v>42</v>
      </c>
      <c r="J997" s="28" t="s">
        <v>5380</v>
      </c>
      <c r="K997" s="28" t="s">
        <v>5868</v>
      </c>
    </row>
    <row r="998" spans="1:11">
      <c r="A998" s="27">
        <v>996</v>
      </c>
      <c r="B998" s="28" t="s">
        <v>2882</v>
      </c>
      <c r="C998" s="29" t="s">
        <v>4461</v>
      </c>
      <c r="D998" s="29" t="s">
        <v>59</v>
      </c>
      <c r="E998" s="32">
        <v>36756</v>
      </c>
      <c r="F998" s="74">
        <v>46147</v>
      </c>
      <c r="G998" s="30" t="s">
        <v>179</v>
      </c>
      <c r="H998" s="28" t="s">
        <v>36</v>
      </c>
      <c r="I998" s="28" t="s">
        <v>14</v>
      </c>
      <c r="J998" s="28" t="s">
        <v>4544</v>
      </c>
      <c r="K998" s="28" t="s">
        <v>2884</v>
      </c>
    </row>
    <row r="999" spans="1:11">
      <c r="A999" s="27">
        <v>997</v>
      </c>
      <c r="B999" s="28" t="s">
        <v>2885</v>
      </c>
      <c r="C999" s="29" t="s">
        <v>3193</v>
      </c>
      <c r="D999" s="29" t="s">
        <v>59</v>
      </c>
      <c r="E999" s="32">
        <v>31980</v>
      </c>
      <c r="F999" s="74">
        <v>46147</v>
      </c>
      <c r="G999" s="30" t="s">
        <v>198</v>
      </c>
      <c r="H999" s="28" t="s">
        <v>20</v>
      </c>
      <c r="I999" s="28" t="s">
        <v>42</v>
      </c>
      <c r="J999" s="28" t="s">
        <v>4936</v>
      </c>
      <c r="K999" s="28" t="s">
        <v>2887</v>
      </c>
    </row>
    <row r="1000" spans="1:11">
      <c r="A1000" s="27">
        <v>998</v>
      </c>
      <c r="B1000" s="28" t="s">
        <v>2888</v>
      </c>
      <c r="C1000" s="29" t="s">
        <v>3434</v>
      </c>
      <c r="D1000" s="29" t="s">
        <v>17</v>
      </c>
      <c r="E1000" s="32">
        <v>34844</v>
      </c>
      <c r="F1000" s="74">
        <v>46147</v>
      </c>
      <c r="G1000" s="30" t="s">
        <v>179</v>
      </c>
      <c r="H1000" s="28" t="s">
        <v>36</v>
      </c>
      <c r="I1000" s="28" t="s">
        <v>56</v>
      </c>
      <c r="J1000" s="28" t="s">
        <v>4827</v>
      </c>
      <c r="K1000" s="28" t="s">
        <v>2890</v>
      </c>
    </row>
    <row r="1001" spans="1:11">
      <c r="A1001" s="27">
        <v>999</v>
      </c>
      <c r="B1001" s="28" t="s">
        <v>2891</v>
      </c>
      <c r="C1001" s="29" t="s">
        <v>3282</v>
      </c>
      <c r="D1001" s="29" t="s">
        <v>59</v>
      </c>
      <c r="E1001" s="32">
        <v>35796</v>
      </c>
      <c r="F1001" s="74">
        <v>46147</v>
      </c>
      <c r="G1001" s="30" t="s">
        <v>179</v>
      </c>
      <c r="H1001" s="28" t="s">
        <v>36</v>
      </c>
      <c r="I1001" s="28" t="s">
        <v>42</v>
      </c>
      <c r="J1001" s="28" t="s">
        <v>4823</v>
      </c>
      <c r="K1001" s="28" t="s">
        <v>2892</v>
      </c>
    </row>
    <row r="1002" spans="1:11">
      <c r="A1002" s="27">
        <v>1000</v>
      </c>
      <c r="B1002" s="28" t="s">
        <v>2893</v>
      </c>
      <c r="C1002" s="29" t="s">
        <v>4462</v>
      </c>
      <c r="D1002" s="29" t="s">
        <v>17</v>
      </c>
      <c r="E1002" s="32">
        <v>32340</v>
      </c>
      <c r="F1002" s="74">
        <v>46147</v>
      </c>
      <c r="G1002" s="30" t="s">
        <v>85</v>
      </c>
      <c r="H1002" s="28" t="s">
        <v>120</v>
      </c>
      <c r="I1002" s="28" t="s">
        <v>14</v>
      </c>
      <c r="J1002" s="28" t="s">
        <v>4498</v>
      </c>
      <c r="K1002" s="28" t="s">
        <v>2895</v>
      </c>
    </row>
  </sheetData>
  <mergeCells count="1">
    <mergeCell ref="A1:K1"/>
  </mergeCells>
  <hyperlinks>
    <hyperlink ref="J352"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theme="3" tint="0.39997558519241921"/>
  </sheetPr>
  <dimension ref="A1:AK61"/>
  <sheetViews>
    <sheetView workbookViewId="0">
      <selection activeCell="F17" sqref="F17"/>
    </sheetView>
  </sheetViews>
  <sheetFormatPr defaultRowHeight="15.75"/>
  <cols>
    <col min="1" max="1" width="9.140625" style="1"/>
    <col min="2" max="2" width="12.42578125" style="2" bestFit="1" customWidth="1"/>
    <col min="3" max="3" width="37.42578125" style="2" bestFit="1" customWidth="1"/>
    <col min="4" max="4" width="8.7109375" style="2" customWidth="1"/>
    <col min="5" max="5" width="13.140625" style="2" bestFit="1" customWidth="1"/>
    <col min="6" max="6" width="20.7109375" style="2" customWidth="1"/>
    <col min="7" max="7" width="16.28515625" style="2" customWidth="1"/>
    <col min="8" max="8" width="52.5703125" style="1" bestFit="1" customWidth="1"/>
    <col min="9" max="9" width="11.28515625" style="1" customWidth="1"/>
    <col min="10" max="10" width="20.42578125" style="1" customWidth="1"/>
    <col min="11" max="11" width="11.28515625" style="1" customWidth="1"/>
    <col min="12" max="12" width="25.85546875" style="1" customWidth="1"/>
    <col min="13" max="13" width="26.85546875" style="1" customWidth="1"/>
    <col min="14" max="14" width="23.85546875" style="1" customWidth="1"/>
    <col min="15" max="15" width="21.85546875" style="1" customWidth="1"/>
    <col min="16" max="16" width="11" style="1" customWidth="1"/>
    <col min="17" max="17" width="7.42578125" style="1" customWidth="1"/>
    <col min="18" max="18" width="10.42578125" style="1" customWidth="1"/>
    <col min="19" max="19" width="11" style="1" customWidth="1"/>
    <col min="20" max="20" width="8" style="1" customWidth="1"/>
    <col min="21" max="21" width="11" style="1" customWidth="1"/>
    <col min="22" max="22" width="7.42578125" style="1" customWidth="1"/>
    <col min="23" max="23" width="10.42578125" style="1" bestFit="1" customWidth="1"/>
    <col min="24" max="24" width="10.42578125" style="1" customWidth="1"/>
    <col min="25" max="25" width="18.85546875" style="1" customWidth="1"/>
    <col min="26" max="26" width="11" style="1" customWidth="1"/>
    <col min="27" max="27" width="7.42578125" style="1" customWidth="1"/>
    <col min="28" max="28" width="10.42578125" style="1" bestFit="1" customWidth="1"/>
    <col min="29" max="29" width="11" style="1" bestFit="1" customWidth="1"/>
    <col min="30" max="30" width="8" style="1" customWidth="1"/>
    <col min="31" max="31" width="11" style="1" bestFit="1" customWidth="1"/>
    <col min="32" max="32" width="7.42578125" style="1" customWidth="1"/>
    <col min="33" max="34" width="10.42578125" style="1" bestFit="1" customWidth="1"/>
    <col min="35" max="35" width="29.140625" style="1" bestFit="1" customWidth="1"/>
    <col min="36" max="36" width="26.85546875" style="1" bestFit="1" customWidth="1"/>
    <col min="37" max="37" width="23.85546875" style="1" bestFit="1" customWidth="1"/>
    <col min="38" max="16384" width="9.140625" style="1"/>
  </cols>
  <sheetData>
    <row r="1" spans="1:12">
      <c r="A1" s="95" t="s">
        <v>2914</v>
      </c>
      <c r="B1" s="95"/>
      <c r="C1" s="95"/>
      <c r="D1" s="95"/>
      <c r="E1" s="95"/>
      <c r="F1" s="95"/>
      <c r="G1" s="95"/>
      <c r="H1" s="96"/>
      <c r="J1"/>
      <c r="K1"/>
    </row>
    <row r="2" spans="1:12" s="25" customFormat="1">
      <c r="A2" s="8" t="s">
        <v>2933</v>
      </c>
      <c r="B2" s="20" t="s">
        <v>2896</v>
      </c>
      <c r="C2" s="20" t="s">
        <v>2897</v>
      </c>
      <c r="D2" s="20" t="s">
        <v>2930</v>
      </c>
      <c r="E2" s="20" t="s">
        <v>5952</v>
      </c>
      <c r="F2" s="20" t="s">
        <v>2931</v>
      </c>
      <c r="G2" s="20" t="s">
        <v>7</v>
      </c>
      <c r="H2" s="20" t="s">
        <v>6093</v>
      </c>
      <c r="J2"/>
      <c r="K2"/>
    </row>
    <row r="3" spans="1:12">
      <c r="A3" s="19">
        <v>1</v>
      </c>
      <c r="B3" s="13" t="s">
        <v>0</v>
      </c>
      <c r="C3" s="13" t="s">
        <v>2898</v>
      </c>
      <c r="D3" s="19">
        <f>COUNTIF('Working Copy &amp; Validation Check'!$M$3:$M$1002,"Ok")</f>
        <v>1000</v>
      </c>
      <c r="E3" s="19">
        <f>COUNTIF('Working Copy &amp; Validation Check'!$M$3:$M$1002,"Duplicate")</f>
        <v>0</v>
      </c>
      <c r="F3" s="19">
        <f t="shared" ref="F3:F12" si="0">+D3+E3</f>
        <v>1000</v>
      </c>
      <c r="G3" s="13" t="s">
        <v>2899</v>
      </c>
      <c r="H3" s="14" t="s">
        <v>3966</v>
      </c>
      <c r="J3"/>
      <c r="K3"/>
    </row>
    <row r="4" spans="1:12">
      <c r="A4" s="19">
        <v>2</v>
      </c>
      <c r="B4" s="13" t="s">
        <v>1</v>
      </c>
      <c r="C4" s="13" t="s">
        <v>2900</v>
      </c>
      <c r="D4" s="19">
        <f>COUNTIF('Working Copy &amp; Validation Check'!$N$3:$N$1002,"TRUE")</f>
        <v>502</v>
      </c>
      <c r="E4" s="19">
        <f>COUNTIF('Working Copy &amp; Validation Check'!$N$3:$N$1002,"FALSE")</f>
        <v>498</v>
      </c>
      <c r="F4" s="19">
        <f t="shared" si="0"/>
        <v>1000</v>
      </c>
      <c r="G4" s="13" t="s">
        <v>2899</v>
      </c>
      <c r="H4" s="14" t="s">
        <v>3967</v>
      </c>
      <c r="J4"/>
    </row>
    <row r="5" spans="1:12">
      <c r="A5" s="19">
        <v>3</v>
      </c>
      <c r="B5" s="13" t="s">
        <v>2</v>
      </c>
      <c r="C5" s="13" t="s">
        <v>2901</v>
      </c>
      <c r="D5" s="19">
        <f>COUNTIF('Working Copy &amp; Validation Check'!$O$3:$O$1002,"TRUE")</f>
        <v>472</v>
      </c>
      <c r="E5" s="19">
        <f>COUNTIF('Working Copy &amp; Validation Check'!$O$3:$O$1002,"FALSE")</f>
        <v>528</v>
      </c>
      <c r="F5" s="19">
        <f t="shared" si="0"/>
        <v>1000</v>
      </c>
      <c r="G5" s="13" t="s">
        <v>2899</v>
      </c>
      <c r="H5" s="26" t="s">
        <v>3968</v>
      </c>
      <c r="J5"/>
    </row>
    <row r="6" spans="1:12">
      <c r="A6" s="19">
        <v>4</v>
      </c>
      <c r="B6" s="13" t="s">
        <v>3</v>
      </c>
      <c r="C6" s="13" t="s">
        <v>2905</v>
      </c>
      <c r="D6" s="19">
        <f>COUNTIFS('Working Copy &amp; Validation Check'!$P$3:$P$1002,"TRUE")</f>
        <v>0</v>
      </c>
      <c r="E6" s="19">
        <v>1000</v>
      </c>
      <c r="F6" s="19">
        <f t="shared" si="0"/>
        <v>1000</v>
      </c>
      <c r="G6" s="13" t="s">
        <v>2899</v>
      </c>
      <c r="H6" s="26" t="s">
        <v>2932</v>
      </c>
      <c r="J6"/>
    </row>
    <row r="7" spans="1:12">
      <c r="A7" s="19">
        <v>5</v>
      </c>
      <c r="B7" s="13" t="s">
        <v>4</v>
      </c>
      <c r="C7" s="13" t="s">
        <v>2905</v>
      </c>
      <c r="D7" s="19">
        <f>COUNTIF('Working Copy &amp; Validation Check'!$Q$3:$Q$1002,TRUE)</f>
        <v>0</v>
      </c>
      <c r="E7" s="19">
        <v>1000</v>
      </c>
      <c r="F7" s="19">
        <f t="shared" si="0"/>
        <v>1000</v>
      </c>
      <c r="G7" s="13" t="s">
        <v>2899</v>
      </c>
      <c r="H7" s="26" t="s">
        <v>3969</v>
      </c>
      <c r="J7"/>
    </row>
    <row r="8" spans="1:12">
      <c r="A8" s="19">
        <v>6</v>
      </c>
      <c r="B8" s="13" t="s">
        <v>5</v>
      </c>
      <c r="C8" s="13" t="s">
        <v>2900</v>
      </c>
      <c r="D8" s="19">
        <f>COUNTIF('Working Copy &amp; Validation Check'!$R$3:$R$1002,"TRUE")</f>
        <v>476</v>
      </c>
      <c r="E8" s="19">
        <f>COUNTIF('Working Copy &amp; Validation Check'!$R$3:$R$1002,"FALSE")</f>
        <v>524</v>
      </c>
      <c r="F8" s="19">
        <f t="shared" si="0"/>
        <v>1000</v>
      </c>
      <c r="G8" s="13" t="s">
        <v>2899</v>
      </c>
      <c r="H8" s="26" t="s">
        <v>2927</v>
      </c>
      <c r="J8"/>
    </row>
    <row r="9" spans="1:12">
      <c r="A9" s="19">
        <v>7</v>
      </c>
      <c r="B9" s="13" t="s">
        <v>6</v>
      </c>
      <c r="C9" s="13" t="s">
        <v>2900</v>
      </c>
      <c r="D9" s="19">
        <f>COUNTIF('Working Copy &amp; Validation Check'!$S$3:$S$1002,"TRUE")</f>
        <v>265</v>
      </c>
      <c r="E9" s="19">
        <f>COUNTIF('Working Copy &amp; Validation Check'!$S$3:$S$1002,"FALSE")</f>
        <v>735</v>
      </c>
      <c r="F9" s="19">
        <f t="shared" si="0"/>
        <v>1000</v>
      </c>
      <c r="G9" s="13" t="s">
        <v>2899</v>
      </c>
      <c r="H9" s="26" t="s">
        <v>2928</v>
      </c>
      <c r="J9"/>
    </row>
    <row r="10" spans="1:12">
      <c r="A10" s="19">
        <v>8</v>
      </c>
      <c r="B10" s="13" t="s">
        <v>7</v>
      </c>
      <c r="C10" s="13" t="s">
        <v>2900</v>
      </c>
      <c r="D10" s="19">
        <f>COUNTIF('Working Copy &amp; Validation Check'!$T$3:$T$1002,"TRUE")</f>
        <v>400</v>
      </c>
      <c r="E10" s="19">
        <f>COUNTIF('Working Copy &amp; Validation Check'!$T$3:$T$1002,"FALSE")</f>
        <v>600</v>
      </c>
      <c r="F10" s="19">
        <f t="shared" si="0"/>
        <v>1000</v>
      </c>
      <c r="G10" s="13" t="s">
        <v>2899</v>
      </c>
      <c r="H10" s="26" t="s">
        <v>3970</v>
      </c>
      <c r="J10"/>
    </row>
    <row r="11" spans="1:12">
      <c r="A11" s="19">
        <v>9</v>
      </c>
      <c r="B11" s="13" t="s">
        <v>8</v>
      </c>
      <c r="C11" s="13" t="s">
        <v>2903</v>
      </c>
      <c r="D11" s="19">
        <v>681</v>
      </c>
      <c r="E11" s="19">
        <v>319</v>
      </c>
      <c r="F11" s="19">
        <f t="shared" si="0"/>
        <v>1000</v>
      </c>
      <c r="G11" s="13" t="s">
        <v>2899</v>
      </c>
      <c r="H11" s="26" t="s">
        <v>3971</v>
      </c>
      <c r="J11"/>
    </row>
    <row r="12" spans="1:12">
      <c r="A12" s="19">
        <v>10</v>
      </c>
      <c r="B12" s="13" t="s">
        <v>9</v>
      </c>
      <c r="C12" s="13" t="s">
        <v>2904</v>
      </c>
      <c r="D12" s="19">
        <v>819</v>
      </c>
      <c r="E12" s="19">
        <v>181</v>
      </c>
      <c r="F12" s="19">
        <f t="shared" si="0"/>
        <v>1000</v>
      </c>
      <c r="G12" s="13" t="s">
        <v>2899</v>
      </c>
      <c r="H12" s="26" t="s">
        <v>3972</v>
      </c>
      <c r="J12"/>
    </row>
    <row r="13" spans="1:12">
      <c r="J13"/>
    </row>
    <row r="14" spans="1:12">
      <c r="F14"/>
      <c r="G14"/>
      <c r="J14"/>
    </row>
    <row r="15" spans="1:12">
      <c r="A15" s="95" t="s">
        <v>2906</v>
      </c>
      <c r="B15" s="95"/>
      <c r="C15" s="96"/>
      <c r="F15"/>
      <c r="G15"/>
      <c r="J15"/>
    </row>
    <row r="16" spans="1:12" s="24" customFormat="1">
      <c r="A16" s="19" t="s">
        <v>2933</v>
      </c>
      <c r="B16" s="20" t="s">
        <v>2907</v>
      </c>
      <c r="C16" s="20" t="s">
        <v>2908</v>
      </c>
      <c r="J16"/>
      <c r="K16"/>
      <c r="L16"/>
    </row>
    <row r="17" spans="1:37">
      <c r="A17" s="8">
        <v>1</v>
      </c>
      <c r="B17" s="35" t="s">
        <v>0</v>
      </c>
      <c r="C17" s="35" t="s">
        <v>2898</v>
      </c>
      <c r="J17"/>
      <c r="K17"/>
      <c r="L17"/>
    </row>
    <row r="18" spans="1:37">
      <c r="A18" s="8">
        <v>2</v>
      </c>
      <c r="B18" s="35" t="s">
        <v>1</v>
      </c>
      <c r="C18" s="35" t="s">
        <v>2900</v>
      </c>
      <c r="D18" s="16"/>
      <c r="E18" s="16"/>
      <c r="J18"/>
      <c r="K18"/>
      <c r="L18"/>
    </row>
    <row r="19" spans="1:37">
      <c r="A19" s="8">
        <v>3</v>
      </c>
      <c r="B19" s="35" t="s">
        <v>2</v>
      </c>
      <c r="C19" s="35" t="s">
        <v>2909</v>
      </c>
      <c r="D19" s="17"/>
      <c r="F19"/>
      <c r="G19"/>
      <c r="H19"/>
      <c r="I19"/>
      <c r="J19"/>
      <c r="K19"/>
      <c r="L19"/>
    </row>
    <row r="20" spans="1:37">
      <c r="A20" s="8">
        <v>4</v>
      </c>
      <c r="B20" s="35" t="s">
        <v>2913</v>
      </c>
      <c r="C20" s="35" t="s">
        <v>2912</v>
      </c>
      <c r="D20" s="18"/>
      <c r="F20"/>
      <c r="G20"/>
      <c r="H20"/>
      <c r="I20"/>
      <c r="J20"/>
      <c r="K20"/>
      <c r="L20"/>
    </row>
    <row r="21" spans="1:37">
      <c r="A21" s="8">
        <v>5</v>
      </c>
      <c r="B21" s="35" t="s">
        <v>4</v>
      </c>
      <c r="C21" s="35" t="s">
        <v>2912</v>
      </c>
      <c r="D21" s="16"/>
      <c r="F21"/>
      <c r="G21"/>
      <c r="H21"/>
      <c r="I21"/>
      <c r="J21"/>
      <c r="K21"/>
      <c r="L21"/>
      <c r="M21"/>
      <c r="N21"/>
      <c r="O21"/>
      <c r="P21"/>
      <c r="Q21"/>
      <c r="R21"/>
      <c r="S21"/>
      <c r="T21"/>
      <c r="U21"/>
      <c r="V21"/>
      <c r="W21"/>
      <c r="X21"/>
      <c r="Y21"/>
      <c r="Z21"/>
      <c r="AA21"/>
      <c r="AB21"/>
      <c r="AC21"/>
      <c r="AD21"/>
      <c r="AE21"/>
      <c r="AF21"/>
      <c r="AG21"/>
      <c r="AH21"/>
      <c r="AI21"/>
      <c r="AJ21"/>
      <c r="AK21"/>
    </row>
    <row r="22" spans="1:37" ht="47.25">
      <c r="A22" s="8">
        <v>6</v>
      </c>
      <c r="B22" s="35" t="s">
        <v>5</v>
      </c>
      <c r="C22" s="34" t="s">
        <v>4463</v>
      </c>
      <c r="F22"/>
      <c r="G22"/>
      <c r="H22"/>
      <c r="I22"/>
      <c r="J22"/>
      <c r="K22"/>
      <c r="L22"/>
      <c r="M22"/>
      <c r="N22"/>
      <c r="O22"/>
      <c r="P22"/>
      <c r="Q22"/>
      <c r="R22"/>
      <c r="S22"/>
      <c r="T22"/>
      <c r="U22"/>
      <c r="V22"/>
      <c r="W22"/>
      <c r="X22"/>
      <c r="Y22"/>
      <c r="Z22"/>
      <c r="AA22"/>
      <c r="AB22"/>
      <c r="AC22"/>
      <c r="AD22"/>
      <c r="AE22"/>
      <c r="AF22"/>
      <c r="AG22"/>
      <c r="AH22"/>
      <c r="AI22"/>
      <c r="AJ22"/>
      <c r="AK22"/>
    </row>
    <row r="23" spans="1:37">
      <c r="A23" s="8">
        <v>7</v>
      </c>
      <c r="B23" s="35" t="s">
        <v>6</v>
      </c>
      <c r="C23" s="35" t="s">
        <v>2902</v>
      </c>
      <c r="F23"/>
      <c r="G23"/>
      <c r="H23"/>
      <c r="I23"/>
      <c r="J23"/>
      <c r="K23"/>
      <c r="L23"/>
      <c r="M23"/>
      <c r="N23"/>
      <c r="O23"/>
      <c r="P23"/>
      <c r="Q23"/>
      <c r="R23"/>
      <c r="S23"/>
      <c r="T23"/>
      <c r="U23"/>
      <c r="V23"/>
      <c r="W23"/>
      <c r="X23"/>
      <c r="Y23"/>
      <c r="Z23"/>
      <c r="AA23"/>
      <c r="AB23"/>
      <c r="AC23"/>
      <c r="AD23"/>
      <c r="AE23"/>
      <c r="AF23"/>
      <c r="AG23"/>
      <c r="AH23"/>
      <c r="AI23"/>
      <c r="AJ23"/>
      <c r="AK23"/>
    </row>
    <row r="24" spans="1:37">
      <c r="A24" s="8">
        <v>8</v>
      </c>
      <c r="B24" s="35" t="s">
        <v>7</v>
      </c>
      <c r="C24" s="35" t="s">
        <v>2910</v>
      </c>
      <c r="F24"/>
      <c r="G24"/>
      <c r="H24"/>
      <c r="I24"/>
      <c r="J24"/>
      <c r="K24"/>
      <c r="L24"/>
      <c r="M24"/>
      <c r="N24"/>
      <c r="O24"/>
      <c r="P24"/>
      <c r="Q24"/>
      <c r="R24"/>
      <c r="S24"/>
      <c r="T24"/>
      <c r="U24"/>
      <c r="V24"/>
      <c r="W24"/>
      <c r="X24"/>
      <c r="Y24"/>
      <c r="Z24"/>
      <c r="AA24"/>
      <c r="AB24"/>
      <c r="AC24"/>
      <c r="AD24"/>
      <c r="AE24"/>
      <c r="AF24"/>
      <c r="AG24"/>
      <c r="AH24"/>
      <c r="AI24"/>
      <c r="AJ24"/>
      <c r="AK24"/>
    </row>
    <row r="25" spans="1:37">
      <c r="A25" s="8">
        <v>9</v>
      </c>
      <c r="B25" s="35" t="s">
        <v>8</v>
      </c>
      <c r="C25" s="35" t="s">
        <v>2929</v>
      </c>
      <c r="E25"/>
      <c r="F25"/>
      <c r="G25"/>
      <c r="H25"/>
      <c r="I25"/>
      <c r="J25"/>
      <c r="K25"/>
      <c r="L25"/>
      <c r="M25"/>
      <c r="N25"/>
      <c r="O25"/>
      <c r="P25"/>
      <c r="Q25"/>
      <c r="R25"/>
      <c r="S25"/>
      <c r="T25"/>
      <c r="U25"/>
      <c r="V25"/>
      <c r="W25"/>
      <c r="X25"/>
      <c r="Y25"/>
      <c r="Z25"/>
      <c r="AA25"/>
      <c r="AB25"/>
      <c r="AC25"/>
      <c r="AD25"/>
      <c r="AE25"/>
      <c r="AF25"/>
      <c r="AG25"/>
      <c r="AH25"/>
      <c r="AI25"/>
      <c r="AJ25"/>
      <c r="AK25"/>
    </row>
    <row r="26" spans="1:37">
      <c r="A26" s="8">
        <v>10</v>
      </c>
      <c r="B26" s="35" t="s">
        <v>9</v>
      </c>
      <c r="C26" s="35" t="s">
        <v>2911</v>
      </c>
      <c r="D26" s="15"/>
      <c r="E26"/>
      <c r="F26"/>
      <c r="G26"/>
      <c r="H26"/>
      <c r="J26"/>
      <c r="K26"/>
      <c r="L26"/>
      <c r="M26"/>
      <c r="N26"/>
      <c r="O26"/>
      <c r="P26"/>
      <c r="Q26"/>
      <c r="R26"/>
      <c r="S26"/>
      <c r="T26"/>
      <c r="U26"/>
      <c r="V26"/>
      <c r="W26"/>
      <c r="X26"/>
      <c r="Y26"/>
      <c r="Z26"/>
      <c r="AA26"/>
      <c r="AB26"/>
      <c r="AC26"/>
      <c r="AD26"/>
      <c r="AE26"/>
      <c r="AF26"/>
      <c r="AG26"/>
      <c r="AH26"/>
      <c r="AI26"/>
      <c r="AJ26"/>
      <c r="AK26"/>
    </row>
    <row r="27" spans="1:37">
      <c r="D27" s="15"/>
      <c r="E27"/>
      <c r="F27"/>
      <c r="G27"/>
      <c r="H27"/>
      <c r="J27"/>
      <c r="K27"/>
      <c r="L27"/>
      <c r="M27"/>
      <c r="N27"/>
    </row>
    <row r="28" spans="1:37">
      <c r="D28" s="15"/>
      <c r="E28"/>
      <c r="F28"/>
      <c r="G28"/>
      <c r="H28"/>
      <c r="J28"/>
      <c r="K28"/>
      <c r="L28"/>
      <c r="M28"/>
      <c r="N28"/>
    </row>
    <row r="29" spans="1:37">
      <c r="D29" s="15"/>
      <c r="E29"/>
      <c r="F29"/>
      <c r="G29"/>
      <c r="H29"/>
    </row>
    <row r="30" spans="1:37">
      <c r="D30" s="15"/>
      <c r="E30" s="4"/>
      <c r="F30"/>
      <c r="G30"/>
      <c r="H30"/>
    </row>
    <row r="31" spans="1:37">
      <c r="D31" s="15"/>
      <c r="E31" s="4"/>
      <c r="F31"/>
      <c r="G31"/>
      <c r="H31"/>
    </row>
    <row r="32" spans="1:37">
      <c r="F32"/>
      <c r="G32"/>
      <c r="H32"/>
    </row>
    <row r="33" spans="6:8">
      <c r="F33"/>
      <c r="G33"/>
      <c r="H33"/>
    </row>
    <row r="34" spans="6:8">
      <c r="F34"/>
    </row>
    <row r="35" spans="6:8">
      <c r="F35"/>
    </row>
    <row r="36" spans="6:8">
      <c r="F36"/>
    </row>
    <row r="37" spans="6:8">
      <c r="F37"/>
    </row>
    <row r="38" spans="6:8">
      <c r="F38"/>
    </row>
    <row r="39" spans="6:8">
      <c r="F39"/>
      <c r="G39"/>
    </row>
    <row r="40" spans="6:8">
      <c r="F40"/>
      <c r="G40"/>
    </row>
    <row r="41" spans="6:8">
      <c r="F41"/>
      <c r="G41"/>
    </row>
    <row r="42" spans="6:8">
      <c r="F42"/>
      <c r="G42"/>
    </row>
    <row r="43" spans="6:8">
      <c r="F43"/>
      <c r="G43"/>
    </row>
    <row r="44" spans="6:8">
      <c r="F44"/>
      <c r="G44"/>
    </row>
    <row r="45" spans="6:8">
      <c r="F45"/>
      <c r="G45"/>
    </row>
    <row r="46" spans="6:8">
      <c r="F46"/>
      <c r="G46"/>
    </row>
    <row r="47" spans="6:8">
      <c r="F47"/>
      <c r="G47"/>
    </row>
    <row r="48" spans="6:8">
      <c r="F48"/>
      <c r="G48"/>
    </row>
    <row r="49" spans="6:7">
      <c r="F49"/>
      <c r="G49"/>
    </row>
    <row r="50" spans="6:7">
      <c r="F50"/>
      <c r="G50"/>
    </row>
    <row r="51" spans="6:7">
      <c r="F51"/>
      <c r="G51"/>
    </row>
    <row r="52" spans="6:7">
      <c r="F52"/>
      <c r="G52"/>
    </row>
    <row r="53" spans="6:7">
      <c r="F53"/>
      <c r="G53"/>
    </row>
    <row r="54" spans="6:7">
      <c r="F54"/>
      <c r="G54"/>
    </row>
    <row r="55" spans="6:7">
      <c r="F55"/>
      <c r="G55"/>
    </row>
    <row r="56" spans="6:7">
      <c r="F56"/>
      <c r="G56"/>
    </row>
    <row r="57" spans="6:7">
      <c r="F57"/>
      <c r="G57"/>
    </row>
    <row r="58" spans="6:7">
      <c r="F58"/>
      <c r="G58"/>
    </row>
    <row r="59" spans="6:7">
      <c r="F59"/>
      <c r="G59"/>
    </row>
    <row r="60" spans="6:7">
      <c r="F60"/>
      <c r="G60"/>
    </row>
    <row r="61" spans="6:7">
      <c r="F61"/>
      <c r="G61"/>
    </row>
  </sheetData>
  <autoFilter ref="A16:C26"/>
  <mergeCells count="2">
    <mergeCell ref="A15:C15"/>
    <mergeCell ref="A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5" tint="0.39997558519241921"/>
  </sheetPr>
  <dimension ref="A2:B44"/>
  <sheetViews>
    <sheetView workbookViewId="0">
      <selection activeCell="D13" sqref="D13"/>
    </sheetView>
  </sheetViews>
  <sheetFormatPr defaultColWidth="37.7109375" defaultRowHeight="15"/>
  <cols>
    <col min="1" max="1" width="27.7109375" style="38" customWidth="1"/>
    <col min="2" max="2" width="60.85546875" style="37" customWidth="1"/>
    <col min="3" max="16384" width="37.7109375" style="38"/>
  </cols>
  <sheetData>
    <row r="2" spans="1:2" ht="18.75">
      <c r="A2" s="98" t="s">
        <v>5958</v>
      </c>
      <c r="B2" s="98"/>
    </row>
    <row r="3" spans="1:2" ht="39" customHeight="1">
      <c r="A3" s="99" t="s">
        <v>5977</v>
      </c>
      <c r="B3" s="99"/>
    </row>
    <row r="4" spans="1:2">
      <c r="A4" s="39"/>
    </row>
    <row r="5" spans="1:2">
      <c r="A5" s="47" t="s">
        <v>5975</v>
      </c>
      <c r="B5" s="47" t="s">
        <v>5976</v>
      </c>
    </row>
    <row r="6" spans="1:2" ht="20.25" customHeight="1">
      <c r="A6" s="41" t="s">
        <v>5959</v>
      </c>
      <c r="B6" s="42" t="s">
        <v>5978</v>
      </c>
    </row>
    <row r="7" spans="1:2">
      <c r="A7" s="97" t="s">
        <v>5960</v>
      </c>
      <c r="B7" s="42" t="s">
        <v>5961</v>
      </c>
    </row>
    <row r="8" spans="1:2">
      <c r="A8" s="97"/>
      <c r="B8" s="43" t="s">
        <v>5979</v>
      </c>
    </row>
    <row r="9" spans="1:2">
      <c r="A9" s="97"/>
      <c r="B9" s="43" t="s">
        <v>5980</v>
      </c>
    </row>
    <row r="10" spans="1:2">
      <c r="A10" s="97"/>
      <c r="B10" s="43" t="s">
        <v>5981</v>
      </c>
    </row>
    <row r="11" spans="1:2">
      <c r="A11" s="97"/>
      <c r="B11" s="43" t="s">
        <v>5982</v>
      </c>
    </row>
    <row r="12" spans="1:2">
      <c r="A12" s="97"/>
      <c r="B12" s="43" t="s">
        <v>5983</v>
      </c>
    </row>
    <row r="13" spans="1:2">
      <c r="A13" s="97"/>
      <c r="B13" s="42"/>
    </row>
    <row r="14" spans="1:2">
      <c r="A14" s="97"/>
      <c r="B14" s="42" t="s">
        <v>5962</v>
      </c>
    </row>
    <row r="15" spans="1:2">
      <c r="A15" s="97"/>
      <c r="B15" s="43" t="s">
        <v>5984</v>
      </c>
    </row>
    <row r="16" spans="1:2">
      <c r="A16" s="97"/>
      <c r="B16" s="43" t="s">
        <v>5985</v>
      </c>
    </row>
    <row r="17" spans="1:2">
      <c r="A17" s="44"/>
      <c r="B17" s="42"/>
    </row>
    <row r="18" spans="1:2">
      <c r="A18" s="97" t="s">
        <v>5963</v>
      </c>
      <c r="B18" s="43" t="s">
        <v>5964</v>
      </c>
    </row>
    <row r="19" spans="1:2">
      <c r="A19" s="97"/>
      <c r="B19" s="43" t="s">
        <v>5965</v>
      </c>
    </row>
    <row r="20" spans="1:2">
      <c r="A20" s="97"/>
      <c r="B20" s="43" t="s">
        <v>5986</v>
      </c>
    </row>
    <row r="21" spans="1:2" ht="30">
      <c r="A21" s="97"/>
      <c r="B21" s="43" t="s">
        <v>5987</v>
      </c>
    </row>
    <row r="22" spans="1:2">
      <c r="A22" s="44"/>
      <c r="B22" s="42"/>
    </row>
    <row r="23" spans="1:2">
      <c r="A23" s="97" t="s">
        <v>5966</v>
      </c>
      <c r="B23" s="43" t="s">
        <v>5988</v>
      </c>
    </row>
    <row r="24" spans="1:2">
      <c r="A24" s="97"/>
      <c r="B24" s="45" t="s">
        <v>5989</v>
      </c>
    </row>
    <row r="25" spans="1:2">
      <c r="A25" s="97"/>
      <c r="B25" s="45" t="s">
        <v>5990</v>
      </c>
    </row>
    <row r="26" spans="1:2" ht="30">
      <c r="A26" s="97"/>
      <c r="B26" s="43" t="s">
        <v>5991</v>
      </c>
    </row>
    <row r="27" spans="1:2">
      <c r="A27" s="97"/>
      <c r="B27" s="42"/>
    </row>
    <row r="28" spans="1:2">
      <c r="A28" s="97"/>
      <c r="B28" s="42" t="s">
        <v>5967</v>
      </c>
    </row>
    <row r="29" spans="1:2">
      <c r="A29" s="97"/>
      <c r="B29" s="46" t="s">
        <v>5973</v>
      </c>
    </row>
    <row r="30" spans="1:2">
      <c r="A30" s="97"/>
      <c r="B30" s="43" t="s">
        <v>5992</v>
      </c>
    </row>
    <row r="31" spans="1:2">
      <c r="A31" s="44"/>
      <c r="B31" s="42"/>
    </row>
    <row r="32" spans="1:2">
      <c r="A32" s="41" t="s">
        <v>5968</v>
      </c>
      <c r="B32" s="42" t="s">
        <v>5993</v>
      </c>
    </row>
    <row r="33" spans="1:2">
      <c r="A33" s="44"/>
      <c r="B33" s="42"/>
    </row>
    <row r="34" spans="1:2">
      <c r="A34" s="97" t="s">
        <v>5969</v>
      </c>
      <c r="B34" s="42" t="s">
        <v>5994</v>
      </c>
    </row>
    <row r="35" spans="1:2">
      <c r="A35" s="97"/>
      <c r="B35" s="42"/>
    </row>
    <row r="36" spans="1:2">
      <c r="A36" s="97"/>
      <c r="B36" s="42" t="s">
        <v>5967</v>
      </c>
    </row>
    <row r="37" spans="1:2">
      <c r="A37" s="97"/>
      <c r="B37" s="45" t="s">
        <v>5996</v>
      </c>
    </row>
    <row r="38" spans="1:2">
      <c r="A38" s="97"/>
      <c r="B38" s="45" t="s">
        <v>5997</v>
      </c>
    </row>
    <row r="39" spans="1:2">
      <c r="A39" s="44"/>
      <c r="B39" s="42"/>
    </row>
    <row r="40" spans="1:2">
      <c r="A40" s="97" t="s">
        <v>5970</v>
      </c>
      <c r="B40" s="43" t="s">
        <v>5971</v>
      </c>
    </row>
    <row r="41" spans="1:2" ht="30">
      <c r="A41" s="97"/>
      <c r="B41" s="43" t="s">
        <v>5972</v>
      </c>
    </row>
    <row r="42" spans="1:2">
      <c r="A42" s="97"/>
      <c r="B42" s="42"/>
    </row>
    <row r="43" spans="1:2">
      <c r="A43" s="97"/>
      <c r="B43" s="46" t="s">
        <v>5974</v>
      </c>
    </row>
    <row r="44" spans="1:2">
      <c r="A44" s="97"/>
      <c r="B44" s="42" t="s">
        <v>5995</v>
      </c>
    </row>
  </sheetData>
  <mergeCells count="7">
    <mergeCell ref="A34:A38"/>
    <mergeCell ref="A40:A44"/>
    <mergeCell ref="A2:B2"/>
    <mergeCell ref="A3:B3"/>
    <mergeCell ref="A7:A16"/>
    <mergeCell ref="A18:A21"/>
    <mergeCell ref="A23:A3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4"/>
  <sheetViews>
    <sheetView workbookViewId="0">
      <selection activeCell="E18" sqref="E18"/>
    </sheetView>
  </sheetViews>
  <sheetFormatPr defaultRowHeight="15"/>
  <cols>
    <col min="1" max="1" width="26.140625" style="38" customWidth="1"/>
    <col min="2" max="2" width="11" style="38" customWidth="1"/>
    <col min="3" max="4" width="26.140625" style="38" customWidth="1"/>
    <col min="5" max="16384" width="9.140625" style="38"/>
  </cols>
  <sheetData>
    <row r="1" spans="1:4">
      <c r="A1" s="39" t="s">
        <v>6082</v>
      </c>
      <c r="B1" s="100" t="s">
        <v>5957</v>
      </c>
      <c r="C1" s="100"/>
      <c r="D1" s="100"/>
    </row>
    <row r="2" spans="1:4" ht="36" customHeight="1">
      <c r="A2" s="39" t="s">
        <v>6004</v>
      </c>
      <c r="B2" s="99" t="s">
        <v>6083</v>
      </c>
      <c r="C2" s="99"/>
      <c r="D2" s="99"/>
    </row>
    <row r="4" spans="1:4">
      <c r="A4" s="52" t="s">
        <v>6062</v>
      </c>
      <c r="B4" s="52" t="s">
        <v>6063</v>
      </c>
      <c r="C4" s="52" t="s">
        <v>6004</v>
      </c>
      <c r="D4" s="52" t="s">
        <v>6064</v>
      </c>
    </row>
    <row r="5" spans="1:4" ht="30">
      <c r="A5" s="53" t="s">
        <v>0</v>
      </c>
      <c r="B5" s="53" t="s">
        <v>6065</v>
      </c>
      <c r="C5" s="53" t="s">
        <v>6066</v>
      </c>
      <c r="D5" s="53" t="s">
        <v>10</v>
      </c>
    </row>
    <row r="6" spans="1:4">
      <c r="A6" s="53" t="s">
        <v>1</v>
      </c>
      <c r="B6" s="53" t="s">
        <v>6065</v>
      </c>
      <c r="C6" s="53" t="s">
        <v>6067</v>
      </c>
      <c r="D6" s="53" t="s">
        <v>6068</v>
      </c>
    </row>
    <row r="7" spans="1:4">
      <c r="A7" s="53" t="s">
        <v>2</v>
      </c>
      <c r="B7" s="53" t="s">
        <v>6065</v>
      </c>
      <c r="C7" s="53" t="s">
        <v>6069</v>
      </c>
      <c r="D7" s="53" t="s">
        <v>59</v>
      </c>
    </row>
    <row r="8" spans="1:4">
      <c r="A8" s="53" t="s">
        <v>2934</v>
      </c>
      <c r="B8" s="53" t="s">
        <v>6070</v>
      </c>
      <c r="C8" s="53" t="s">
        <v>6071</v>
      </c>
      <c r="D8" s="53" t="s">
        <v>6072</v>
      </c>
    </row>
    <row r="9" spans="1:4" ht="30">
      <c r="A9" s="53" t="s">
        <v>4</v>
      </c>
      <c r="B9" s="53" t="s">
        <v>6070</v>
      </c>
      <c r="C9" s="53" t="s">
        <v>6073</v>
      </c>
      <c r="D9" s="53" t="s">
        <v>6074</v>
      </c>
    </row>
    <row r="10" spans="1:4">
      <c r="A10" s="53" t="s">
        <v>5</v>
      </c>
      <c r="B10" s="53" t="s">
        <v>6065</v>
      </c>
      <c r="C10" s="53" t="s">
        <v>6075</v>
      </c>
      <c r="D10" s="53" t="s">
        <v>172</v>
      </c>
    </row>
    <row r="11" spans="1:4">
      <c r="A11" s="53" t="s">
        <v>6</v>
      </c>
      <c r="B11" s="53" t="s">
        <v>6065</v>
      </c>
      <c r="C11" s="53" t="s">
        <v>6076</v>
      </c>
      <c r="D11" s="53" t="s">
        <v>62</v>
      </c>
    </row>
    <row r="12" spans="1:4" ht="30">
      <c r="A12" s="53" t="s">
        <v>7</v>
      </c>
      <c r="B12" s="53" t="s">
        <v>6065</v>
      </c>
      <c r="C12" s="53" t="s">
        <v>6077</v>
      </c>
      <c r="D12" s="53" t="s">
        <v>14</v>
      </c>
    </row>
    <row r="13" spans="1:4">
      <c r="A13" s="53" t="s">
        <v>8</v>
      </c>
      <c r="B13" s="53" t="s">
        <v>6065</v>
      </c>
      <c r="C13" s="53" t="s">
        <v>6078</v>
      </c>
      <c r="D13" s="53" t="s">
        <v>6079</v>
      </c>
    </row>
    <row r="14" spans="1:4">
      <c r="A14" s="53" t="s">
        <v>6080</v>
      </c>
      <c r="B14" s="53" t="s">
        <v>6065</v>
      </c>
      <c r="C14" s="53" t="s">
        <v>6081</v>
      </c>
      <c r="D14" s="54" t="s">
        <v>6084</v>
      </c>
    </row>
  </sheetData>
  <mergeCells count="2">
    <mergeCell ref="B2:D2"/>
    <mergeCell ref="B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theme="5" tint="0.39997558519241921"/>
  </sheetPr>
  <dimension ref="A1:K33"/>
  <sheetViews>
    <sheetView showGridLines="0" tabSelected="1" zoomScale="70" zoomScaleNormal="70" workbookViewId="0">
      <selection activeCell="P20" sqref="P20"/>
    </sheetView>
  </sheetViews>
  <sheetFormatPr defaultRowHeight="15.75"/>
  <cols>
    <col min="1" max="1" width="4.5703125" style="1" customWidth="1"/>
    <col min="2" max="2" width="21.85546875" style="1" customWidth="1"/>
    <col min="3" max="3" width="8.28515625" style="1" customWidth="1"/>
    <col min="4" max="4" width="23.42578125" style="1" customWidth="1"/>
    <col min="5" max="5" width="8.28515625" style="1" customWidth="1"/>
    <col min="6" max="6" width="25" style="1" customWidth="1"/>
    <col min="7" max="7" width="14" style="1" bestFit="1" customWidth="1"/>
    <col min="8" max="8" width="19.5703125" style="1" bestFit="1" customWidth="1"/>
    <col min="9" max="9" width="8.140625" style="1" customWidth="1"/>
    <col min="10" max="10" width="19" style="1" customWidth="1"/>
    <col min="11" max="11" width="14.85546875" style="1" customWidth="1"/>
    <col min="12" max="12" width="20" style="1" bestFit="1" customWidth="1"/>
    <col min="13" max="16384" width="9.140625" style="1"/>
  </cols>
  <sheetData>
    <row r="1" spans="1:11" ht="15.75" customHeight="1">
      <c r="A1" s="101" t="s">
        <v>6092</v>
      </c>
      <c r="B1" s="101"/>
      <c r="C1" s="101"/>
      <c r="D1" s="101"/>
      <c r="E1" s="101"/>
      <c r="F1" s="101"/>
      <c r="G1" s="101"/>
      <c r="H1" s="101"/>
      <c r="I1" s="101"/>
      <c r="J1" s="101"/>
      <c r="K1" s="101"/>
    </row>
    <row r="2" spans="1:11" ht="36.75" customHeight="1">
      <c r="A2" s="101"/>
      <c r="B2" s="101"/>
      <c r="C2" s="101"/>
      <c r="D2" s="101"/>
      <c r="E2" s="101"/>
      <c r="F2" s="101"/>
      <c r="G2" s="101"/>
      <c r="H2" s="101"/>
      <c r="I2" s="101"/>
      <c r="J2" s="101"/>
      <c r="K2" s="101"/>
    </row>
    <row r="3" spans="1:11" hidden="1"/>
    <row r="4" spans="1:11" s="83" customFormat="1" ht="39" hidden="1">
      <c r="B4" s="85" t="s">
        <v>6091</v>
      </c>
      <c r="C4" s="86"/>
      <c r="D4" s="85" t="s">
        <v>6089</v>
      </c>
      <c r="E4" s="87"/>
      <c r="F4" s="85" t="s">
        <v>6090</v>
      </c>
      <c r="G4" s="84"/>
    </row>
    <row r="5" spans="1:11" ht="28.5" hidden="1" customHeight="1">
      <c r="B5" s="70">
        <v>1000</v>
      </c>
      <c r="C5" s="66"/>
      <c r="D5" s="69">
        <f>COUNT($B$24:$B$32)</f>
        <v>9</v>
      </c>
      <c r="E5" s="82"/>
      <c r="F5" s="69">
        <f>COUNT($K$24:$K$32)</f>
        <v>9</v>
      </c>
      <c r="G5" s="82"/>
    </row>
    <row r="6" spans="1:11">
      <c r="D6" s="57"/>
      <c r="E6" s="57"/>
      <c r="F6" s="81"/>
    </row>
    <row r="8" spans="1:11">
      <c r="K8" s="57"/>
    </row>
    <row r="10" spans="1:11" s="55" customFormat="1" ht="63">
      <c r="A10" s="59" t="s">
        <v>3930</v>
      </c>
      <c r="B10" s="59" t="s">
        <v>6087</v>
      </c>
      <c r="G10" s="59" t="s">
        <v>3930</v>
      </c>
      <c r="H10" s="59" t="s">
        <v>6088</v>
      </c>
    </row>
    <row r="11" spans="1:11">
      <c r="A11" s="62" t="s">
        <v>14</v>
      </c>
      <c r="B11" s="61">
        <v>464</v>
      </c>
      <c r="G11" s="60" t="s">
        <v>59</v>
      </c>
      <c r="H11" s="61">
        <v>597</v>
      </c>
    </row>
    <row r="12" spans="1:11" ht="16.5" customHeight="1">
      <c r="A12" s="62" t="s">
        <v>56</v>
      </c>
      <c r="B12" s="61">
        <v>300</v>
      </c>
      <c r="G12" s="60" t="s">
        <v>17</v>
      </c>
      <c r="H12" s="61">
        <v>403</v>
      </c>
    </row>
    <row r="13" spans="1:11" ht="19.5" customHeight="1">
      <c r="A13" s="62" t="s">
        <v>42</v>
      </c>
      <c r="B13" s="61">
        <v>236</v>
      </c>
      <c r="G13" s="60" t="s">
        <v>3931</v>
      </c>
      <c r="H13" s="61">
        <v>1000</v>
      </c>
    </row>
    <row r="14" spans="1:11">
      <c r="A14" s="62" t="s">
        <v>3931</v>
      </c>
      <c r="B14" s="61">
        <v>1000</v>
      </c>
    </row>
    <row r="15" spans="1:11">
      <c r="A15" s="25"/>
      <c r="B15" s="25"/>
    </row>
    <row r="16" spans="1:11">
      <c r="A16" s="25"/>
      <c r="B16" s="25"/>
    </row>
    <row r="17" spans="1:11">
      <c r="A17" s="58"/>
      <c r="B17" s="25"/>
    </row>
    <row r="18" spans="1:11" ht="18.75">
      <c r="A18" s="25"/>
      <c r="B18" s="25"/>
      <c r="J18" s="56"/>
    </row>
    <row r="19" spans="1:11">
      <c r="A19" s="25"/>
      <c r="B19" s="25"/>
    </row>
    <row r="20" spans="1:11">
      <c r="A20" s="25"/>
      <c r="B20" s="25"/>
    </row>
    <row r="21" spans="1:11">
      <c r="A21" s="25"/>
      <c r="B21" s="25"/>
    </row>
    <row r="22" spans="1:11">
      <c r="A22" s="25"/>
      <c r="B22" s="25"/>
    </row>
    <row r="23" spans="1:11" ht="63">
      <c r="A23" s="63" t="s">
        <v>3930</v>
      </c>
      <c r="B23" s="63" t="s">
        <v>6085</v>
      </c>
      <c r="J23" s="63" t="s">
        <v>3930</v>
      </c>
      <c r="K23" s="63" t="s">
        <v>6086</v>
      </c>
    </row>
    <row r="24" spans="1:11">
      <c r="A24" s="64" t="s">
        <v>40</v>
      </c>
      <c r="B24" s="65">
        <v>68</v>
      </c>
      <c r="J24" s="64" t="s">
        <v>20</v>
      </c>
      <c r="K24" s="65">
        <v>18</v>
      </c>
    </row>
    <row r="25" spans="1:11">
      <c r="A25" s="64" t="s">
        <v>198</v>
      </c>
      <c r="B25" s="65">
        <v>18</v>
      </c>
      <c r="J25" s="64" t="s">
        <v>62</v>
      </c>
      <c r="K25" s="65">
        <v>18</v>
      </c>
    </row>
    <row r="26" spans="1:11">
      <c r="A26" s="64" t="s">
        <v>172</v>
      </c>
      <c r="B26" s="65">
        <v>18</v>
      </c>
      <c r="J26" s="64" t="s">
        <v>217</v>
      </c>
      <c r="K26" s="65">
        <v>32</v>
      </c>
    </row>
    <row r="27" spans="1:11">
      <c r="A27" s="64" t="s">
        <v>216</v>
      </c>
      <c r="B27" s="65">
        <v>32</v>
      </c>
      <c r="J27" s="64" t="s">
        <v>140</v>
      </c>
      <c r="K27" s="65">
        <v>15</v>
      </c>
    </row>
    <row r="28" spans="1:11" s="55" customFormat="1" ht="33.75" customHeight="1">
      <c r="A28" s="64" t="s">
        <v>54</v>
      </c>
      <c r="B28" s="65">
        <v>15</v>
      </c>
      <c r="J28" s="64" t="s">
        <v>36</v>
      </c>
      <c r="K28" s="65">
        <v>638</v>
      </c>
    </row>
    <row r="29" spans="1:11">
      <c r="A29" s="64" t="s">
        <v>179</v>
      </c>
      <c r="B29" s="65">
        <v>638</v>
      </c>
      <c r="J29" s="64" t="s">
        <v>31</v>
      </c>
      <c r="K29" s="65">
        <v>12</v>
      </c>
    </row>
    <row r="30" spans="1:11">
      <c r="A30" s="64" t="s">
        <v>207</v>
      </c>
      <c r="B30" s="65">
        <v>12</v>
      </c>
      <c r="J30" s="64" t="s">
        <v>25</v>
      </c>
      <c r="K30" s="65">
        <v>102</v>
      </c>
    </row>
    <row r="31" spans="1:11">
      <c r="A31" s="64" t="s">
        <v>24</v>
      </c>
      <c r="B31" s="65">
        <v>102</v>
      </c>
      <c r="J31" s="64" t="s">
        <v>71</v>
      </c>
      <c r="K31" s="65">
        <v>68</v>
      </c>
    </row>
    <row r="32" spans="1:11">
      <c r="A32" s="64" t="s">
        <v>85</v>
      </c>
      <c r="B32" s="65">
        <v>97</v>
      </c>
      <c r="J32" s="64" t="s">
        <v>120</v>
      </c>
      <c r="K32" s="65">
        <v>97</v>
      </c>
    </row>
    <row r="33" spans="1:11">
      <c r="A33" s="64" t="s">
        <v>3931</v>
      </c>
      <c r="B33" s="65">
        <v>1000</v>
      </c>
      <c r="J33" s="64" t="s">
        <v>3931</v>
      </c>
      <c r="K33" s="65">
        <v>1000</v>
      </c>
    </row>
  </sheetData>
  <mergeCells count="1">
    <mergeCell ref="A1:K2"/>
  </mergeCell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8</vt:i4>
      </vt:variant>
    </vt:vector>
  </HeadingPairs>
  <TitlesOfParts>
    <vt:vector size="8" baseType="lpstr">
      <vt:lpstr>Read Me</vt:lpstr>
      <vt:lpstr>Employee_Raw</vt:lpstr>
      <vt:lpstr>Working Copy &amp; Validation Check</vt:lpstr>
      <vt:lpstr>Clean Data</vt:lpstr>
      <vt:lpstr>Data Validation Summary</vt:lpstr>
      <vt:lpstr>Data Cleaning Guide</vt:lpstr>
      <vt:lpstr>Data Dictionary</vt:lpstr>
      <vt:lpstr>Dashboard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2026-07-10T08:37:16Z</dcterms:created>
  <dcterms:modified xsi:type="dcterms:W3CDTF">2026-07-28T07:22:56Z</dcterms:modified>
</cp:coreProperties>
</file>